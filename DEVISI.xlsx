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laragon\www\Monitoring-KPI\"/>
    </mc:Choice>
  </mc:AlternateContent>
  <xr:revisionPtr revIDLastSave="0" documentId="13_ncr:1_{352F40F4-7896-4608-A145-0FB2C02AAF10}" xr6:coauthVersionLast="47" xr6:coauthVersionMax="47" xr10:uidLastSave="{00000000-0000-0000-0000-000000000000}"/>
  <bookViews>
    <workbookView xWindow="-120" yWindow="-120" windowWidth="29040" windowHeight="15720" firstSheet="4" activeTab="4" xr2:uid="{00000000-000D-0000-FFFF-FFFF00000000}"/>
  </bookViews>
  <sheets>
    <sheet name="WC KMI SURABAYA UPDATE" sheetId="2" state="hidden" r:id="rId1"/>
    <sheet name="Sheet1" sheetId="3" state="hidden" r:id="rId2"/>
    <sheet name="SAP FIORI" sheetId="4" state="hidden" r:id="rId3"/>
    <sheet name="WC KMI SURABAYA UPDATE GROUP" sheetId="5" state="hidden" r:id="rId4"/>
    <sheet name="work center update" sheetId="6" r:id="rId5"/>
    <sheet name="WC KMI SURABAYA UPDATE (2)" sheetId="10" state="hidden" r:id="rId6"/>
    <sheet name="KMI 1&amp;2" sheetId="11" state="hidden" r:id="rId7"/>
    <sheet name="WC LAMA YANG DI MERGER" sheetId="12" state="hidden" r:id="rId8"/>
    <sheet name="UPLOAD WC" sheetId="13" state="hidden" r:id="rId9"/>
    <sheet name="FLOW BOM + ROUTING" sheetId="14" state="hidden" r:id="rId10"/>
    <sheet name="FLOW CHART WW PLNT 1000" sheetId="15" state="hidden" r:id="rId11"/>
    <sheet name="FLOW BOM + ROUTING KMI3 " sheetId="16" state="hidden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605" i="13" l="1"/>
  <c r="P605" i="13"/>
  <c r="Q604" i="13"/>
  <c r="P604" i="13"/>
  <c r="Q603" i="13"/>
  <c r="P603" i="13"/>
  <c r="Q602" i="13"/>
  <c r="P602" i="13"/>
  <c r="Q601" i="13"/>
  <c r="P601" i="13"/>
  <c r="Q600" i="13"/>
  <c r="P600" i="13"/>
  <c r="Q599" i="13"/>
  <c r="P599" i="13"/>
  <c r="Q598" i="13"/>
  <c r="P598" i="13"/>
  <c r="Q597" i="13"/>
  <c r="P597" i="13"/>
  <c r="Q596" i="13"/>
  <c r="P596" i="13"/>
  <c r="Q595" i="13"/>
  <c r="P595" i="13"/>
  <c r="Q594" i="13"/>
  <c r="P594" i="13"/>
  <c r="Q593" i="13"/>
  <c r="P593" i="13"/>
  <c r="Q592" i="13"/>
  <c r="P592" i="13"/>
  <c r="Q591" i="13"/>
  <c r="P591" i="13"/>
  <c r="Q590" i="13"/>
  <c r="P590" i="13"/>
  <c r="Q589" i="13"/>
  <c r="P589" i="13"/>
  <c r="Q588" i="13"/>
  <c r="P588" i="13"/>
  <c r="Q587" i="13"/>
  <c r="P587" i="13"/>
  <c r="Q586" i="13"/>
  <c r="P586" i="13"/>
  <c r="Q585" i="13"/>
  <c r="P585" i="13"/>
  <c r="Q584" i="13"/>
  <c r="P584" i="13"/>
  <c r="Q583" i="13"/>
  <c r="P583" i="13"/>
  <c r="Q582" i="13"/>
  <c r="P582" i="13"/>
  <c r="Q581" i="13"/>
  <c r="P581" i="13"/>
  <c r="Q580" i="13"/>
  <c r="P580" i="13"/>
  <c r="Q579" i="13"/>
  <c r="P579" i="13"/>
  <c r="Q578" i="13"/>
  <c r="P578" i="13"/>
  <c r="Q577" i="13"/>
  <c r="P577" i="13"/>
  <c r="Q576" i="13"/>
  <c r="P576" i="13"/>
  <c r="Q575" i="13"/>
  <c r="P575" i="13"/>
  <c r="Q574" i="13"/>
  <c r="P574" i="13"/>
  <c r="Q573" i="13"/>
  <c r="P573" i="13"/>
  <c r="Q572" i="13"/>
  <c r="P572" i="13"/>
  <c r="Q571" i="13"/>
  <c r="P571" i="13"/>
  <c r="Q570" i="13"/>
  <c r="P570" i="13"/>
  <c r="Q569" i="13"/>
  <c r="P569" i="13"/>
  <c r="Q568" i="13"/>
  <c r="P568" i="13"/>
  <c r="AE564" i="13"/>
  <c r="U564" i="13"/>
  <c r="S564" i="13"/>
  <c r="R564" i="13"/>
  <c r="P564" i="13"/>
  <c r="E564" i="13"/>
  <c r="Q564" i="13" s="1"/>
  <c r="D564" i="13"/>
  <c r="AE563" i="13"/>
  <c r="U563" i="13"/>
  <c r="S563" i="13"/>
  <c r="R563" i="13"/>
  <c r="P563" i="13"/>
  <c r="E563" i="13"/>
  <c r="Q563" i="13" s="1"/>
  <c r="D563" i="13"/>
  <c r="AE562" i="13"/>
  <c r="U562" i="13"/>
  <c r="S562" i="13"/>
  <c r="R562" i="13"/>
  <c r="P562" i="13"/>
  <c r="E562" i="13"/>
  <c r="Q562" i="13" s="1"/>
  <c r="D562" i="13"/>
  <c r="AE561" i="13"/>
  <c r="U561" i="13"/>
  <c r="S561" i="13"/>
  <c r="R561" i="13"/>
  <c r="P561" i="13"/>
  <c r="E561" i="13"/>
  <c r="Q561" i="13" s="1"/>
  <c r="D561" i="13"/>
  <c r="AE560" i="13"/>
  <c r="U560" i="13"/>
  <c r="S560" i="13"/>
  <c r="R560" i="13"/>
  <c r="P560" i="13"/>
  <c r="E560" i="13"/>
  <c r="Q560" i="13" s="1"/>
  <c r="D560" i="13"/>
  <c r="AE559" i="13"/>
  <c r="U559" i="13"/>
  <c r="S559" i="13"/>
  <c r="R559" i="13"/>
  <c r="P559" i="13"/>
  <c r="E559" i="13"/>
  <c r="Q559" i="13" s="1"/>
  <c r="D559" i="13"/>
  <c r="AE558" i="13"/>
  <c r="U558" i="13"/>
  <c r="S558" i="13"/>
  <c r="R558" i="13"/>
  <c r="P558" i="13"/>
  <c r="E558" i="13"/>
  <c r="Q558" i="13" s="1"/>
  <c r="D558" i="13"/>
  <c r="AE557" i="13"/>
  <c r="U557" i="13"/>
  <c r="S557" i="13"/>
  <c r="R557" i="13"/>
  <c r="P557" i="13"/>
  <c r="E557" i="13"/>
  <c r="Q557" i="13" s="1"/>
  <c r="D557" i="13"/>
  <c r="AE556" i="13"/>
  <c r="U556" i="13"/>
  <c r="S556" i="13"/>
  <c r="R556" i="13"/>
  <c r="P556" i="13"/>
  <c r="E556" i="13"/>
  <c r="Q556" i="13" s="1"/>
  <c r="D556" i="13"/>
  <c r="AE555" i="13"/>
  <c r="U555" i="13"/>
  <c r="S555" i="13"/>
  <c r="R555" i="13"/>
  <c r="P555" i="13"/>
  <c r="E555" i="13"/>
  <c r="Q555" i="13" s="1"/>
  <c r="D555" i="13"/>
  <c r="AE554" i="13"/>
  <c r="U554" i="13"/>
  <c r="S554" i="13"/>
  <c r="R554" i="13"/>
  <c r="P554" i="13"/>
  <c r="E554" i="13"/>
  <c r="Q554" i="13" s="1"/>
  <c r="D554" i="13"/>
  <c r="AE553" i="13"/>
  <c r="U553" i="13"/>
  <c r="S553" i="13"/>
  <c r="R553" i="13"/>
  <c r="P553" i="13"/>
  <c r="E553" i="13"/>
  <c r="Q553" i="13" s="1"/>
  <c r="D553" i="13"/>
  <c r="AE552" i="13"/>
  <c r="U552" i="13"/>
  <c r="S552" i="13"/>
  <c r="R552" i="13"/>
  <c r="P552" i="13"/>
  <c r="E552" i="13"/>
  <c r="Q552" i="13" s="1"/>
  <c r="D552" i="13"/>
  <c r="AE551" i="13"/>
  <c r="U551" i="13"/>
  <c r="S551" i="13"/>
  <c r="R551" i="13"/>
  <c r="P551" i="13"/>
  <c r="E551" i="13"/>
  <c r="Q551" i="13" s="1"/>
  <c r="D551" i="13"/>
  <c r="AE550" i="13"/>
  <c r="U550" i="13"/>
  <c r="S550" i="13"/>
  <c r="R550" i="13"/>
  <c r="P550" i="13"/>
  <c r="E550" i="13"/>
  <c r="Q550" i="13" s="1"/>
  <c r="D550" i="13"/>
  <c r="AE549" i="13"/>
  <c r="U549" i="13"/>
  <c r="S549" i="13"/>
  <c r="R549" i="13"/>
  <c r="P549" i="13"/>
  <c r="E549" i="13"/>
  <c r="Q549" i="13" s="1"/>
  <c r="D549" i="13"/>
  <c r="AE548" i="13"/>
  <c r="U548" i="13"/>
  <c r="S548" i="13"/>
  <c r="R548" i="13"/>
  <c r="P548" i="13"/>
  <c r="E548" i="13"/>
  <c r="Q548" i="13" s="1"/>
  <c r="D548" i="13"/>
  <c r="AE547" i="13"/>
  <c r="U547" i="13"/>
  <c r="S547" i="13"/>
  <c r="R547" i="13"/>
  <c r="P547" i="13"/>
  <c r="E547" i="13"/>
  <c r="Q547" i="13" s="1"/>
  <c r="D547" i="13"/>
  <c r="AE546" i="13"/>
  <c r="U546" i="13"/>
  <c r="S546" i="13"/>
  <c r="R546" i="13"/>
  <c r="P546" i="13"/>
  <c r="E546" i="13"/>
  <c r="Q546" i="13" s="1"/>
  <c r="D546" i="13"/>
  <c r="AE545" i="13"/>
  <c r="U545" i="13"/>
  <c r="S545" i="13"/>
  <c r="R545" i="13"/>
  <c r="P545" i="13"/>
  <c r="E545" i="13"/>
  <c r="Q545" i="13" s="1"/>
  <c r="D545" i="13"/>
  <c r="AE544" i="13"/>
  <c r="U544" i="13"/>
  <c r="S544" i="13"/>
  <c r="R544" i="13"/>
  <c r="P544" i="13"/>
  <c r="E544" i="13"/>
  <c r="Q544" i="13" s="1"/>
  <c r="D544" i="13"/>
  <c r="AE543" i="13"/>
  <c r="U543" i="13"/>
  <c r="S543" i="13"/>
  <c r="R543" i="13"/>
  <c r="P543" i="13"/>
  <c r="E543" i="13"/>
  <c r="Q543" i="13" s="1"/>
  <c r="D543" i="13"/>
  <c r="AE542" i="13"/>
  <c r="U542" i="13"/>
  <c r="S542" i="13"/>
  <c r="R542" i="13"/>
  <c r="P542" i="13"/>
  <c r="E542" i="13"/>
  <c r="Q542" i="13" s="1"/>
  <c r="D542" i="13"/>
  <c r="AE541" i="13"/>
  <c r="U541" i="13"/>
  <c r="S541" i="13"/>
  <c r="R541" i="13"/>
  <c r="P541" i="13"/>
  <c r="E541" i="13"/>
  <c r="Q541" i="13" s="1"/>
  <c r="D541" i="13"/>
  <c r="AE540" i="13"/>
  <c r="U540" i="13"/>
  <c r="S540" i="13"/>
  <c r="R540" i="13"/>
  <c r="P540" i="13"/>
  <c r="E540" i="13"/>
  <c r="Q540" i="13" s="1"/>
  <c r="D540" i="13"/>
  <c r="AE539" i="13"/>
  <c r="U539" i="13"/>
  <c r="S539" i="13"/>
  <c r="R539" i="13"/>
  <c r="P539" i="13"/>
  <c r="E539" i="13"/>
  <c r="Q539" i="13" s="1"/>
  <c r="D539" i="13"/>
  <c r="AE538" i="13"/>
  <c r="U538" i="13"/>
  <c r="S538" i="13"/>
  <c r="R538" i="13"/>
  <c r="P538" i="13"/>
  <c r="E538" i="13"/>
  <c r="Q538" i="13" s="1"/>
  <c r="D538" i="13"/>
  <c r="AE537" i="13"/>
  <c r="U537" i="13"/>
  <c r="S537" i="13"/>
  <c r="R537" i="13"/>
  <c r="P537" i="13"/>
  <c r="E537" i="13"/>
  <c r="Q537" i="13" s="1"/>
  <c r="D537" i="13"/>
  <c r="AE536" i="13"/>
  <c r="U536" i="13"/>
  <c r="S536" i="13"/>
  <c r="R536" i="13"/>
  <c r="P536" i="13"/>
  <c r="E536" i="13"/>
  <c r="Q536" i="13" s="1"/>
  <c r="D536" i="13"/>
  <c r="AE535" i="13"/>
  <c r="U535" i="13"/>
  <c r="S535" i="13"/>
  <c r="R535" i="13"/>
  <c r="P535" i="13"/>
  <c r="E535" i="13"/>
  <c r="Q535" i="13" s="1"/>
  <c r="D535" i="13"/>
  <c r="AE534" i="13"/>
  <c r="U534" i="13"/>
  <c r="S534" i="13"/>
  <c r="R534" i="13"/>
  <c r="P534" i="13"/>
  <c r="E534" i="13"/>
  <c r="Q534" i="13" s="1"/>
  <c r="D534" i="13"/>
  <c r="AE533" i="13"/>
  <c r="U533" i="13"/>
  <c r="S533" i="13"/>
  <c r="R533" i="13"/>
  <c r="P533" i="13"/>
  <c r="E533" i="13"/>
  <c r="Q533" i="13" s="1"/>
  <c r="D533" i="13"/>
  <c r="AE531" i="13"/>
  <c r="U531" i="13"/>
  <c r="S531" i="13"/>
  <c r="R531" i="13"/>
  <c r="P531" i="13"/>
  <c r="E531" i="13"/>
  <c r="Q531" i="13" s="1"/>
  <c r="D531" i="13"/>
  <c r="AE530" i="13"/>
  <c r="U530" i="13"/>
  <c r="S530" i="13"/>
  <c r="R530" i="13"/>
  <c r="P530" i="13"/>
  <c r="E530" i="13"/>
  <c r="Q530" i="13" s="1"/>
  <c r="D530" i="13"/>
  <c r="AE529" i="13"/>
  <c r="U529" i="13"/>
  <c r="S529" i="13"/>
  <c r="R529" i="13"/>
  <c r="P529" i="13"/>
  <c r="E529" i="13"/>
  <c r="Q529" i="13" s="1"/>
  <c r="D529" i="13"/>
  <c r="AE528" i="13"/>
  <c r="U528" i="13"/>
  <c r="S528" i="13"/>
  <c r="R528" i="13"/>
  <c r="P528" i="13"/>
  <c r="E528" i="13"/>
  <c r="Q528" i="13" s="1"/>
  <c r="D528" i="13"/>
  <c r="AE527" i="13"/>
  <c r="U527" i="13"/>
  <c r="S527" i="13"/>
  <c r="R527" i="13"/>
  <c r="P527" i="13"/>
  <c r="E527" i="13"/>
  <c r="Q527" i="13" s="1"/>
  <c r="D527" i="13"/>
  <c r="AE526" i="13"/>
  <c r="U526" i="13"/>
  <c r="S526" i="13"/>
  <c r="R526" i="13"/>
  <c r="P526" i="13"/>
  <c r="E526" i="13"/>
  <c r="Q526" i="13" s="1"/>
  <c r="D526" i="13"/>
  <c r="AE525" i="13"/>
  <c r="U525" i="13"/>
  <c r="S525" i="13"/>
  <c r="R525" i="13"/>
  <c r="P525" i="13"/>
  <c r="E525" i="13"/>
  <c r="Q525" i="13" s="1"/>
  <c r="D525" i="13"/>
  <c r="AE524" i="13"/>
  <c r="U524" i="13"/>
  <c r="S524" i="13"/>
  <c r="R524" i="13"/>
  <c r="P524" i="13"/>
  <c r="E524" i="13"/>
  <c r="Q524" i="13" s="1"/>
  <c r="D524" i="13"/>
  <c r="AE523" i="13"/>
  <c r="U523" i="13"/>
  <c r="S523" i="13"/>
  <c r="R523" i="13"/>
  <c r="P523" i="13"/>
  <c r="E523" i="13"/>
  <c r="Q523" i="13" s="1"/>
  <c r="D523" i="13"/>
  <c r="AE522" i="13"/>
  <c r="U522" i="13"/>
  <c r="S522" i="13"/>
  <c r="R522" i="13"/>
  <c r="P522" i="13"/>
  <c r="E522" i="13"/>
  <c r="Q522" i="13" s="1"/>
  <c r="D522" i="13"/>
  <c r="AE521" i="13"/>
  <c r="U521" i="13"/>
  <c r="S521" i="13"/>
  <c r="R521" i="13"/>
  <c r="P521" i="13"/>
  <c r="E521" i="13"/>
  <c r="Q521" i="13" s="1"/>
  <c r="D521" i="13"/>
  <c r="AE520" i="13"/>
  <c r="U520" i="13"/>
  <c r="S520" i="13"/>
  <c r="R520" i="13"/>
  <c r="P520" i="13"/>
  <c r="E520" i="13"/>
  <c r="Q520" i="13" s="1"/>
  <c r="D520" i="13"/>
  <c r="AE519" i="13"/>
  <c r="U519" i="13"/>
  <c r="S519" i="13"/>
  <c r="R519" i="13"/>
  <c r="P519" i="13"/>
  <c r="E519" i="13"/>
  <c r="Q519" i="13" s="1"/>
  <c r="D519" i="13"/>
  <c r="AE518" i="13"/>
  <c r="U518" i="13"/>
  <c r="S518" i="13"/>
  <c r="R518" i="13"/>
  <c r="P518" i="13"/>
  <c r="E518" i="13"/>
  <c r="Q518" i="13" s="1"/>
  <c r="D518" i="13"/>
  <c r="AE517" i="13"/>
  <c r="U517" i="13"/>
  <c r="S517" i="13"/>
  <c r="R517" i="13"/>
  <c r="P517" i="13"/>
  <c r="E517" i="13"/>
  <c r="Q517" i="13" s="1"/>
  <c r="D517" i="13"/>
  <c r="AE516" i="13"/>
  <c r="U516" i="13"/>
  <c r="S516" i="13"/>
  <c r="R516" i="13"/>
  <c r="P516" i="13"/>
  <c r="E516" i="13"/>
  <c r="Q516" i="13" s="1"/>
  <c r="D516" i="13"/>
  <c r="AE515" i="13"/>
  <c r="U515" i="13"/>
  <c r="S515" i="13"/>
  <c r="R515" i="13"/>
  <c r="P515" i="13"/>
  <c r="E515" i="13"/>
  <c r="Q515" i="13" s="1"/>
  <c r="D515" i="13"/>
  <c r="AE514" i="13"/>
  <c r="U514" i="13"/>
  <c r="S514" i="13"/>
  <c r="R514" i="13"/>
  <c r="P514" i="13"/>
  <c r="E514" i="13"/>
  <c r="Q514" i="13" s="1"/>
  <c r="D514" i="13"/>
  <c r="AE513" i="13"/>
  <c r="U513" i="13"/>
  <c r="S513" i="13"/>
  <c r="R513" i="13"/>
  <c r="P513" i="13"/>
  <c r="E513" i="13"/>
  <c r="Q513" i="13" s="1"/>
  <c r="D513" i="13"/>
  <c r="AE512" i="13"/>
  <c r="U512" i="13"/>
  <c r="S512" i="13"/>
  <c r="R512" i="13"/>
  <c r="P512" i="13"/>
  <c r="E512" i="13"/>
  <c r="Q512" i="13" s="1"/>
  <c r="D512" i="13"/>
  <c r="AE511" i="13"/>
  <c r="U511" i="13"/>
  <c r="S511" i="13"/>
  <c r="R511" i="13"/>
  <c r="P511" i="13"/>
  <c r="E511" i="13"/>
  <c r="Q511" i="13" s="1"/>
  <c r="D511" i="13"/>
  <c r="AE510" i="13"/>
  <c r="U510" i="13"/>
  <c r="S510" i="13"/>
  <c r="R510" i="13"/>
  <c r="P510" i="13"/>
  <c r="E510" i="13"/>
  <c r="Q510" i="13" s="1"/>
  <c r="D510" i="13"/>
  <c r="AE509" i="13"/>
  <c r="U509" i="13"/>
  <c r="S509" i="13"/>
  <c r="R509" i="13"/>
  <c r="P509" i="13"/>
  <c r="E509" i="13"/>
  <c r="Q509" i="13" s="1"/>
  <c r="D509" i="13"/>
  <c r="AE508" i="13"/>
  <c r="U508" i="13"/>
  <c r="S508" i="13"/>
  <c r="R508" i="13"/>
  <c r="P508" i="13"/>
  <c r="E508" i="13"/>
  <c r="Q508" i="13" s="1"/>
  <c r="D508" i="13"/>
  <c r="AE507" i="13"/>
  <c r="U507" i="13"/>
  <c r="S507" i="13"/>
  <c r="R507" i="13"/>
  <c r="P507" i="13"/>
  <c r="E507" i="13"/>
  <c r="Q507" i="13" s="1"/>
  <c r="D507" i="13"/>
  <c r="AE506" i="13"/>
  <c r="U506" i="13"/>
  <c r="S506" i="13"/>
  <c r="R506" i="13"/>
  <c r="P506" i="13"/>
  <c r="E506" i="13"/>
  <c r="Q506" i="13" s="1"/>
  <c r="D506" i="13"/>
  <c r="AE505" i="13"/>
  <c r="U505" i="13"/>
  <c r="S505" i="13"/>
  <c r="R505" i="13"/>
  <c r="P505" i="13"/>
  <c r="E505" i="13"/>
  <c r="Q505" i="13" s="1"/>
  <c r="D505" i="13"/>
  <c r="AE504" i="13"/>
  <c r="U504" i="13"/>
  <c r="S504" i="13"/>
  <c r="R504" i="13"/>
  <c r="P504" i="13"/>
  <c r="E504" i="13"/>
  <c r="Q504" i="13" s="1"/>
  <c r="D504" i="13"/>
  <c r="AE503" i="13"/>
  <c r="U503" i="13"/>
  <c r="S503" i="13"/>
  <c r="R503" i="13"/>
  <c r="P503" i="13"/>
  <c r="E503" i="13"/>
  <c r="Q503" i="13" s="1"/>
  <c r="D503" i="13"/>
  <c r="AE502" i="13"/>
  <c r="U502" i="13"/>
  <c r="S502" i="13"/>
  <c r="R502" i="13"/>
  <c r="P502" i="13"/>
  <c r="E502" i="13"/>
  <c r="Q502" i="13" s="1"/>
  <c r="D502" i="13"/>
  <c r="AE501" i="13"/>
  <c r="U501" i="13"/>
  <c r="S501" i="13"/>
  <c r="R501" i="13"/>
  <c r="P501" i="13"/>
  <c r="E501" i="13"/>
  <c r="Q501" i="13" s="1"/>
  <c r="D501" i="13"/>
  <c r="AE500" i="13"/>
  <c r="U500" i="13"/>
  <c r="S500" i="13"/>
  <c r="R500" i="13"/>
  <c r="P500" i="13"/>
  <c r="E500" i="13"/>
  <c r="Q500" i="13" s="1"/>
  <c r="D500" i="13"/>
  <c r="AE499" i="13"/>
  <c r="U499" i="13"/>
  <c r="S499" i="13"/>
  <c r="R499" i="13"/>
  <c r="P499" i="13"/>
  <c r="E499" i="13"/>
  <c r="Q499" i="13" s="1"/>
  <c r="D499" i="13"/>
  <c r="AE498" i="13"/>
  <c r="U498" i="13"/>
  <c r="S498" i="13"/>
  <c r="R498" i="13"/>
  <c r="P498" i="13"/>
  <c r="E498" i="13"/>
  <c r="Q498" i="13" s="1"/>
  <c r="D498" i="13"/>
  <c r="AE497" i="13"/>
  <c r="U497" i="13"/>
  <c r="S497" i="13"/>
  <c r="R497" i="13"/>
  <c r="P497" i="13"/>
  <c r="E497" i="13"/>
  <c r="Q497" i="13" s="1"/>
  <c r="D497" i="13"/>
  <c r="AE496" i="13"/>
  <c r="U496" i="13"/>
  <c r="S496" i="13"/>
  <c r="R496" i="13"/>
  <c r="P496" i="13"/>
  <c r="E496" i="13"/>
  <c r="Q496" i="13" s="1"/>
  <c r="D496" i="13"/>
  <c r="AE495" i="13"/>
  <c r="U495" i="13"/>
  <c r="S495" i="13"/>
  <c r="R495" i="13"/>
  <c r="P495" i="13"/>
  <c r="E495" i="13"/>
  <c r="Q495" i="13" s="1"/>
  <c r="D495" i="13"/>
  <c r="AE494" i="13"/>
  <c r="U494" i="13"/>
  <c r="S494" i="13"/>
  <c r="R494" i="13"/>
  <c r="P494" i="13"/>
  <c r="E494" i="13"/>
  <c r="Q494" i="13" s="1"/>
  <c r="D494" i="13"/>
  <c r="AE493" i="13"/>
  <c r="U493" i="13"/>
  <c r="S493" i="13"/>
  <c r="R493" i="13"/>
  <c r="P493" i="13"/>
  <c r="E493" i="13"/>
  <c r="Q493" i="13" s="1"/>
  <c r="D493" i="13"/>
  <c r="AE492" i="13"/>
  <c r="U492" i="13"/>
  <c r="S492" i="13"/>
  <c r="R492" i="13"/>
  <c r="P492" i="13"/>
  <c r="E492" i="13"/>
  <c r="Q492" i="13" s="1"/>
  <c r="D492" i="13"/>
  <c r="AE491" i="13"/>
  <c r="U491" i="13"/>
  <c r="S491" i="13"/>
  <c r="R491" i="13"/>
  <c r="P491" i="13"/>
  <c r="E491" i="13"/>
  <c r="Q491" i="13" s="1"/>
  <c r="D491" i="13"/>
  <c r="AE490" i="13"/>
  <c r="U490" i="13"/>
  <c r="S490" i="13"/>
  <c r="R490" i="13"/>
  <c r="P490" i="13"/>
  <c r="E490" i="13"/>
  <c r="Q490" i="13" s="1"/>
  <c r="D490" i="13"/>
  <c r="AE489" i="13"/>
  <c r="U489" i="13"/>
  <c r="S489" i="13"/>
  <c r="R489" i="13"/>
  <c r="P489" i="13"/>
  <c r="E489" i="13"/>
  <c r="Q489" i="13" s="1"/>
  <c r="D489" i="13"/>
  <c r="AE488" i="13"/>
  <c r="U488" i="13"/>
  <c r="S488" i="13"/>
  <c r="R488" i="13"/>
  <c r="P488" i="13"/>
  <c r="E488" i="13"/>
  <c r="Q488" i="13" s="1"/>
  <c r="D488" i="13"/>
  <c r="AE487" i="13"/>
  <c r="U487" i="13"/>
  <c r="S487" i="13"/>
  <c r="R487" i="13"/>
  <c r="P487" i="13"/>
  <c r="E487" i="13"/>
  <c r="Q487" i="13" s="1"/>
  <c r="D487" i="13"/>
  <c r="AE486" i="13"/>
  <c r="U486" i="13"/>
  <c r="S486" i="13"/>
  <c r="R486" i="13"/>
  <c r="P486" i="13"/>
  <c r="E486" i="13"/>
  <c r="Q486" i="13" s="1"/>
  <c r="D486" i="13"/>
  <c r="AE485" i="13"/>
  <c r="U485" i="13"/>
  <c r="S485" i="13"/>
  <c r="R485" i="13"/>
  <c r="P485" i="13"/>
  <c r="E485" i="13"/>
  <c r="Q485" i="13" s="1"/>
  <c r="D485" i="13"/>
  <c r="AE484" i="13"/>
  <c r="U484" i="13"/>
  <c r="S484" i="13"/>
  <c r="R484" i="13"/>
  <c r="P484" i="13"/>
  <c r="E484" i="13"/>
  <c r="Q484" i="13" s="1"/>
  <c r="D484" i="13"/>
  <c r="AE483" i="13"/>
  <c r="U483" i="13"/>
  <c r="S483" i="13"/>
  <c r="R483" i="13"/>
  <c r="P483" i="13"/>
  <c r="E483" i="13"/>
  <c r="Q483" i="13" s="1"/>
  <c r="D483" i="13"/>
  <c r="AE482" i="13"/>
  <c r="U482" i="13"/>
  <c r="S482" i="13"/>
  <c r="R482" i="13"/>
  <c r="P482" i="13"/>
  <c r="E482" i="13"/>
  <c r="Q482" i="13" s="1"/>
  <c r="D482" i="13"/>
  <c r="AE481" i="13"/>
  <c r="U481" i="13"/>
  <c r="S481" i="13"/>
  <c r="R481" i="13"/>
  <c r="P481" i="13"/>
  <c r="E481" i="13"/>
  <c r="Q481" i="13" s="1"/>
  <c r="D481" i="13"/>
  <c r="AE480" i="13"/>
  <c r="U480" i="13"/>
  <c r="S480" i="13"/>
  <c r="R480" i="13"/>
  <c r="P480" i="13"/>
  <c r="E480" i="13"/>
  <c r="Q480" i="13" s="1"/>
  <c r="D480" i="13"/>
  <c r="AE479" i="13"/>
  <c r="U479" i="13"/>
  <c r="S479" i="13"/>
  <c r="R479" i="13"/>
  <c r="P479" i="13"/>
  <c r="E479" i="13"/>
  <c r="Q479" i="13" s="1"/>
  <c r="D479" i="13"/>
  <c r="AE478" i="13"/>
  <c r="U478" i="13"/>
  <c r="S478" i="13"/>
  <c r="R478" i="13"/>
  <c r="P478" i="13"/>
  <c r="E478" i="13"/>
  <c r="Q478" i="13" s="1"/>
  <c r="D478" i="13"/>
  <c r="AE477" i="13"/>
  <c r="U477" i="13"/>
  <c r="S477" i="13"/>
  <c r="R477" i="13"/>
  <c r="P477" i="13"/>
  <c r="E477" i="13"/>
  <c r="Q477" i="13" s="1"/>
  <c r="D477" i="13"/>
  <c r="AE476" i="13"/>
  <c r="U476" i="13"/>
  <c r="S476" i="13"/>
  <c r="R476" i="13"/>
  <c r="P476" i="13"/>
  <c r="E476" i="13"/>
  <c r="Q476" i="13" s="1"/>
  <c r="D476" i="13"/>
  <c r="AE475" i="13"/>
  <c r="U475" i="13"/>
  <c r="S475" i="13"/>
  <c r="R475" i="13"/>
  <c r="P475" i="13"/>
  <c r="E475" i="13"/>
  <c r="Q475" i="13" s="1"/>
  <c r="D475" i="13"/>
  <c r="AE474" i="13"/>
  <c r="U474" i="13"/>
  <c r="S474" i="13"/>
  <c r="R474" i="13"/>
  <c r="P474" i="13"/>
  <c r="E474" i="13"/>
  <c r="Q474" i="13" s="1"/>
  <c r="D474" i="13"/>
  <c r="AE473" i="13"/>
  <c r="U473" i="13"/>
  <c r="S473" i="13"/>
  <c r="R473" i="13"/>
  <c r="P473" i="13"/>
  <c r="E473" i="13"/>
  <c r="Q473" i="13" s="1"/>
  <c r="D473" i="13"/>
  <c r="AE472" i="13"/>
  <c r="U472" i="13"/>
  <c r="S472" i="13"/>
  <c r="R472" i="13"/>
  <c r="P472" i="13"/>
  <c r="E472" i="13"/>
  <c r="Q472" i="13" s="1"/>
  <c r="D472" i="13"/>
  <c r="AE471" i="13"/>
  <c r="U471" i="13"/>
  <c r="S471" i="13"/>
  <c r="R471" i="13"/>
  <c r="P471" i="13"/>
  <c r="E471" i="13"/>
  <c r="Q471" i="13" s="1"/>
  <c r="D471" i="13"/>
  <c r="AE470" i="13"/>
  <c r="U470" i="13"/>
  <c r="S470" i="13"/>
  <c r="R470" i="13"/>
  <c r="P470" i="13"/>
  <c r="E470" i="13"/>
  <c r="Q470" i="13" s="1"/>
  <c r="D470" i="13"/>
  <c r="AE469" i="13"/>
  <c r="U469" i="13"/>
  <c r="S469" i="13"/>
  <c r="R469" i="13"/>
  <c r="P469" i="13"/>
  <c r="E469" i="13"/>
  <c r="Q469" i="13" s="1"/>
  <c r="D469" i="13"/>
  <c r="AE468" i="13"/>
  <c r="U468" i="13"/>
  <c r="S468" i="13"/>
  <c r="R468" i="13"/>
  <c r="Q468" i="13"/>
  <c r="P468" i="13"/>
  <c r="E468" i="13"/>
  <c r="D468" i="13"/>
  <c r="AE467" i="13"/>
  <c r="U467" i="13"/>
  <c r="S467" i="13"/>
  <c r="R467" i="13"/>
  <c r="P467" i="13"/>
  <c r="E467" i="13"/>
  <c r="Q467" i="13" s="1"/>
  <c r="D467" i="13"/>
  <c r="AE466" i="13"/>
  <c r="U466" i="13"/>
  <c r="S466" i="13"/>
  <c r="R466" i="13"/>
  <c r="P466" i="13"/>
  <c r="E466" i="13"/>
  <c r="Q466" i="13" s="1"/>
  <c r="D466" i="13"/>
  <c r="AE465" i="13"/>
  <c r="U465" i="13"/>
  <c r="S465" i="13"/>
  <c r="R465" i="13"/>
  <c r="P465" i="13"/>
  <c r="E465" i="13"/>
  <c r="Q465" i="13" s="1"/>
  <c r="D465" i="13"/>
  <c r="AE464" i="13"/>
  <c r="U464" i="13"/>
  <c r="S464" i="13"/>
  <c r="R464" i="13"/>
  <c r="P464" i="13"/>
  <c r="E464" i="13"/>
  <c r="Q464" i="13" s="1"/>
  <c r="D464" i="13"/>
  <c r="AE463" i="13"/>
  <c r="U463" i="13"/>
  <c r="S463" i="13"/>
  <c r="R463" i="13"/>
  <c r="Q463" i="13"/>
  <c r="P463" i="13"/>
  <c r="E463" i="13"/>
  <c r="D463" i="13"/>
  <c r="AE462" i="13"/>
  <c r="U462" i="13"/>
  <c r="S462" i="13"/>
  <c r="R462" i="13"/>
  <c r="P462" i="13"/>
  <c r="E462" i="13"/>
  <c r="Q462" i="13" s="1"/>
  <c r="D462" i="13"/>
  <c r="AE461" i="13"/>
  <c r="U461" i="13"/>
  <c r="S461" i="13"/>
  <c r="R461" i="13"/>
  <c r="P461" i="13"/>
  <c r="E461" i="13"/>
  <c r="Q461" i="13" s="1"/>
  <c r="D461" i="13"/>
  <c r="AE460" i="13"/>
  <c r="U460" i="13"/>
  <c r="S460" i="13"/>
  <c r="R460" i="13"/>
  <c r="P460" i="13"/>
  <c r="E460" i="13"/>
  <c r="Q460" i="13" s="1"/>
  <c r="D460" i="13"/>
  <c r="AE459" i="13"/>
  <c r="U459" i="13"/>
  <c r="S459" i="13"/>
  <c r="R459" i="13"/>
  <c r="P459" i="13"/>
  <c r="E459" i="13"/>
  <c r="Q459" i="13" s="1"/>
  <c r="D459" i="13"/>
  <c r="AE458" i="13"/>
  <c r="U458" i="13"/>
  <c r="S458" i="13"/>
  <c r="R458" i="13"/>
  <c r="Q458" i="13"/>
  <c r="P458" i="13"/>
  <c r="E458" i="13"/>
  <c r="D458" i="13"/>
  <c r="AE457" i="13"/>
  <c r="U457" i="13"/>
  <c r="S457" i="13"/>
  <c r="R457" i="13"/>
  <c r="P457" i="13"/>
  <c r="E457" i="13"/>
  <c r="Q457" i="13" s="1"/>
  <c r="D457" i="13"/>
  <c r="AE456" i="13"/>
  <c r="U456" i="13"/>
  <c r="S456" i="13"/>
  <c r="R456" i="13"/>
  <c r="P456" i="13"/>
  <c r="E456" i="13"/>
  <c r="Q456" i="13" s="1"/>
  <c r="D456" i="13"/>
  <c r="AE455" i="13"/>
  <c r="U455" i="13"/>
  <c r="S455" i="13"/>
  <c r="R455" i="13"/>
  <c r="P455" i="13"/>
  <c r="E455" i="13"/>
  <c r="Q455" i="13" s="1"/>
  <c r="D455" i="13"/>
  <c r="AE454" i="13"/>
  <c r="U454" i="13"/>
  <c r="S454" i="13"/>
  <c r="R454" i="13"/>
  <c r="P454" i="13"/>
  <c r="E454" i="13"/>
  <c r="Q454" i="13" s="1"/>
  <c r="D454" i="13"/>
  <c r="AE453" i="13"/>
  <c r="U453" i="13"/>
  <c r="S453" i="13"/>
  <c r="R453" i="13"/>
  <c r="P453" i="13"/>
  <c r="E453" i="13"/>
  <c r="Q453" i="13" s="1"/>
  <c r="D453" i="13"/>
  <c r="AE452" i="13"/>
  <c r="U452" i="13"/>
  <c r="S452" i="13"/>
  <c r="R452" i="13"/>
  <c r="P452" i="13"/>
  <c r="E452" i="13"/>
  <c r="Q452" i="13" s="1"/>
  <c r="D452" i="13"/>
  <c r="AE451" i="13"/>
  <c r="U451" i="13"/>
  <c r="S451" i="13"/>
  <c r="R451" i="13"/>
  <c r="P451" i="13"/>
  <c r="E451" i="13"/>
  <c r="Q451" i="13" s="1"/>
  <c r="D451" i="13"/>
  <c r="AE450" i="13"/>
  <c r="U450" i="13"/>
  <c r="S450" i="13"/>
  <c r="R450" i="13"/>
  <c r="P450" i="13"/>
  <c r="E450" i="13"/>
  <c r="Q450" i="13" s="1"/>
  <c r="D450" i="13"/>
  <c r="AE449" i="13"/>
  <c r="U449" i="13"/>
  <c r="S449" i="13"/>
  <c r="R449" i="13"/>
  <c r="P449" i="13"/>
  <c r="E449" i="13"/>
  <c r="Q449" i="13" s="1"/>
  <c r="D449" i="13"/>
  <c r="AE448" i="13"/>
  <c r="U448" i="13"/>
  <c r="S448" i="13"/>
  <c r="R448" i="13"/>
  <c r="P448" i="13"/>
  <c r="E448" i="13"/>
  <c r="Q448" i="13" s="1"/>
  <c r="D448" i="13"/>
  <c r="AE447" i="13"/>
  <c r="U447" i="13"/>
  <c r="S447" i="13"/>
  <c r="R447" i="13"/>
  <c r="P447" i="13"/>
  <c r="E447" i="13"/>
  <c r="Q447" i="13" s="1"/>
  <c r="D447" i="13"/>
  <c r="AE446" i="13"/>
  <c r="U446" i="13"/>
  <c r="S446" i="13"/>
  <c r="R446" i="13"/>
  <c r="P446" i="13"/>
  <c r="E446" i="13"/>
  <c r="Q446" i="13" s="1"/>
  <c r="D446" i="13"/>
  <c r="AE445" i="13"/>
  <c r="U445" i="13"/>
  <c r="S445" i="13"/>
  <c r="R445" i="13"/>
  <c r="P445" i="13"/>
  <c r="E445" i="13"/>
  <c r="Q445" i="13" s="1"/>
  <c r="D445" i="13"/>
  <c r="AE444" i="13"/>
  <c r="U444" i="13"/>
  <c r="S444" i="13"/>
  <c r="R444" i="13"/>
  <c r="P444" i="13"/>
  <c r="E444" i="13"/>
  <c r="Q444" i="13" s="1"/>
  <c r="D444" i="13"/>
  <c r="AE443" i="13"/>
  <c r="U443" i="13"/>
  <c r="S443" i="13"/>
  <c r="R443" i="13"/>
  <c r="Q443" i="13"/>
  <c r="P443" i="13"/>
  <c r="E443" i="13"/>
  <c r="D443" i="13"/>
  <c r="AE442" i="13"/>
  <c r="U442" i="13"/>
  <c r="S442" i="13"/>
  <c r="R442" i="13"/>
  <c r="P442" i="13"/>
  <c r="E442" i="13"/>
  <c r="Q442" i="13" s="1"/>
  <c r="D442" i="13"/>
  <c r="AE441" i="13"/>
  <c r="U441" i="13"/>
  <c r="S441" i="13"/>
  <c r="R441" i="13"/>
  <c r="P441" i="13"/>
  <c r="E441" i="13"/>
  <c r="Q441" i="13" s="1"/>
  <c r="D441" i="13"/>
  <c r="AE440" i="13"/>
  <c r="U440" i="13"/>
  <c r="S440" i="13"/>
  <c r="R440" i="13"/>
  <c r="P440" i="13"/>
  <c r="E440" i="13"/>
  <c r="Q440" i="13" s="1"/>
  <c r="D440" i="13"/>
  <c r="AE439" i="13"/>
  <c r="U439" i="13"/>
  <c r="S439" i="13"/>
  <c r="R439" i="13"/>
  <c r="P439" i="13"/>
  <c r="E439" i="13"/>
  <c r="Q439" i="13" s="1"/>
  <c r="D439" i="13"/>
  <c r="AE438" i="13"/>
  <c r="U438" i="13"/>
  <c r="S438" i="13"/>
  <c r="R438" i="13"/>
  <c r="Q438" i="13"/>
  <c r="P438" i="13"/>
  <c r="E438" i="13"/>
  <c r="D438" i="13"/>
  <c r="AE437" i="13"/>
  <c r="U437" i="13"/>
  <c r="S437" i="13"/>
  <c r="R437" i="13"/>
  <c r="P437" i="13"/>
  <c r="E437" i="13"/>
  <c r="Q437" i="13" s="1"/>
  <c r="D437" i="13"/>
  <c r="AE436" i="13"/>
  <c r="U436" i="13"/>
  <c r="S436" i="13"/>
  <c r="R436" i="13"/>
  <c r="P436" i="13"/>
  <c r="E436" i="13"/>
  <c r="Q436" i="13" s="1"/>
  <c r="D436" i="13"/>
  <c r="AE435" i="13"/>
  <c r="U435" i="13"/>
  <c r="S435" i="13"/>
  <c r="R435" i="13"/>
  <c r="P435" i="13"/>
  <c r="E435" i="13"/>
  <c r="Q435" i="13" s="1"/>
  <c r="D435" i="13"/>
  <c r="AE434" i="13"/>
  <c r="U434" i="13"/>
  <c r="S434" i="13"/>
  <c r="R434" i="13"/>
  <c r="P434" i="13"/>
  <c r="E434" i="13"/>
  <c r="Q434" i="13" s="1"/>
  <c r="D434" i="13"/>
  <c r="AE433" i="13"/>
  <c r="U433" i="13"/>
  <c r="S433" i="13"/>
  <c r="R433" i="13"/>
  <c r="Q433" i="13"/>
  <c r="P433" i="13"/>
  <c r="E433" i="13"/>
  <c r="D433" i="13"/>
  <c r="AE432" i="13"/>
  <c r="U432" i="13"/>
  <c r="S432" i="13"/>
  <c r="R432" i="13"/>
  <c r="P432" i="13"/>
  <c r="E432" i="13"/>
  <c r="Q432" i="13" s="1"/>
  <c r="D432" i="13"/>
  <c r="AE431" i="13"/>
  <c r="U431" i="13"/>
  <c r="S431" i="13"/>
  <c r="R431" i="13"/>
  <c r="P431" i="13"/>
  <c r="E431" i="13"/>
  <c r="Q431" i="13" s="1"/>
  <c r="D431" i="13"/>
  <c r="AE430" i="13"/>
  <c r="U430" i="13"/>
  <c r="S430" i="13"/>
  <c r="R430" i="13"/>
  <c r="P430" i="13"/>
  <c r="E430" i="13"/>
  <c r="Q430" i="13" s="1"/>
  <c r="D430" i="13"/>
  <c r="AE429" i="13"/>
  <c r="U429" i="13"/>
  <c r="S429" i="13"/>
  <c r="R429" i="13"/>
  <c r="P429" i="13"/>
  <c r="E429" i="13"/>
  <c r="Q429" i="13" s="1"/>
  <c r="D429" i="13"/>
  <c r="AE428" i="13"/>
  <c r="U428" i="13"/>
  <c r="S428" i="13"/>
  <c r="R428" i="13"/>
  <c r="P428" i="13"/>
  <c r="E428" i="13"/>
  <c r="Q428" i="13" s="1"/>
  <c r="D428" i="13"/>
  <c r="AE427" i="13"/>
  <c r="U427" i="13"/>
  <c r="S427" i="13"/>
  <c r="R427" i="13"/>
  <c r="P427" i="13"/>
  <c r="E427" i="13"/>
  <c r="Q427" i="13" s="1"/>
  <c r="D427" i="13"/>
  <c r="AE426" i="13"/>
  <c r="U426" i="13"/>
  <c r="S426" i="13"/>
  <c r="R426" i="13"/>
  <c r="P426" i="13"/>
  <c r="E426" i="13"/>
  <c r="Q426" i="13" s="1"/>
  <c r="D426" i="13"/>
  <c r="AE425" i="13"/>
  <c r="U425" i="13"/>
  <c r="S425" i="13"/>
  <c r="R425" i="13"/>
  <c r="P425" i="13"/>
  <c r="E425" i="13"/>
  <c r="Q425" i="13" s="1"/>
  <c r="D425" i="13"/>
  <c r="AE424" i="13"/>
  <c r="U424" i="13"/>
  <c r="S424" i="13"/>
  <c r="R424" i="13"/>
  <c r="P424" i="13"/>
  <c r="E424" i="13"/>
  <c r="Q424" i="13" s="1"/>
  <c r="D424" i="13"/>
  <c r="AE423" i="13"/>
  <c r="U423" i="13"/>
  <c r="S423" i="13"/>
  <c r="R423" i="13"/>
  <c r="P423" i="13"/>
  <c r="E423" i="13"/>
  <c r="Q423" i="13" s="1"/>
  <c r="D423" i="13"/>
  <c r="AE422" i="13"/>
  <c r="U422" i="13"/>
  <c r="S422" i="13"/>
  <c r="R422" i="13"/>
  <c r="P422" i="13"/>
  <c r="E422" i="13"/>
  <c r="Q422" i="13" s="1"/>
  <c r="D422" i="13"/>
  <c r="AE421" i="13"/>
  <c r="U421" i="13"/>
  <c r="S421" i="13"/>
  <c r="R421" i="13"/>
  <c r="P421" i="13"/>
  <c r="E421" i="13"/>
  <c r="Q421" i="13" s="1"/>
  <c r="D421" i="13"/>
  <c r="AE420" i="13"/>
  <c r="U420" i="13"/>
  <c r="S420" i="13"/>
  <c r="R420" i="13"/>
  <c r="P420" i="13"/>
  <c r="E420" i="13"/>
  <c r="Q420" i="13" s="1"/>
  <c r="D420" i="13"/>
  <c r="AE419" i="13"/>
  <c r="U419" i="13"/>
  <c r="S419" i="13"/>
  <c r="R419" i="13"/>
  <c r="P419" i="13"/>
  <c r="E419" i="13"/>
  <c r="Q419" i="13" s="1"/>
  <c r="D419" i="13"/>
  <c r="AE418" i="13"/>
  <c r="U418" i="13"/>
  <c r="S418" i="13"/>
  <c r="R418" i="13"/>
  <c r="Q418" i="13"/>
  <c r="P418" i="13"/>
  <c r="E418" i="13"/>
  <c r="D418" i="13"/>
  <c r="AE417" i="13"/>
  <c r="U417" i="13"/>
  <c r="S417" i="13"/>
  <c r="R417" i="13"/>
  <c r="P417" i="13"/>
  <c r="E417" i="13"/>
  <c r="Q417" i="13" s="1"/>
  <c r="D417" i="13"/>
  <c r="AE416" i="13"/>
  <c r="U416" i="13"/>
  <c r="S416" i="13"/>
  <c r="R416" i="13"/>
  <c r="P416" i="13"/>
  <c r="E416" i="13"/>
  <c r="Q416" i="13" s="1"/>
  <c r="D416" i="13"/>
  <c r="AE415" i="13"/>
  <c r="U415" i="13"/>
  <c r="S415" i="13"/>
  <c r="R415" i="13"/>
  <c r="P415" i="13"/>
  <c r="E415" i="13"/>
  <c r="Q415" i="13" s="1"/>
  <c r="D415" i="13"/>
  <c r="AE414" i="13"/>
  <c r="U414" i="13"/>
  <c r="S414" i="13"/>
  <c r="R414" i="13"/>
  <c r="P414" i="13"/>
  <c r="E414" i="13"/>
  <c r="Q414" i="13" s="1"/>
  <c r="D414" i="13"/>
  <c r="AE413" i="13"/>
  <c r="U413" i="13"/>
  <c r="S413" i="13"/>
  <c r="R413" i="13"/>
  <c r="Q413" i="13"/>
  <c r="P413" i="13"/>
  <c r="E413" i="13"/>
  <c r="D413" i="13"/>
  <c r="AE412" i="13"/>
  <c r="U412" i="13"/>
  <c r="S412" i="13"/>
  <c r="R412" i="13"/>
  <c r="P412" i="13"/>
  <c r="E412" i="13"/>
  <c r="Q412" i="13" s="1"/>
  <c r="D412" i="13"/>
  <c r="AE411" i="13"/>
  <c r="U411" i="13"/>
  <c r="S411" i="13"/>
  <c r="R411" i="13"/>
  <c r="P411" i="13"/>
  <c r="E411" i="13"/>
  <c r="Q411" i="13" s="1"/>
  <c r="D411" i="13"/>
  <c r="AE410" i="13"/>
  <c r="U410" i="13"/>
  <c r="S410" i="13"/>
  <c r="R410" i="13"/>
  <c r="P410" i="13"/>
  <c r="E410" i="13"/>
  <c r="Q410" i="13" s="1"/>
  <c r="D410" i="13"/>
  <c r="AE409" i="13"/>
  <c r="U409" i="13"/>
  <c r="S409" i="13"/>
  <c r="R409" i="13"/>
  <c r="P409" i="13"/>
  <c r="E409" i="13"/>
  <c r="Q409" i="13" s="1"/>
  <c r="D409" i="13"/>
  <c r="AE408" i="13"/>
  <c r="U408" i="13"/>
  <c r="S408" i="13"/>
  <c r="R408" i="13"/>
  <c r="P408" i="13"/>
  <c r="E408" i="13"/>
  <c r="Q408" i="13" s="1"/>
  <c r="D408" i="13"/>
  <c r="AE407" i="13"/>
  <c r="U407" i="13"/>
  <c r="S407" i="13"/>
  <c r="R407" i="13"/>
  <c r="P407" i="13"/>
  <c r="E407" i="13"/>
  <c r="Q407" i="13" s="1"/>
  <c r="D407" i="13"/>
  <c r="AE406" i="13"/>
  <c r="U406" i="13"/>
  <c r="S406" i="13"/>
  <c r="R406" i="13"/>
  <c r="P406" i="13"/>
  <c r="E406" i="13"/>
  <c r="Q406" i="13" s="1"/>
  <c r="D406" i="13"/>
  <c r="AE405" i="13"/>
  <c r="U405" i="13"/>
  <c r="S405" i="13"/>
  <c r="R405" i="13"/>
  <c r="P405" i="13"/>
  <c r="E405" i="13"/>
  <c r="Q405" i="13" s="1"/>
  <c r="D405" i="13"/>
  <c r="AE404" i="13"/>
  <c r="U404" i="13"/>
  <c r="S404" i="13"/>
  <c r="R404" i="13"/>
  <c r="P404" i="13"/>
  <c r="E404" i="13"/>
  <c r="Q404" i="13" s="1"/>
  <c r="D404" i="13"/>
  <c r="AE403" i="13"/>
  <c r="U403" i="13"/>
  <c r="S403" i="13"/>
  <c r="R403" i="13"/>
  <c r="P403" i="13"/>
  <c r="E403" i="13"/>
  <c r="Q403" i="13" s="1"/>
  <c r="D403" i="13"/>
  <c r="Q401" i="13"/>
  <c r="P401" i="13"/>
  <c r="Q400" i="13"/>
  <c r="P400" i="13"/>
  <c r="Q399" i="13"/>
  <c r="P399" i="13"/>
  <c r="Q398" i="13"/>
  <c r="P398" i="13"/>
  <c r="Q397" i="13"/>
  <c r="P397" i="13"/>
  <c r="Q396" i="13"/>
  <c r="P396" i="13"/>
  <c r="Q395" i="13"/>
  <c r="P395" i="13"/>
  <c r="Q394" i="13"/>
  <c r="P394" i="13"/>
  <c r="Q393" i="13"/>
  <c r="P393" i="13"/>
  <c r="Q392" i="13"/>
  <c r="P392" i="13"/>
  <c r="Q391" i="13"/>
  <c r="P391" i="13"/>
  <c r="Q390" i="13"/>
  <c r="P390" i="13"/>
  <c r="Q389" i="13"/>
  <c r="P389" i="13"/>
  <c r="Q388" i="13"/>
  <c r="P388" i="13"/>
  <c r="Q387" i="13"/>
  <c r="P387" i="13"/>
  <c r="Q386" i="13"/>
  <c r="P386" i="13"/>
  <c r="Q385" i="13"/>
  <c r="P385" i="13"/>
  <c r="Q384" i="13"/>
  <c r="P384" i="13"/>
  <c r="Q383" i="13"/>
  <c r="P383" i="13"/>
  <c r="Q382" i="13"/>
  <c r="P382" i="13"/>
  <c r="Q381" i="13"/>
  <c r="P381" i="13"/>
  <c r="Q380" i="13"/>
  <c r="P380" i="13"/>
  <c r="Q379" i="13"/>
  <c r="P379" i="13"/>
  <c r="Q378" i="13"/>
  <c r="P378" i="13"/>
  <c r="Q377" i="13"/>
  <c r="P377" i="13"/>
  <c r="Q376" i="13"/>
  <c r="P376" i="13"/>
  <c r="Q375" i="13"/>
  <c r="P375" i="13"/>
  <c r="Q374" i="13"/>
  <c r="P374" i="13"/>
  <c r="Q373" i="13"/>
  <c r="P373" i="13"/>
  <c r="Q372" i="13"/>
  <c r="P372" i="13"/>
  <c r="Q371" i="13"/>
  <c r="P371" i="13"/>
  <c r="Q370" i="13"/>
  <c r="P370" i="13"/>
  <c r="Q369" i="13"/>
  <c r="P369" i="13"/>
  <c r="Q368" i="13"/>
  <c r="P368" i="13"/>
  <c r="Q367" i="13"/>
  <c r="P367" i="13"/>
  <c r="Q366" i="13"/>
  <c r="P366" i="13"/>
  <c r="Q365" i="13"/>
  <c r="P365" i="13"/>
  <c r="Q364" i="13"/>
  <c r="P364" i="13"/>
  <c r="Q363" i="13"/>
  <c r="P363" i="13"/>
  <c r="Q362" i="13"/>
  <c r="P362" i="13"/>
  <c r="Q361" i="13"/>
  <c r="P361" i="13"/>
  <c r="Q360" i="13"/>
  <c r="P360" i="13"/>
  <c r="Q359" i="13"/>
  <c r="P359" i="13"/>
  <c r="Q358" i="13"/>
  <c r="P358" i="13"/>
  <c r="Q357" i="13"/>
  <c r="P357" i="13"/>
  <c r="Q356" i="13"/>
  <c r="P356" i="13"/>
  <c r="Q355" i="13"/>
  <c r="P355" i="13"/>
  <c r="Q354" i="13"/>
  <c r="P354" i="13"/>
  <c r="Q353" i="13"/>
  <c r="P353" i="13"/>
  <c r="Q352" i="13"/>
  <c r="P352" i="13"/>
  <c r="Q351" i="13"/>
  <c r="P351" i="13"/>
  <c r="Q350" i="13"/>
  <c r="P350" i="13"/>
  <c r="Q349" i="13"/>
  <c r="P349" i="13"/>
  <c r="Q348" i="13"/>
  <c r="P348" i="13"/>
  <c r="Q347" i="13"/>
  <c r="P347" i="13"/>
  <c r="Q346" i="13"/>
  <c r="P346" i="13"/>
  <c r="Q345" i="13"/>
  <c r="P345" i="13"/>
  <c r="Q344" i="13"/>
  <c r="P344" i="13"/>
  <c r="Q343" i="13"/>
  <c r="P343" i="13"/>
  <c r="Q342" i="13"/>
  <c r="P342" i="13"/>
  <c r="Q341" i="13"/>
  <c r="P341" i="13"/>
  <c r="Q340" i="13"/>
  <c r="P340" i="13"/>
  <c r="Q339" i="13"/>
  <c r="P339" i="13"/>
  <c r="Q338" i="13"/>
  <c r="P338" i="13"/>
  <c r="Q337" i="13"/>
  <c r="P337" i="13"/>
  <c r="Q336" i="13"/>
  <c r="P336" i="13"/>
  <c r="Q335" i="13"/>
  <c r="P335" i="13"/>
  <c r="Q334" i="13"/>
  <c r="P334" i="13"/>
  <c r="Q333" i="13"/>
  <c r="P333" i="13"/>
  <c r="Q332" i="13"/>
  <c r="P332" i="13"/>
  <c r="Q331" i="13"/>
  <c r="P331" i="13"/>
  <c r="Q330" i="13"/>
  <c r="P330" i="13"/>
  <c r="Q329" i="13"/>
  <c r="P329" i="13"/>
  <c r="Q328" i="13"/>
  <c r="P328" i="13"/>
  <c r="Q327" i="13"/>
  <c r="P327" i="13"/>
  <c r="Q326" i="13"/>
  <c r="P326" i="13"/>
  <c r="Q325" i="13"/>
  <c r="P325" i="13"/>
  <c r="Q324" i="13"/>
  <c r="P324" i="13"/>
  <c r="Q323" i="13"/>
  <c r="P323" i="13"/>
  <c r="Q322" i="13"/>
  <c r="P322" i="13"/>
  <c r="Q321" i="13"/>
  <c r="P321" i="13"/>
  <c r="Q320" i="13"/>
  <c r="P320" i="13"/>
  <c r="Q319" i="13"/>
  <c r="P319" i="13"/>
  <c r="Q318" i="13"/>
  <c r="P318" i="13"/>
  <c r="Q317" i="13"/>
  <c r="P317" i="13"/>
  <c r="Q316" i="13"/>
  <c r="P316" i="13"/>
  <c r="Q315" i="13"/>
  <c r="P315" i="13"/>
  <c r="Q314" i="13"/>
  <c r="P314" i="13"/>
  <c r="Q313" i="13"/>
  <c r="P313" i="13"/>
  <c r="Q312" i="13"/>
  <c r="P312" i="13"/>
  <c r="Q311" i="13"/>
  <c r="P311" i="13"/>
  <c r="Q310" i="13"/>
  <c r="P310" i="13"/>
  <c r="Q309" i="13"/>
  <c r="P309" i="13"/>
  <c r="Q308" i="13"/>
  <c r="P308" i="13"/>
  <c r="Q307" i="13"/>
  <c r="P307" i="13"/>
  <c r="Q306" i="13"/>
  <c r="P306" i="13"/>
  <c r="Q305" i="13"/>
  <c r="P305" i="13"/>
  <c r="Q304" i="13"/>
  <c r="P304" i="13"/>
  <c r="Q303" i="13"/>
  <c r="P303" i="13"/>
  <c r="Q302" i="13"/>
  <c r="P302" i="13"/>
  <c r="Q301" i="13"/>
  <c r="P301" i="13"/>
  <c r="Q300" i="13"/>
  <c r="P300" i="13"/>
  <c r="Q299" i="13"/>
  <c r="P299" i="13"/>
  <c r="Q298" i="13"/>
  <c r="P298" i="13"/>
  <c r="Q297" i="13"/>
  <c r="P297" i="13"/>
  <c r="Q296" i="13"/>
  <c r="P296" i="13"/>
  <c r="Q295" i="13"/>
  <c r="P295" i="13"/>
  <c r="Q294" i="13"/>
  <c r="P294" i="13"/>
  <c r="Q293" i="13"/>
  <c r="P293" i="13"/>
  <c r="Q292" i="13"/>
  <c r="P292" i="13"/>
  <c r="Q291" i="13"/>
  <c r="P291" i="13"/>
  <c r="Q290" i="13"/>
  <c r="P290" i="13"/>
  <c r="Q289" i="13"/>
  <c r="P289" i="13"/>
  <c r="Q288" i="13"/>
  <c r="P288" i="13"/>
  <c r="Q287" i="13"/>
  <c r="P287" i="13"/>
  <c r="Q286" i="13"/>
  <c r="P286" i="13"/>
  <c r="Q285" i="13"/>
  <c r="P285" i="13"/>
  <c r="Q284" i="13"/>
  <c r="P284" i="13"/>
  <c r="Q283" i="13"/>
  <c r="P283" i="13"/>
  <c r="Q282" i="13"/>
  <c r="P282" i="13"/>
  <c r="Q281" i="13"/>
  <c r="P281" i="13"/>
  <c r="Q280" i="13"/>
  <c r="P280" i="13"/>
  <c r="Q279" i="13"/>
  <c r="P279" i="13"/>
  <c r="Q278" i="13"/>
  <c r="P278" i="13"/>
  <c r="Q277" i="13"/>
  <c r="P277" i="13"/>
  <c r="Q276" i="13"/>
  <c r="P276" i="13"/>
  <c r="Q275" i="13"/>
  <c r="P275" i="13"/>
  <c r="Q274" i="13"/>
  <c r="P274" i="13"/>
  <c r="Q273" i="13"/>
  <c r="P273" i="13"/>
  <c r="Q272" i="13"/>
  <c r="P272" i="13"/>
  <c r="Q271" i="13"/>
  <c r="P271" i="13"/>
  <c r="Q270" i="13"/>
  <c r="P270" i="13"/>
  <c r="Q269" i="13"/>
  <c r="P269" i="13"/>
  <c r="Q268" i="13"/>
  <c r="P268" i="13"/>
  <c r="Q267" i="13"/>
  <c r="P267" i="13"/>
  <c r="Q266" i="13"/>
  <c r="P266" i="13"/>
  <c r="Q265" i="13"/>
  <c r="P265" i="13"/>
  <c r="Q264" i="13"/>
  <c r="P264" i="13"/>
  <c r="Q263" i="13"/>
  <c r="P263" i="13"/>
  <c r="Q262" i="13"/>
  <c r="P262" i="13"/>
  <c r="Q261" i="13"/>
  <c r="P261" i="13"/>
  <c r="Q260" i="13"/>
  <c r="P260" i="13"/>
  <c r="Q259" i="13"/>
  <c r="P259" i="13"/>
  <c r="Q258" i="13"/>
  <c r="P258" i="13"/>
  <c r="Q257" i="13"/>
  <c r="P257" i="13"/>
  <c r="Q256" i="13"/>
  <c r="P256" i="13"/>
  <c r="Q255" i="13"/>
  <c r="P255" i="13"/>
  <c r="Q254" i="13"/>
  <c r="P254" i="13"/>
  <c r="Q253" i="13"/>
  <c r="P253" i="13"/>
  <c r="Q252" i="13"/>
  <c r="P252" i="13"/>
  <c r="Q251" i="13"/>
  <c r="P251" i="13"/>
  <c r="Q250" i="13"/>
  <c r="P250" i="13"/>
  <c r="Q249" i="13"/>
  <c r="P249" i="13"/>
  <c r="Q248" i="13"/>
  <c r="P248" i="13"/>
  <c r="Q247" i="13"/>
  <c r="P247" i="13"/>
  <c r="Q246" i="13"/>
  <c r="P246" i="13"/>
  <c r="Q245" i="13"/>
  <c r="P245" i="13"/>
  <c r="Q244" i="13"/>
  <c r="P244" i="13"/>
  <c r="Q243" i="13"/>
  <c r="P243" i="13"/>
  <c r="Q242" i="13"/>
  <c r="P242" i="13"/>
  <c r="Q241" i="13"/>
  <c r="P241" i="13"/>
  <c r="Q240" i="13"/>
  <c r="P240" i="13"/>
  <c r="Q239" i="13"/>
  <c r="P239" i="13"/>
  <c r="Q238" i="13"/>
  <c r="P238" i="13"/>
  <c r="Q237" i="13"/>
  <c r="P237" i="13"/>
  <c r="Q236" i="13"/>
  <c r="P236" i="13"/>
  <c r="Q235" i="13"/>
  <c r="P235" i="13"/>
  <c r="Q234" i="13"/>
  <c r="P234" i="13"/>
  <c r="Q233" i="13"/>
  <c r="P233" i="13"/>
  <c r="Q232" i="13"/>
  <c r="P232" i="13"/>
  <c r="Q231" i="13"/>
  <c r="P231" i="13"/>
  <c r="Q230" i="13"/>
  <c r="P230" i="13"/>
  <c r="Q229" i="13"/>
  <c r="P229" i="13"/>
  <c r="Q228" i="13"/>
  <c r="P228" i="13"/>
  <c r="Q227" i="13"/>
  <c r="P227" i="13"/>
  <c r="Q226" i="13"/>
  <c r="P226" i="13"/>
  <c r="Q225" i="13"/>
  <c r="P225" i="13"/>
  <c r="Q224" i="13"/>
  <c r="P224" i="13"/>
  <c r="Q223" i="13"/>
  <c r="P223" i="13"/>
  <c r="Q222" i="13"/>
  <c r="P222" i="13"/>
  <c r="Q221" i="13"/>
  <c r="P221" i="13"/>
  <c r="Q220" i="13"/>
  <c r="P220" i="13"/>
  <c r="Q219" i="13"/>
  <c r="P219" i="13"/>
  <c r="Q218" i="13"/>
  <c r="P218" i="13"/>
  <c r="Q217" i="13"/>
  <c r="P217" i="13"/>
  <c r="Q216" i="13"/>
  <c r="P216" i="13"/>
  <c r="Q215" i="13"/>
  <c r="P215" i="13"/>
  <c r="Q214" i="13"/>
  <c r="P214" i="13"/>
  <c r="Q213" i="13"/>
  <c r="P213" i="13"/>
  <c r="Q212" i="13"/>
  <c r="P212" i="13"/>
  <c r="Q211" i="13"/>
  <c r="P211" i="13"/>
  <c r="Q210" i="13"/>
  <c r="P210" i="13"/>
  <c r="Q209" i="13"/>
  <c r="P209" i="13"/>
  <c r="Q208" i="13"/>
  <c r="P208" i="13"/>
  <c r="Q207" i="13"/>
  <c r="P207" i="13"/>
  <c r="Q206" i="13"/>
  <c r="P206" i="13"/>
  <c r="Q205" i="13"/>
  <c r="P205" i="13"/>
  <c r="Q202" i="13"/>
  <c r="P202" i="13"/>
  <c r="Q201" i="13"/>
  <c r="P201" i="13"/>
  <c r="Q200" i="13"/>
  <c r="P200" i="13"/>
  <c r="Q199" i="13"/>
  <c r="P199" i="13"/>
  <c r="Q198" i="13"/>
  <c r="P198" i="13"/>
  <c r="Q197" i="13"/>
  <c r="P197" i="13"/>
  <c r="Q196" i="13"/>
  <c r="P196" i="13"/>
  <c r="Q195" i="13"/>
  <c r="P195" i="13"/>
  <c r="Q194" i="13"/>
  <c r="P194" i="13"/>
  <c r="Q193" i="13"/>
  <c r="P193" i="13"/>
  <c r="Q192" i="13"/>
  <c r="P192" i="13"/>
  <c r="Q191" i="13"/>
  <c r="P191" i="13"/>
  <c r="Q190" i="13"/>
  <c r="P190" i="13"/>
  <c r="Q189" i="13"/>
  <c r="P189" i="13"/>
  <c r="Q188" i="13"/>
  <c r="P188" i="13"/>
  <c r="Q187" i="13"/>
  <c r="P187" i="13"/>
  <c r="Q186" i="13"/>
  <c r="P186" i="13"/>
  <c r="Q185" i="13"/>
  <c r="P185" i="13"/>
  <c r="Q184" i="13"/>
  <c r="P184" i="13"/>
  <c r="Q183" i="13"/>
  <c r="P183" i="13"/>
  <c r="Q182" i="13"/>
  <c r="P182" i="13"/>
  <c r="Q181" i="13"/>
  <c r="P181" i="13"/>
  <c r="Q180" i="13"/>
  <c r="P180" i="13"/>
  <c r="Q179" i="13"/>
  <c r="P179" i="13"/>
  <c r="Q178" i="13"/>
  <c r="P178" i="13"/>
  <c r="Q177" i="13"/>
  <c r="P177" i="13"/>
  <c r="Q176" i="13"/>
  <c r="P176" i="13"/>
  <c r="Q175" i="13"/>
  <c r="P175" i="13"/>
  <c r="Q174" i="13"/>
  <c r="P174" i="13"/>
  <c r="Q173" i="13"/>
  <c r="P173" i="13"/>
  <c r="Q172" i="13"/>
  <c r="P172" i="13"/>
  <c r="Q171" i="13"/>
  <c r="P171" i="13"/>
  <c r="Q170" i="13"/>
  <c r="P170" i="13"/>
  <c r="Q169" i="13"/>
  <c r="P169" i="13"/>
  <c r="Q168" i="13"/>
  <c r="P168" i="13"/>
  <c r="Q167" i="13"/>
  <c r="P167" i="13"/>
  <c r="Q166" i="13"/>
  <c r="P166" i="13"/>
  <c r="Q165" i="13"/>
  <c r="P165" i="13"/>
  <c r="Q164" i="13"/>
  <c r="P164" i="13"/>
  <c r="Q163" i="13"/>
  <c r="P163" i="13"/>
  <c r="Q162" i="13"/>
  <c r="P162" i="13"/>
  <c r="Q161" i="13"/>
  <c r="P161" i="13"/>
  <c r="Q160" i="13"/>
  <c r="P160" i="13"/>
  <c r="Q159" i="13"/>
  <c r="P159" i="13"/>
  <c r="Q158" i="13"/>
  <c r="P158" i="13"/>
  <c r="Q157" i="13"/>
  <c r="P157" i="13"/>
  <c r="Q156" i="13"/>
  <c r="P156" i="13"/>
  <c r="Q155" i="13"/>
  <c r="P155" i="13"/>
  <c r="Q154" i="13"/>
  <c r="P154" i="13"/>
  <c r="Q153" i="13"/>
  <c r="P153" i="13"/>
  <c r="Q152" i="13"/>
  <c r="P152" i="13"/>
  <c r="Q151" i="13"/>
  <c r="P151" i="13"/>
  <c r="Q150" i="13"/>
  <c r="P150" i="13"/>
  <c r="Q149" i="13"/>
  <c r="P149" i="13"/>
  <c r="Q148" i="13"/>
  <c r="P148" i="13"/>
  <c r="Q147" i="13"/>
  <c r="P147" i="13"/>
  <c r="Q146" i="13"/>
  <c r="P146" i="13"/>
  <c r="Q145" i="13"/>
  <c r="P145" i="13"/>
  <c r="Q144" i="13"/>
  <c r="P144" i="13"/>
  <c r="Q143" i="13"/>
  <c r="P143" i="13"/>
  <c r="Q142" i="13"/>
  <c r="P142" i="13"/>
  <c r="Q141" i="13"/>
  <c r="P141" i="13"/>
  <c r="Q140" i="13"/>
  <c r="P140" i="13"/>
  <c r="Q139" i="13"/>
  <c r="P139" i="13"/>
  <c r="Q138" i="13"/>
  <c r="P138" i="13"/>
  <c r="Q137" i="13"/>
  <c r="P137" i="13"/>
  <c r="Q136" i="13"/>
  <c r="P136" i="13"/>
  <c r="Q135" i="13"/>
  <c r="P135" i="13"/>
  <c r="Q134" i="13"/>
  <c r="P134" i="13"/>
  <c r="Q133" i="13"/>
  <c r="P133" i="13"/>
  <c r="Q132" i="13"/>
  <c r="P132" i="13"/>
  <c r="Q131" i="13"/>
  <c r="P131" i="13"/>
  <c r="Q130" i="13"/>
  <c r="P130" i="13"/>
  <c r="Q129" i="13"/>
  <c r="P129" i="13"/>
  <c r="Q128" i="13"/>
  <c r="P128" i="13"/>
  <c r="Q127" i="13"/>
  <c r="P127" i="13"/>
  <c r="Q126" i="13"/>
  <c r="P126" i="13"/>
  <c r="Q125" i="13"/>
  <c r="P125" i="13"/>
  <c r="Q124" i="13"/>
  <c r="P124" i="13"/>
  <c r="Q123" i="13"/>
  <c r="P123" i="13"/>
  <c r="Q122" i="13"/>
  <c r="P122" i="13"/>
  <c r="Q121" i="13"/>
  <c r="P121" i="13"/>
  <c r="Q120" i="13"/>
  <c r="P120" i="13"/>
  <c r="Q119" i="13"/>
  <c r="P119" i="13"/>
  <c r="Q118" i="13"/>
  <c r="P118" i="13"/>
  <c r="Q117" i="13"/>
  <c r="P117" i="13"/>
  <c r="Q116" i="13"/>
  <c r="P116" i="13"/>
  <c r="Q115" i="13"/>
  <c r="P115" i="13"/>
  <c r="Q114" i="13"/>
  <c r="P114" i="13"/>
  <c r="Q113" i="13"/>
  <c r="P113" i="13"/>
  <c r="Q112" i="13"/>
  <c r="P112" i="13"/>
  <c r="Q111" i="13"/>
  <c r="P111" i="13"/>
  <c r="Q110" i="13"/>
  <c r="P110" i="13"/>
  <c r="Q109" i="13"/>
  <c r="P109" i="13"/>
  <c r="Q108" i="13"/>
  <c r="P108" i="13"/>
  <c r="Q107" i="13"/>
  <c r="P107" i="13"/>
  <c r="Q106" i="13"/>
  <c r="P106" i="13"/>
  <c r="Q105" i="13"/>
  <c r="P105" i="13"/>
  <c r="Q104" i="13"/>
  <c r="P104" i="13"/>
  <c r="Q103" i="13"/>
  <c r="P103" i="13"/>
  <c r="Q102" i="13"/>
  <c r="P102" i="13"/>
  <c r="Q101" i="13"/>
  <c r="P101" i="13"/>
  <c r="Q100" i="13"/>
  <c r="P100" i="13"/>
  <c r="Q99" i="13"/>
  <c r="P99" i="13"/>
  <c r="Q98" i="13"/>
  <c r="P98" i="13"/>
  <c r="Q97" i="13"/>
  <c r="P97" i="13"/>
  <c r="Q96" i="13"/>
  <c r="P96" i="13"/>
  <c r="Q95" i="13"/>
  <c r="P95" i="13"/>
  <c r="Q94" i="13"/>
  <c r="P94" i="13"/>
  <c r="Q93" i="13"/>
  <c r="P93" i="13"/>
  <c r="Q92" i="13"/>
  <c r="P92" i="13"/>
  <c r="Q91" i="13"/>
  <c r="P91" i="13"/>
  <c r="Q90" i="13"/>
  <c r="P90" i="13"/>
  <c r="Q89" i="13"/>
  <c r="P89" i="13"/>
  <c r="Q88" i="13"/>
  <c r="P88" i="13"/>
  <c r="Q87" i="13"/>
  <c r="P87" i="13"/>
  <c r="Q86" i="13"/>
  <c r="P86" i="13"/>
  <c r="Q85" i="13"/>
  <c r="P85" i="13"/>
  <c r="Q84" i="13"/>
  <c r="P84" i="13"/>
  <c r="Q83" i="13"/>
  <c r="P83" i="13"/>
  <c r="Q82" i="13"/>
  <c r="P82" i="13"/>
  <c r="Q81" i="13"/>
  <c r="P81" i="13"/>
  <c r="Q80" i="13"/>
  <c r="P80" i="13"/>
  <c r="Q79" i="13"/>
  <c r="P79" i="13"/>
  <c r="Q78" i="13"/>
  <c r="P78" i="13"/>
  <c r="Q77" i="13"/>
  <c r="P77" i="13"/>
  <c r="Q76" i="13"/>
  <c r="P76" i="13"/>
  <c r="Q75" i="13"/>
  <c r="P75" i="13"/>
  <c r="Q74" i="13"/>
  <c r="P74" i="13"/>
  <c r="Q73" i="13"/>
  <c r="P73" i="13"/>
  <c r="Q72" i="13"/>
  <c r="P72" i="13"/>
  <c r="Q71" i="13"/>
  <c r="P71" i="13"/>
  <c r="Q70" i="13"/>
  <c r="P70" i="13"/>
  <c r="Q69" i="13"/>
  <c r="P69" i="13"/>
  <c r="Q68" i="13"/>
  <c r="P68" i="13"/>
  <c r="Q67" i="13"/>
  <c r="P67" i="13"/>
  <c r="Q66" i="13"/>
  <c r="P66" i="13"/>
  <c r="Q65" i="13"/>
  <c r="P65" i="13"/>
  <c r="Q64" i="13"/>
  <c r="P64" i="13"/>
  <c r="Q63" i="13"/>
  <c r="P63" i="13"/>
  <c r="Q62" i="13"/>
  <c r="P62" i="13"/>
  <c r="Q61" i="13"/>
  <c r="P61" i="13"/>
  <c r="Q60" i="13"/>
  <c r="P60" i="13"/>
  <c r="Q59" i="13"/>
  <c r="P59" i="13"/>
  <c r="Q58" i="13"/>
  <c r="P58" i="13"/>
  <c r="Q57" i="13"/>
  <c r="P57" i="13"/>
  <c r="Q56" i="13"/>
  <c r="P56" i="13"/>
  <c r="Q55" i="13"/>
  <c r="P55" i="13"/>
  <c r="Q54" i="13"/>
  <c r="P54" i="13"/>
  <c r="Q53" i="13"/>
  <c r="P53" i="13"/>
  <c r="Q52" i="13"/>
  <c r="P52" i="13"/>
  <c r="Q51" i="13"/>
  <c r="P51" i="13"/>
  <c r="Q50" i="13"/>
  <c r="P50" i="13"/>
  <c r="Q49" i="13"/>
  <c r="P49" i="13"/>
  <c r="Q48" i="13"/>
  <c r="P48" i="13"/>
  <c r="Q47" i="13"/>
  <c r="P47" i="13"/>
  <c r="Q46" i="13"/>
  <c r="P46" i="13"/>
  <c r="Q45" i="13"/>
  <c r="P45" i="13"/>
  <c r="Q44" i="13"/>
  <c r="P44" i="13"/>
  <c r="Q43" i="13"/>
  <c r="P43" i="13"/>
  <c r="Q42" i="13"/>
  <c r="P42" i="13"/>
  <c r="Q41" i="13"/>
  <c r="P41" i="13"/>
  <c r="Q40" i="13"/>
  <c r="P40" i="13"/>
  <c r="Q39" i="13"/>
  <c r="P39" i="13"/>
  <c r="Q38" i="13"/>
  <c r="P38" i="13"/>
  <c r="Q37" i="13"/>
  <c r="P37" i="13"/>
  <c r="Q36" i="13"/>
  <c r="P36" i="13"/>
  <c r="Q35" i="13"/>
  <c r="P35" i="13"/>
  <c r="Q34" i="13"/>
  <c r="P34" i="13"/>
  <c r="Q33" i="13"/>
  <c r="P33" i="13"/>
  <c r="Q32" i="13"/>
  <c r="P32" i="13"/>
  <c r="Q31" i="13"/>
  <c r="P31" i="13"/>
  <c r="Q30" i="13"/>
  <c r="P30" i="13"/>
  <c r="Q29" i="13"/>
  <c r="P29" i="13"/>
  <c r="Q28" i="13"/>
  <c r="P28" i="13"/>
  <c r="Q27" i="13"/>
  <c r="P27" i="13"/>
  <c r="Q26" i="13"/>
  <c r="P26" i="13"/>
  <c r="Q25" i="13"/>
  <c r="P25" i="13"/>
  <c r="Q24" i="13"/>
  <c r="P24" i="13"/>
  <c r="Q23" i="13"/>
  <c r="P23" i="13"/>
  <c r="Q22" i="13"/>
  <c r="P22" i="13"/>
  <c r="Q21" i="13"/>
  <c r="P21" i="13"/>
  <c r="Q20" i="13"/>
  <c r="P20" i="13"/>
  <c r="Q19" i="13"/>
  <c r="P19" i="13"/>
  <c r="Q18" i="13"/>
  <c r="P18" i="13"/>
  <c r="Q17" i="13"/>
  <c r="P17" i="13"/>
  <c r="Q16" i="13"/>
  <c r="P16" i="13"/>
  <c r="Q15" i="13"/>
  <c r="P15" i="13"/>
  <c r="Q14" i="13"/>
  <c r="P14" i="13"/>
  <c r="Q13" i="13"/>
  <c r="P13" i="13"/>
  <c r="Q12" i="13"/>
  <c r="P12" i="13"/>
  <c r="Q11" i="13"/>
  <c r="P11" i="13"/>
  <c r="Q10" i="13"/>
  <c r="P10" i="13"/>
  <c r="Q9" i="13"/>
  <c r="P9" i="13"/>
  <c r="Q8" i="13"/>
  <c r="P8" i="13"/>
  <c r="Q7" i="13"/>
  <c r="P7" i="13"/>
  <c r="Q6" i="13"/>
  <c r="P6" i="13"/>
  <c r="Q5" i="13"/>
  <c r="P5" i="13"/>
  <c r="Q4" i="13"/>
  <c r="P4" i="13"/>
  <c r="Q3" i="13"/>
  <c r="P3" i="13"/>
  <c r="Q2" i="13"/>
  <c r="P2" i="13"/>
  <c r="A236" i="12"/>
  <c r="A235" i="12"/>
  <c r="A234" i="12"/>
  <c r="A233" i="12"/>
  <c r="A232" i="12"/>
  <c r="A231" i="12"/>
  <c r="A230" i="12"/>
  <c r="A229" i="12"/>
  <c r="A228" i="12"/>
  <c r="A227" i="12"/>
  <c r="A222" i="12"/>
  <c r="A221" i="12"/>
  <c r="A220" i="12"/>
  <c r="A219" i="12"/>
  <c r="A218" i="12"/>
  <c r="A217" i="12"/>
  <c r="A215" i="12"/>
  <c r="A214" i="12"/>
  <c r="A213" i="12"/>
  <c r="A212" i="12"/>
  <c r="A211" i="12"/>
  <c r="A210" i="12"/>
  <c r="A209" i="12"/>
  <c r="A208" i="12"/>
  <c r="A207" i="12"/>
  <c r="A206" i="12"/>
  <c r="A205" i="12"/>
  <c r="A204" i="12"/>
  <c r="A203" i="12"/>
  <c r="A202" i="12"/>
  <c r="A201" i="12"/>
  <c r="A200" i="12"/>
  <c r="A199" i="12"/>
  <c r="A198" i="12"/>
  <c r="A197" i="12"/>
  <c r="A196" i="12"/>
  <c r="A195" i="12"/>
  <c r="A194" i="12"/>
  <c r="A193" i="12"/>
  <c r="A192" i="12"/>
  <c r="A191" i="12"/>
  <c r="A190" i="12"/>
  <c r="A189" i="12"/>
  <c r="A188" i="12"/>
  <c r="A187" i="12"/>
  <c r="A186" i="12"/>
  <c r="A185" i="12"/>
  <c r="A184" i="12"/>
  <c r="A183" i="12"/>
  <c r="A182" i="12"/>
  <c r="A181" i="12"/>
  <c r="A180" i="12"/>
  <c r="A179" i="12"/>
  <c r="A178" i="12"/>
  <c r="A177" i="12"/>
  <c r="A176" i="12"/>
  <c r="F47" i="12"/>
  <c r="F48" i="12" s="1"/>
  <c r="F44" i="12"/>
  <c r="F45" i="12" s="1"/>
  <c r="F43" i="12"/>
  <c r="F39" i="12"/>
  <c r="F38" i="12"/>
  <c r="F34" i="12"/>
  <c r="F36" i="12" s="1"/>
  <c r="F29" i="12"/>
  <c r="F30" i="12" s="1"/>
  <c r="F31" i="12" s="1"/>
  <c r="F32" i="12" s="1"/>
  <c r="F25" i="12"/>
  <c r="F26" i="12" s="1"/>
  <c r="F27" i="12" s="1"/>
  <c r="F28" i="12" s="1"/>
  <c r="F21" i="12"/>
  <c r="F22" i="12" s="1"/>
  <c r="F23" i="12" s="1"/>
  <c r="F24" i="12" s="1"/>
  <c r="F16" i="12"/>
  <c r="F15" i="12"/>
  <c r="F14" i="12"/>
  <c r="F13" i="12"/>
  <c r="F11" i="12"/>
  <c r="F12" i="12" s="1"/>
  <c r="F7" i="12"/>
  <c r="F8" i="12" s="1"/>
  <c r="F9" i="12" s="1"/>
  <c r="F4" i="12"/>
  <c r="F6" i="12" s="1"/>
  <c r="G235" i="4"/>
  <c r="F5" i="12" l="1"/>
  <c r="F3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K72" authorId="0" shapeId="0" xr:uid="{00000000-0006-0000-0500-000001000000}">
      <text>
        <r>
          <rPr>
            <sz val="11"/>
            <color theme="1"/>
            <rFont val="Calibri"/>
            <scheme val="minor"/>
          </rPr>
          <t>BARU</t>
        </r>
      </text>
    </comment>
    <comment ref="K179" authorId="0" shapeId="0" xr:uid="{00000000-0006-0000-0500-000002000000}">
      <text>
        <r>
          <rPr>
            <sz val="11"/>
            <color theme="1"/>
            <rFont val="Calibri"/>
            <scheme val="minor"/>
          </rPr>
          <t>BELUM TERDAFTAR??</t>
        </r>
      </text>
    </comment>
  </commentList>
</comments>
</file>

<file path=xl/sharedStrings.xml><?xml version="1.0" encoding="utf-8"?>
<sst xmlns="http://schemas.openxmlformats.org/spreadsheetml/2006/main" count="39224" uniqueCount="2729">
  <si>
    <t>OLD</t>
  </si>
  <si>
    <t>NEW</t>
  </si>
  <si>
    <t>NO</t>
  </si>
  <si>
    <t>PLANT</t>
  </si>
  <si>
    <t>SUB BAGIAN</t>
  </si>
  <si>
    <t xml:space="preserve">KODE </t>
  </si>
  <si>
    <t>DESCRIPTION</t>
  </si>
  <si>
    <t>KODE</t>
  </si>
  <si>
    <t>REVISI</t>
  </si>
  <si>
    <t>NOTE</t>
  </si>
  <si>
    <t>COST CENTER</t>
  </si>
  <si>
    <t>DEVISI</t>
  </si>
  <si>
    <t>START TIME</t>
  </si>
  <si>
    <t>END TIME</t>
  </si>
  <si>
    <t>CAPASITAS</t>
  </si>
  <si>
    <t>BREAK</t>
  </si>
  <si>
    <t>PERSON RESPOSIBLE</t>
  </si>
  <si>
    <t>SAWMILL MP</t>
  </si>
  <si>
    <t>1SMCT1</t>
  </si>
  <si>
    <t>SAWMILL CUTTING UTAMA</t>
  </si>
  <si>
    <t>WC001</t>
  </si>
  <si>
    <t>1111150001</t>
  </si>
  <si>
    <t>SAWMILL</t>
  </si>
  <si>
    <t>07:30</t>
  </si>
  <si>
    <t>01:00</t>
  </si>
  <si>
    <t>1SM</t>
  </si>
  <si>
    <t>1SMCT2</t>
  </si>
  <si>
    <t>SAWMILL CUTTING UKURAN A</t>
  </si>
  <si>
    <t>WC002</t>
  </si>
  <si>
    <t>1111150002</t>
  </si>
  <si>
    <t>1SMCT3</t>
  </si>
  <si>
    <t>SAWMILL CUTTING UKURAN B</t>
  </si>
  <si>
    <t>WC003</t>
  </si>
  <si>
    <t>1111150003</t>
  </si>
  <si>
    <t>SAWMILL FINISHING</t>
  </si>
  <si>
    <t>1SMCT4</t>
  </si>
  <si>
    <t xml:space="preserve">SAWMILL CROSS CUT </t>
  </si>
  <si>
    <t>WC004</t>
  </si>
  <si>
    <t>NOT USE</t>
  </si>
  <si>
    <t>1SMMN1</t>
  </si>
  <si>
    <t>SAWMILL GRADING</t>
  </si>
  <si>
    <t>WC005</t>
  </si>
  <si>
    <t>1SMMN2</t>
  </si>
  <si>
    <t>SM PROSES PENGOBATAN</t>
  </si>
  <si>
    <t>WC006</t>
  </si>
  <si>
    <t>1SMMN3</t>
  </si>
  <si>
    <t>SM PROSES TALLY</t>
  </si>
  <si>
    <t>WC007</t>
  </si>
  <si>
    <t>1SMMN4</t>
  </si>
  <si>
    <t>SM PROSES BARCODE</t>
  </si>
  <si>
    <t>WC008</t>
  </si>
  <si>
    <t>KD</t>
  </si>
  <si>
    <t>1KDCB01</t>
  </si>
  <si>
    <t>KILN DRY CHAMBER 1</t>
  </si>
  <si>
    <t>WC009</t>
  </si>
  <si>
    <t>1111160001</t>
  </si>
  <si>
    <t>1KD</t>
  </si>
  <si>
    <t>1KDCB02</t>
  </si>
  <si>
    <t>KILN DRY CHAMBER 2</t>
  </si>
  <si>
    <t>WC010</t>
  </si>
  <si>
    <t>1KDCB03</t>
  </si>
  <si>
    <t>KILN DRY CHAMBER 3</t>
  </si>
  <si>
    <t>WC011</t>
  </si>
  <si>
    <t>1KDCB04</t>
  </si>
  <si>
    <t>KILN DRY CHAMBER 4</t>
  </si>
  <si>
    <t>WC012</t>
  </si>
  <si>
    <t>1KDCB05</t>
  </si>
  <si>
    <t>KILN DRY CHAMBER 5</t>
  </si>
  <si>
    <t>WC013</t>
  </si>
  <si>
    <t>1KDCB06</t>
  </si>
  <si>
    <t>KILN DRY CHAMBER 6</t>
  </si>
  <si>
    <t>WC014</t>
  </si>
  <si>
    <t>1KDCB07</t>
  </si>
  <si>
    <t>KILN DRY CHAMBER 7</t>
  </si>
  <si>
    <t>WC015</t>
  </si>
  <si>
    <t>1KDCB08</t>
  </si>
  <si>
    <t>KILN DRY CHAMBER 8</t>
  </si>
  <si>
    <t>WC016</t>
  </si>
  <si>
    <t>SLICER</t>
  </si>
  <si>
    <t>1SLCMP</t>
  </si>
  <si>
    <t>MP. SLICER</t>
  </si>
  <si>
    <t>WC017</t>
  </si>
  <si>
    <t>1111140001</t>
  </si>
  <si>
    <t>02:00</t>
  </si>
  <si>
    <t>1SL</t>
  </si>
  <si>
    <t>1SLCCUT1</t>
  </si>
  <si>
    <t>SLICER 1</t>
  </si>
  <si>
    <t>WC018</t>
  </si>
  <si>
    <t>1111140002</t>
  </si>
  <si>
    <t>1SLCCUT2</t>
  </si>
  <si>
    <t>SLICER 2</t>
  </si>
  <si>
    <t>WC019</t>
  </si>
  <si>
    <t>1SLCCUT3</t>
  </si>
  <si>
    <t>SLICER 3</t>
  </si>
  <si>
    <t>WC020</t>
  </si>
  <si>
    <t>1SLCDRY</t>
  </si>
  <si>
    <t>DRYING MACHINERY</t>
  </si>
  <si>
    <t>WC021</t>
  </si>
  <si>
    <t>1111140003</t>
  </si>
  <si>
    <t>WH</t>
  </si>
  <si>
    <t>2PKHRD</t>
  </si>
  <si>
    <t>PACKING HARDWARE PLANT WARE HOUSE</t>
  </si>
  <si>
    <t>WC022</t>
  </si>
  <si>
    <t>PACKING HARDWARE &amp; KACA</t>
  </si>
  <si>
    <t>1083000001</t>
  </si>
  <si>
    <t>WAREHOUSE</t>
  </si>
  <si>
    <t>1WH</t>
  </si>
  <si>
    <t>MATERIAL PREPARATION</t>
  </si>
  <si>
    <t>1WWPLNR</t>
  </si>
  <si>
    <t>Double Planner  KMI</t>
  </si>
  <si>
    <t>WC023</t>
  </si>
  <si>
    <t>1111011001</t>
  </si>
  <si>
    <t>WW PLANT 1000</t>
  </si>
  <si>
    <t>1WW</t>
  </si>
  <si>
    <t>1WWCUT1</t>
  </si>
  <si>
    <t>MP. Cutting 1  KMI</t>
  </si>
  <si>
    <t>WC024</t>
  </si>
  <si>
    <t>1111011002</t>
  </si>
  <si>
    <t>1WWCUT2</t>
  </si>
  <si>
    <t>MP. Cutting 2  KMI</t>
  </si>
  <si>
    <t>WC025</t>
  </si>
  <si>
    <t>FJ</t>
  </si>
  <si>
    <t>1WWFIJO</t>
  </si>
  <si>
    <t>Finger Joint  KMI</t>
  </si>
  <si>
    <t>WC026</t>
  </si>
  <si>
    <t>1111012001</t>
  </si>
  <si>
    <t>LMNT</t>
  </si>
  <si>
    <t>1WWLAM1</t>
  </si>
  <si>
    <t>Laminatery 1 Rotary 4 wing  KMI</t>
  </si>
  <si>
    <t>WC027</t>
  </si>
  <si>
    <t>1111013001</t>
  </si>
  <si>
    <t>1WWLAM2</t>
  </si>
  <si>
    <t>Laminatery 2 Rotary 8 wing KMI</t>
  </si>
  <si>
    <t>WC028</t>
  </si>
  <si>
    <t>03:00</t>
  </si>
  <si>
    <t>1WWLAM3</t>
  </si>
  <si>
    <t>Laminatery 3 Vinita KMI</t>
  </si>
  <si>
    <t>WC029</t>
  </si>
  <si>
    <t>1WWLAM5</t>
  </si>
  <si>
    <t>Laminatery 5 Rotary MK.0023 ( 4 Wing )</t>
  </si>
  <si>
    <t>WC030</t>
  </si>
  <si>
    <t>1WWSAND</t>
  </si>
  <si>
    <t>Sander  KMI</t>
  </si>
  <si>
    <t>WC031</t>
  </si>
  <si>
    <t>1111013002</t>
  </si>
  <si>
    <t>MP WE</t>
  </si>
  <si>
    <t>1CWFRSR1</t>
  </si>
  <si>
    <t>Single Rip 1  KMI</t>
  </si>
  <si>
    <t>WC033</t>
  </si>
  <si>
    <t>1111021001</t>
  </si>
  <si>
    <t>WE</t>
  </si>
  <si>
    <t>1WE</t>
  </si>
  <si>
    <t>1CWFRSR2</t>
  </si>
  <si>
    <t>Single Rip 2  KMI</t>
  </si>
  <si>
    <t>WC034</t>
  </si>
  <si>
    <t>1CWFRSR4</t>
  </si>
  <si>
    <t>Single Rip4  KMI</t>
  </si>
  <si>
    <t>WC035</t>
  </si>
  <si>
    <t>LMNT WE</t>
  </si>
  <si>
    <t>1CWLMROT</t>
  </si>
  <si>
    <t>Rotary  KMI</t>
  </si>
  <si>
    <t>WC036</t>
  </si>
  <si>
    <t>1CWLMVIN</t>
  </si>
  <si>
    <t>Vinita  KMI</t>
  </si>
  <si>
    <t>WC037</t>
  </si>
  <si>
    <t>1CWLMNEW</t>
  </si>
  <si>
    <t>Newman  KMI</t>
  </si>
  <si>
    <t>WC038</t>
  </si>
  <si>
    <t>MACHINING</t>
  </si>
  <si>
    <t>1CWFRSW1</t>
  </si>
  <si>
    <t>CNC Band Saw  KMI</t>
  </si>
  <si>
    <t>WC039</t>
  </si>
  <si>
    <t>1111022001</t>
  </si>
  <si>
    <t>MOULDING</t>
  </si>
  <si>
    <t>1CWMOLD4</t>
  </si>
  <si>
    <t>MOULDER WEINIG POWERMAT 1000/012 - 7 SPINDLES   MP.0628</t>
  </si>
  <si>
    <t>WC040</t>
  </si>
  <si>
    <t>1111024001</t>
  </si>
  <si>
    <t>1CWMOLD1</t>
  </si>
  <si>
    <t>MOULDING POWERMATT 2000 KMI</t>
  </si>
  <si>
    <t>WC041</t>
  </si>
  <si>
    <t>1111024002</t>
  </si>
  <si>
    <t>1CWMOLD2</t>
  </si>
  <si>
    <t>MOULDING POWERMATT 2000 XL</t>
  </si>
  <si>
    <t>WC042</t>
  </si>
  <si>
    <t>1111024003</t>
  </si>
  <si>
    <t>1CWMOLD3</t>
  </si>
  <si>
    <t>MOULDING U-300 KMI</t>
  </si>
  <si>
    <t>WC043</t>
  </si>
  <si>
    <t>1111024004</t>
  </si>
  <si>
    <t>1CWMANUA</t>
  </si>
  <si>
    <t>MANUAL DOWEL&amp;RAIL KMI 1</t>
  </si>
  <si>
    <t>WC044</t>
  </si>
  <si>
    <t>1111024005</t>
  </si>
  <si>
    <t>1CWMOLD5</t>
  </si>
  <si>
    <t>MOULDING UNIMAT 23 MP.0053</t>
  </si>
  <si>
    <t>WC045</t>
  </si>
  <si>
    <t>1111024006</t>
  </si>
  <si>
    <t>1CWMOLD6</t>
  </si>
  <si>
    <t>MOULDING UNIMAT 22 E</t>
  </si>
  <si>
    <t>WC046</t>
  </si>
  <si>
    <t>1111024007</t>
  </si>
  <si>
    <t>1CWMOLD7</t>
  </si>
  <si>
    <t>MOULDING UNIMAT 23 E</t>
  </si>
  <si>
    <t>WC047</t>
  </si>
  <si>
    <t>1111024008</t>
  </si>
  <si>
    <t>WINTER STREIGER</t>
  </si>
  <si>
    <t>1WEVNWTS</t>
  </si>
  <si>
    <t>Winter Streiger  Wooden Component</t>
  </si>
  <si>
    <t>WC048</t>
  </si>
  <si>
    <t>MP PANEL</t>
  </si>
  <si>
    <t>1PNCTSCH</t>
  </si>
  <si>
    <t>SCHEELING  1 KMI</t>
  </si>
  <si>
    <t>WC049</t>
  </si>
  <si>
    <t>1111031001</t>
  </si>
  <si>
    <t>PANELING</t>
  </si>
  <si>
    <t>1PN</t>
  </si>
  <si>
    <t>1PNCTSC2</t>
  </si>
  <si>
    <t>SCHEELING 2 (FH4330)  KMI</t>
  </si>
  <si>
    <t>WC050</t>
  </si>
  <si>
    <t>1PNCTCNC</t>
  </si>
  <si>
    <t>PANELING CNC 3 KMI</t>
  </si>
  <si>
    <t>WC051</t>
  </si>
  <si>
    <t>1111031002</t>
  </si>
  <si>
    <t>1PNCTCN2</t>
  </si>
  <si>
    <t>PANELING CNC 4 KMI</t>
  </si>
  <si>
    <t>WC052</t>
  </si>
  <si>
    <t>MP VENEER LURUS</t>
  </si>
  <si>
    <t>1PNVLJOS</t>
  </si>
  <si>
    <t>JOSTING   PANELING KMI</t>
  </si>
  <si>
    <t>WC053</t>
  </si>
  <si>
    <t>1111032001</t>
  </si>
  <si>
    <t>1PNVLKP1</t>
  </si>
  <si>
    <t>KUPER 1</t>
  </si>
  <si>
    <t>WC054</t>
  </si>
  <si>
    <t>1111033001</t>
  </si>
  <si>
    <t>02:30</t>
  </si>
  <si>
    <t>1PNVLKP2</t>
  </si>
  <si>
    <t>KUPER 2</t>
  </si>
  <si>
    <t>WC055</t>
  </si>
  <si>
    <t>1PNVLKP3</t>
  </si>
  <si>
    <t>KUPER 3 ( BENANG )</t>
  </si>
  <si>
    <t>WC056</t>
  </si>
  <si>
    <t>1111033002</t>
  </si>
  <si>
    <t>1PNVLCT1</t>
  </si>
  <si>
    <t>SINGLE RIP</t>
  </si>
  <si>
    <t>WC057</t>
  </si>
  <si>
    <t>MP VENEER MOTIVE</t>
  </si>
  <si>
    <t>1PNVMLS1</t>
  </si>
  <si>
    <t>LASER 1  KMI</t>
  </si>
  <si>
    <t>WC058</t>
  </si>
  <si>
    <t>MANUAL MOTIF CASEGOOD</t>
  </si>
  <si>
    <t>20:00</t>
  </si>
  <si>
    <t>1PNVMMN1</t>
  </si>
  <si>
    <t>MANUAL MOTIF JOINT</t>
  </si>
  <si>
    <t>WC059</t>
  </si>
  <si>
    <t>MANUAL MOTIF LINE C</t>
  </si>
  <si>
    <t>WC585</t>
  </si>
  <si>
    <t>MANUAL MOTIF KMI 3</t>
  </si>
  <si>
    <t>1PNLMNH1</t>
  </si>
  <si>
    <t>NHF VINITA   KMI</t>
  </si>
  <si>
    <t>WC060</t>
  </si>
  <si>
    <t>1111035001</t>
  </si>
  <si>
    <t>1PNLKCOL</t>
  </si>
  <si>
    <t>COOLPRESS  KMI</t>
  </si>
  <si>
    <t>WC061</t>
  </si>
  <si>
    <t>1111035002</t>
  </si>
  <si>
    <t>1PNLSNKV</t>
  </si>
  <si>
    <t>PROSES PANEL SENNERSKOV  KMI</t>
  </si>
  <si>
    <t>WC062</t>
  </si>
  <si>
    <t>1111035006</t>
  </si>
  <si>
    <t>1PNVKOB1</t>
  </si>
  <si>
    <t>KOBAYASHI 1 ( A )  KMI</t>
  </si>
  <si>
    <t>WC063</t>
  </si>
  <si>
    <t>1111035003</t>
  </si>
  <si>
    <t>1PNVKOB2</t>
  </si>
  <si>
    <t>KOBAYASHI 2 ( D )  KMI</t>
  </si>
  <si>
    <t>WC064</t>
  </si>
  <si>
    <t>1111035004</t>
  </si>
  <si>
    <t>1PNVKOB3</t>
  </si>
  <si>
    <t>KOBAYASHI 3 ( PPI/DRAWER )  KMI</t>
  </si>
  <si>
    <t>WC065</t>
  </si>
  <si>
    <t>1111035005</t>
  </si>
  <si>
    <t>1PNVPSTH</t>
  </si>
  <si>
    <t>TAIHEI ( C )  KMI</t>
  </si>
  <si>
    <t>WC066</t>
  </si>
  <si>
    <t>1PNVYAMA</t>
  </si>
  <si>
    <t>YAMAMOTO ( DOOR/GT )  KMI</t>
  </si>
  <si>
    <t>WC067</t>
  </si>
  <si>
    <t>1111035007</t>
  </si>
  <si>
    <t>1PNVMBSB</t>
  </si>
  <si>
    <t>MEMBRAN SEIBU  KMI</t>
  </si>
  <si>
    <t>WC068</t>
  </si>
  <si>
    <t>1111035008</t>
  </si>
  <si>
    <t>1PNVSNAM</t>
  </si>
  <si>
    <t>SANDER AMITEX  KMI</t>
  </si>
  <si>
    <t>WC069</t>
  </si>
  <si>
    <t>1111035009</t>
  </si>
  <si>
    <t>1PNVSNHS</t>
  </si>
  <si>
    <t>HASSEMEN  KMI</t>
  </si>
  <si>
    <t>WC070</t>
  </si>
  <si>
    <t>HASSEMEN &amp; WARE BRUSH KMI</t>
  </si>
  <si>
    <t>1111035010</t>
  </si>
  <si>
    <t>1PNLKVB1</t>
  </si>
  <si>
    <t>VINITA BENDING 1  KMI</t>
  </si>
  <si>
    <t>WC071</t>
  </si>
  <si>
    <t>1111035012</t>
  </si>
  <si>
    <t>MCH LEG</t>
  </si>
  <si>
    <t>2GTLG1</t>
  </si>
  <si>
    <t>CNC ROUTER HEIAN NC-531P-FS MP.0558</t>
  </si>
  <si>
    <t>WC072</t>
  </si>
  <si>
    <t>1111041102</t>
  </si>
  <si>
    <t>SPORT GAME &amp; DOOR</t>
  </si>
  <si>
    <t>2GT</t>
  </si>
  <si>
    <t>2GTLG2</t>
  </si>
  <si>
    <t>CNC 2 NC.163 SHODA MP.0187</t>
  </si>
  <si>
    <t>WC073</t>
  </si>
  <si>
    <t>1111041103</t>
  </si>
  <si>
    <t>2GTLG3</t>
  </si>
  <si>
    <t>PROSES MANUAL LEG 2SGMNLG</t>
  </si>
  <si>
    <t>WC074</t>
  </si>
  <si>
    <t>1111041101</t>
  </si>
  <si>
    <t>MCH RAIL</t>
  </si>
  <si>
    <t>2GTRG1</t>
  </si>
  <si>
    <t>CNC ROUTER HEIAN NC-271 PMC   UN REG MP.0606</t>
  </si>
  <si>
    <t>WC075</t>
  </si>
  <si>
    <t>1111041202</t>
  </si>
  <si>
    <t>2GTRG2</t>
  </si>
  <si>
    <t>CNC ROUTER HEIAN NC-271 PMC   MP.0605</t>
  </si>
  <si>
    <t>WC076</t>
  </si>
  <si>
    <t>1111041203</t>
  </si>
  <si>
    <t>2GTRG3</t>
  </si>
  <si>
    <t>CNC ROUTER HEIAN ER-431PS MP.0557</t>
  </si>
  <si>
    <t>WC077</t>
  </si>
  <si>
    <t>1111041204</t>
  </si>
  <si>
    <t>2GTRG4</t>
  </si>
  <si>
    <t>PROSES MANUAL RAIL 2SGMNRL</t>
  </si>
  <si>
    <t>WC078</t>
  </si>
  <si>
    <t>1111041201</t>
  </si>
  <si>
    <t>MCH SILL APRON</t>
  </si>
  <si>
    <t>2GTSG1</t>
  </si>
  <si>
    <t>CNC ROUTER SHODA NC291-6716   MP.0633</t>
  </si>
  <si>
    <t>WC079</t>
  </si>
  <si>
    <t>1111041302</t>
  </si>
  <si>
    <t>2GTSG2</t>
  </si>
  <si>
    <t>CNC ROUTER SHODA NCW-516-1346 MP.0553</t>
  </si>
  <si>
    <t>WC080</t>
  </si>
  <si>
    <t>1111041303</t>
  </si>
  <si>
    <t>2GTSG3</t>
  </si>
  <si>
    <t>PROSES MANUAL SILL APRONT 2SGMNSA</t>
  </si>
  <si>
    <t>WC081</t>
  </si>
  <si>
    <t>1111041301</t>
  </si>
  <si>
    <t>MCH DOOR</t>
  </si>
  <si>
    <t>2DRMC1</t>
  </si>
  <si>
    <t>CNC BACCI MASTER FLAT MAST/02 DOOR&amp;GG</t>
  </si>
  <si>
    <t>WC082</t>
  </si>
  <si>
    <t>ASSY</t>
  </si>
  <si>
    <t>2GTLG4</t>
  </si>
  <si>
    <t>PROSES ASSEMBLY LEG</t>
  </si>
  <si>
    <t>WC083</t>
  </si>
  <si>
    <t>1111042201</t>
  </si>
  <si>
    <t>2GTRG5</t>
  </si>
  <si>
    <t>PROSES ASSEMBLY RAIL</t>
  </si>
  <si>
    <t>WC084</t>
  </si>
  <si>
    <t>1111042301</t>
  </si>
  <si>
    <t>2GTSG4</t>
  </si>
  <si>
    <t>PROSES ASSEMBLY SILL APRONT</t>
  </si>
  <si>
    <t>WC085</t>
  </si>
  <si>
    <t>1111042401</t>
  </si>
  <si>
    <t>2GTSD1</t>
  </si>
  <si>
    <t>PROSES SANDING</t>
  </si>
  <si>
    <t>WC086</t>
  </si>
  <si>
    <t>1111042101</t>
  </si>
  <si>
    <t>23:30</t>
  </si>
  <si>
    <t>2GTSD2</t>
  </si>
  <si>
    <t>PROSES WIRE BRASS</t>
  </si>
  <si>
    <t>WC087</t>
  </si>
  <si>
    <t>1111042102</t>
  </si>
  <si>
    <t>2GTPLT</t>
  </si>
  <si>
    <t>PROSES PACKING PALET</t>
  </si>
  <si>
    <t>WC088</t>
  </si>
  <si>
    <t>1111042501</t>
  </si>
  <si>
    <t>PANTING</t>
  </si>
  <si>
    <t>2GTPT1</t>
  </si>
  <si>
    <t>PROSES PAINTING SPORT GAME &amp; DOOR</t>
  </si>
  <si>
    <t>WC089</t>
  </si>
  <si>
    <t>MACHINING BED &amp; DINING</t>
  </si>
  <si>
    <t>2CGMC1</t>
  </si>
  <si>
    <t>CASE GOOD C1 BED MACHINING MANUAL</t>
  </si>
  <si>
    <t>WC090</t>
  </si>
  <si>
    <t>1111081001</t>
  </si>
  <si>
    <t>BED &amp; DINING</t>
  </si>
  <si>
    <t>2C1</t>
  </si>
  <si>
    <t>2CGCC1</t>
  </si>
  <si>
    <t>CNC ROUTER (9) HEIAN ZR442PE MP.0342</t>
  </si>
  <si>
    <t>WC091</t>
  </si>
  <si>
    <t>1111081004</t>
  </si>
  <si>
    <t>2CGCC2</t>
  </si>
  <si>
    <t>CNC ROUTER HEIAN NC-431P MP.0602</t>
  </si>
  <si>
    <t>WC092</t>
  </si>
  <si>
    <t>1111081005</t>
  </si>
  <si>
    <t>2CGCC3</t>
  </si>
  <si>
    <t>CNC CARVING (1) KITAKO CVH4-2300-5A  MP.0190</t>
  </si>
  <si>
    <t>WC093</t>
  </si>
  <si>
    <t>1111081002</t>
  </si>
  <si>
    <t>2CGCC4</t>
  </si>
  <si>
    <t>CNC NC 272P HEIAN MP.0591</t>
  </si>
  <si>
    <t>WC094</t>
  </si>
  <si>
    <t>1111081006</t>
  </si>
  <si>
    <t>2CGCC5</t>
  </si>
  <si>
    <t>CNC ROUTER HEIAN ER-43 1P HEIAN ER-431P MP.0550</t>
  </si>
  <si>
    <t>WC095</t>
  </si>
  <si>
    <t>1111081007</t>
  </si>
  <si>
    <t>2CGCC6</t>
  </si>
  <si>
    <t>CNC Ares 4818</t>
  </si>
  <si>
    <t>WC096</t>
  </si>
  <si>
    <t>1111081003</t>
  </si>
  <si>
    <t>2CGCC7</t>
  </si>
  <si>
    <t>CNC BACCI MASTER 1866</t>
  </si>
  <si>
    <t>WC097</t>
  </si>
  <si>
    <t>2CGSC1</t>
  </si>
  <si>
    <t>CG C Sanding Komponen Dining</t>
  </si>
  <si>
    <t>WC098</t>
  </si>
  <si>
    <t>06:00</t>
  </si>
  <si>
    <t>2CGCDT</t>
  </si>
  <si>
    <t>Palang Kuda Top General</t>
  </si>
  <si>
    <t>WC099</t>
  </si>
  <si>
    <t>Palang Kuda Top 1</t>
  </si>
  <si>
    <t>2CGCDB</t>
  </si>
  <si>
    <t>Palang kuda Base General</t>
  </si>
  <si>
    <t>WC100</t>
  </si>
  <si>
    <t xml:space="preserve">Palang kuda Base </t>
  </si>
  <si>
    <t>2CGSC2</t>
  </si>
  <si>
    <t>CG C Sanding Komponen Bed</t>
  </si>
  <si>
    <t>WC101</t>
  </si>
  <si>
    <t>2CGCBH</t>
  </si>
  <si>
    <t>Palang Kuda HB/FB General</t>
  </si>
  <si>
    <t>WC102</t>
  </si>
  <si>
    <t>Palang Kuda HB/FB 1</t>
  </si>
  <si>
    <t>2CGCBR</t>
  </si>
  <si>
    <t xml:space="preserve">Palang Kuda Rail </t>
  </si>
  <si>
    <t>WC103</t>
  </si>
  <si>
    <t>WC474</t>
  </si>
  <si>
    <t>Palang Kuda Top 2</t>
  </si>
  <si>
    <t>WC475</t>
  </si>
  <si>
    <t>Palang Kuda Top 3</t>
  </si>
  <si>
    <t>WC476</t>
  </si>
  <si>
    <t>Palang Kuda Top 4</t>
  </si>
  <si>
    <t>WC477</t>
  </si>
  <si>
    <t>Palang Kuda HB/FB 2</t>
  </si>
  <si>
    <t>UPH</t>
  </si>
  <si>
    <t>2UPMP1</t>
  </si>
  <si>
    <t>MP UPHOLSTERY</t>
  </si>
  <si>
    <t>WC104</t>
  </si>
  <si>
    <t>2UP</t>
  </si>
  <si>
    <t>2UPASS</t>
  </si>
  <si>
    <t>ASSY UPHOLSTERY</t>
  </si>
  <si>
    <t>WC105</t>
  </si>
  <si>
    <t>1111110002</t>
  </si>
  <si>
    <t>CCGMB1</t>
  </si>
  <si>
    <t>CASE GOOD B PROSES MANUAL</t>
  </si>
  <si>
    <t>WC106</t>
  </si>
  <si>
    <t>1111071001</t>
  </si>
  <si>
    <t>DRAWER</t>
  </si>
  <si>
    <t>2GW</t>
  </si>
  <si>
    <t>PAINTING</t>
  </si>
  <si>
    <t>2CGCB1</t>
  </si>
  <si>
    <t>CNC ROUTER HEIAN NC-442PF</t>
  </si>
  <si>
    <t>WC107</t>
  </si>
  <si>
    <t>1111071002</t>
  </si>
  <si>
    <t>2CGCB2</t>
  </si>
  <si>
    <t>CNC ROUTER SHODA  NC-516-L</t>
  </si>
  <si>
    <t>WC108</t>
  </si>
  <si>
    <t>1111071003</t>
  </si>
  <si>
    <t>2CGBUV</t>
  </si>
  <si>
    <t>PROSES UV</t>
  </si>
  <si>
    <t>WC109</t>
  </si>
  <si>
    <t>1111072001</t>
  </si>
  <si>
    <t>2CGAB3</t>
  </si>
  <si>
    <t>FINAL SANDING ASSY DRAWER</t>
  </si>
  <si>
    <t>WC110</t>
  </si>
  <si>
    <t>1111073001</t>
  </si>
  <si>
    <t>2CGAB1</t>
  </si>
  <si>
    <t>CASE GOOD B ASSEMBLY DRAWER LINE 1</t>
  </si>
  <si>
    <t>WC111</t>
  </si>
  <si>
    <t>CASE GOOD B ASSEMBLY DRAWER</t>
  </si>
  <si>
    <t>1111073002</t>
  </si>
  <si>
    <t>WC478</t>
  </si>
  <si>
    <t>CASE GOOD B ASSEMBLY DRAWER LINE 2</t>
  </si>
  <si>
    <t>MP CHAIR</t>
  </si>
  <si>
    <t>2CHPE1</t>
  </si>
  <si>
    <t>MOULDING MP0004</t>
  </si>
  <si>
    <t>WC112</t>
  </si>
  <si>
    <t>1111051001</t>
  </si>
  <si>
    <t>CHAIR</t>
  </si>
  <si>
    <t>2CH</t>
  </si>
  <si>
    <t>2CHPE2</t>
  </si>
  <si>
    <t>RIP MP.0569</t>
  </si>
  <si>
    <t>WC113</t>
  </si>
  <si>
    <t>1111051002</t>
  </si>
  <si>
    <t>2CHPE3</t>
  </si>
  <si>
    <t>MZ 1 MP0494</t>
  </si>
  <si>
    <t>WC114</t>
  </si>
  <si>
    <t>1111051003</t>
  </si>
  <si>
    <t>2CHPE4</t>
  </si>
  <si>
    <t>MZ 2 MP0559</t>
  </si>
  <si>
    <t>WC115</t>
  </si>
  <si>
    <t>1111051004</t>
  </si>
  <si>
    <t>2CHPE5</t>
  </si>
  <si>
    <t>BANSAW MP0049</t>
  </si>
  <si>
    <t>WC116</t>
  </si>
  <si>
    <t>1111051005</t>
  </si>
  <si>
    <t>2CHPE6</t>
  </si>
  <si>
    <t>KYUDO 2CHKYUDO</t>
  </si>
  <si>
    <t>WC117</t>
  </si>
  <si>
    <t>1111051006</t>
  </si>
  <si>
    <t>2CHCE1</t>
  </si>
  <si>
    <t>CHAIR CLEAT</t>
  </si>
  <si>
    <t>WC118</t>
  </si>
  <si>
    <t>1111051007</t>
  </si>
  <si>
    <t>2CHPE7</t>
  </si>
  <si>
    <t>PROSES BUBUT CHAIR 2CHRBBT</t>
  </si>
  <si>
    <t>WC119</t>
  </si>
  <si>
    <t>1111051008</t>
  </si>
  <si>
    <t>MACHINING CHAIR</t>
  </si>
  <si>
    <t>2CHME1</t>
  </si>
  <si>
    <t>CNC 5AXIS BALESTRINI POWER MP.0527</t>
  </si>
  <si>
    <t>WC120</t>
  </si>
  <si>
    <t>1111052001</t>
  </si>
  <si>
    <t>05:00</t>
  </si>
  <si>
    <t>2CHME2</t>
  </si>
  <si>
    <t>CNC 5AXIS BACCI MP.0519</t>
  </si>
  <si>
    <t>WC121</t>
  </si>
  <si>
    <t>1111052002</t>
  </si>
  <si>
    <t>2CHME3</t>
  </si>
  <si>
    <t>CNC COPY SHAPER BALESTRINI MP.0452</t>
  </si>
  <si>
    <t>WC122</t>
  </si>
  <si>
    <t>1111052003</t>
  </si>
  <si>
    <t>2CHME4</t>
  </si>
  <si>
    <t>CNC CARVING KITAKO HS-10 MP.0507</t>
  </si>
  <si>
    <t>WC123</t>
  </si>
  <si>
    <t>1111052004</t>
  </si>
  <si>
    <t>2CHME6</t>
  </si>
  <si>
    <t>CNC 3 AXIS HEIAN MP.0592</t>
  </si>
  <si>
    <t>WC124</t>
  </si>
  <si>
    <t>1111052005</t>
  </si>
  <si>
    <t>2CHME7</t>
  </si>
  <si>
    <t>CNC CARVING LOW HEADKITAKO MP.0459</t>
  </si>
  <si>
    <t>WC125</t>
  </si>
  <si>
    <t>1111052006</t>
  </si>
  <si>
    <t>2CHME8</t>
  </si>
  <si>
    <t>CNC 3 AXIS HEIAN MP.0600</t>
  </si>
  <si>
    <t>WC126</t>
  </si>
  <si>
    <t>1111052007</t>
  </si>
  <si>
    <t>2CHME9</t>
  </si>
  <si>
    <t>CNC TWISTER 200 MK.0009</t>
  </si>
  <si>
    <t>WC127</t>
  </si>
  <si>
    <t>1111052008</t>
  </si>
  <si>
    <t>2CHME5</t>
  </si>
  <si>
    <t>CNC 5AXIS BALESTRINI IDEA</t>
  </si>
  <si>
    <t>WC128</t>
  </si>
  <si>
    <t>1111052009</t>
  </si>
  <si>
    <t>2CHAE1</t>
  </si>
  <si>
    <t>CHAIR PROSES SANDING KOMPONENT PLANT E</t>
  </si>
  <si>
    <t>WC129</t>
  </si>
  <si>
    <t>CHAIR PROSES SANDING KOMPONENT CHAIR</t>
  </si>
  <si>
    <t>ASSY CHAIR</t>
  </si>
  <si>
    <t>2CHAE2</t>
  </si>
  <si>
    <t xml:space="preserve">CHAIR SUB ASSY </t>
  </si>
  <si>
    <t>WC130</t>
  </si>
  <si>
    <t xml:space="preserve">CHAIR SUB ASSY  </t>
  </si>
  <si>
    <t>1111053002</t>
  </si>
  <si>
    <t>2CHAE3</t>
  </si>
  <si>
    <t>CHAIR ASSEMBLY BODY PLANT E</t>
  </si>
  <si>
    <t>WC131</t>
  </si>
  <si>
    <t>CHAIR ASSEMBLY BODY</t>
  </si>
  <si>
    <t>1111053003</t>
  </si>
  <si>
    <t>2CHAE4</t>
  </si>
  <si>
    <t xml:space="preserve">CHAIR PROSES LIFTER GENERAL </t>
  </si>
  <si>
    <t>WC132</t>
  </si>
  <si>
    <t>ASSEMBLY CHAIR</t>
  </si>
  <si>
    <t>WC479</t>
  </si>
  <si>
    <t>WC480</t>
  </si>
  <si>
    <t>WC481</t>
  </si>
  <si>
    <t>WC482</t>
  </si>
  <si>
    <t>FINISHING CHAIR</t>
  </si>
  <si>
    <t>2CHPTE1</t>
  </si>
  <si>
    <t>PAINTING  CHAIR LINE 1</t>
  </si>
  <si>
    <t>WC133</t>
  </si>
  <si>
    <t>PAINTING  CHAIR</t>
  </si>
  <si>
    <t>2CHPTE2</t>
  </si>
  <si>
    <t>PAINTING CHAIR LINE 2</t>
  </si>
  <si>
    <t>WC134</t>
  </si>
  <si>
    <t>PAINTING CHAIR LINE 2 ( NOT USE )</t>
  </si>
  <si>
    <t>2CHPKE1</t>
  </si>
  <si>
    <t>PACKING CHAIR</t>
  </si>
  <si>
    <t>WC135</t>
  </si>
  <si>
    <t>PACKING CHAIR ( NOT USE )</t>
  </si>
  <si>
    <t>2CHPKB</t>
  </si>
  <si>
    <t>PROSES PACKAGING BOX SET CHAIR</t>
  </si>
  <si>
    <t>WC136</t>
  </si>
  <si>
    <t>PROSES PACKAGING BOX SET CHAIR ( Not Use )</t>
  </si>
  <si>
    <t>WC483</t>
  </si>
  <si>
    <t>WC484</t>
  </si>
  <si>
    <t>WC485</t>
  </si>
  <si>
    <t>WC486</t>
  </si>
  <si>
    <t>WC487</t>
  </si>
  <si>
    <t>WC488</t>
  </si>
  <si>
    <t>WC489</t>
  </si>
  <si>
    <t>WC490</t>
  </si>
  <si>
    <t>WC491</t>
  </si>
  <si>
    <t>PACKING Chair</t>
  </si>
  <si>
    <t>WC492</t>
  </si>
  <si>
    <t>PACKING LINE 2  ( Not Use )</t>
  </si>
  <si>
    <t>MP BOX</t>
  </si>
  <si>
    <t>2PKCUT</t>
  </si>
  <si>
    <t>Proses Cutting Carton</t>
  </si>
  <si>
    <t>WC137</t>
  </si>
  <si>
    <t>1111101001</t>
  </si>
  <si>
    <t>PACKAGING BOX</t>
  </si>
  <si>
    <t>2CP</t>
  </si>
  <si>
    <t>2PKSP1</t>
  </si>
  <si>
    <t>PROSES SUPORT ( SKID &amp; FOAM )</t>
  </si>
  <si>
    <t>WC138</t>
  </si>
  <si>
    <t>1111101002</t>
  </si>
  <si>
    <t>MACHINING BOX</t>
  </si>
  <si>
    <t>2PKCN1</t>
  </si>
  <si>
    <t>Packaging Cnc Router HeianNC-442P ( CNC)</t>
  </si>
  <si>
    <t>WC139</t>
  </si>
  <si>
    <t>1111102001</t>
  </si>
  <si>
    <t>2PKCN2</t>
  </si>
  <si>
    <t>Packaging Cnc Shoda NCB-615 ( CNC 4 )</t>
  </si>
  <si>
    <t>WC140</t>
  </si>
  <si>
    <t>1111102002</t>
  </si>
  <si>
    <t>2PKCN3</t>
  </si>
  <si>
    <t>PROSES Machining CnC ER431P</t>
  </si>
  <si>
    <t>WC141</t>
  </si>
  <si>
    <t>1111102003</t>
  </si>
  <si>
    <t>2PKCN4</t>
  </si>
  <si>
    <t>CNC BIESSE MT0051</t>
  </si>
  <si>
    <t>WC142</t>
  </si>
  <si>
    <t>1111102004</t>
  </si>
  <si>
    <t>ASSY BOX</t>
  </si>
  <si>
    <t>2PKAS1</t>
  </si>
  <si>
    <t xml:space="preserve">PROSES LEM ASSEMBLY </t>
  </si>
  <si>
    <t>WC143</t>
  </si>
  <si>
    <t>1111103001</t>
  </si>
  <si>
    <t>2PKPKG</t>
  </si>
  <si>
    <t>PROSES PACKAGING BOX SET CASE GOODS</t>
  </si>
  <si>
    <t>WC144</t>
  </si>
  <si>
    <t>1111103002</t>
  </si>
  <si>
    <t>MACHINING CASE GOODS</t>
  </si>
  <si>
    <t>2CGSA9</t>
  </si>
  <si>
    <t>MANUAL  SOLID</t>
  </si>
  <si>
    <t>WC145</t>
  </si>
  <si>
    <t>1111061101</t>
  </si>
  <si>
    <t>MACHINING  CASE GOODS</t>
  </si>
  <si>
    <t>2GA</t>
  </si>
  <si>
    <t>2CGSA1</t>
  </si>
  <si>
    <t>CNC BALESTRINI IDEA POWER 300 ( IDEA 1 )</t>
  </si>
  <si>
    <t>WC146</t>
  </si>
  <si>
    <t>1111061102</t>
  </si>
  <si>
    <t>2CGSA4</t>
  </si>
  <si>
    <t>CNC KITAKO MFG 1152 ( CNC KITAKO )</t>
  </si>
  <si>
    <t>WC147</t>
  </si>
  <si>
    <t>1111061103</t>
  </si>
  <si>
    <t>2CGSA12</t>
  </si>
  <si>
    <t>CNC KITAKO VF-05065 MP.0567 ( KITAKO 2 )</t>
  </si>
  <si>
    <t>WC148</t>
  </si>
  <si>
    <t>1111061104</t>
  </si>
  <si>
    <t>2CGSA5</t>
  </si>
  <si>
    <t>CNC ROUTER HEIAN ER 431P ( CNC ER431 )</t>
  </si>
  <si>
    <t>WC149</t>
  </si>
  <si>
    <t>1111061105</t>
  </si>
  <si>
    <t>2CGSA6</t>
  </si>
  <si>
    <t>CNC ROUTER HEIAN ER-331P-D3 ( CNC 6 )</t>
  </si>
  <si>
    <t>WC150</t>
  </si>
  <si>
    <t>1111061106</t>
  </si>
  <si>
    <t>2CGSA13</t>
  </si>
  <si>
    <t>CNC ROUTER HEIAN NC-431PF  MP.0601 ( CNC NC-431P )</t>
  </si>
  <si>
    <t>WC151</t>
  </si>
  <si>
    <t>1111061107</t>
  </si>
  <si>
    <t>2CGSA7</t>
  </si>
  <si>
    <t>CNC ROUTER KIKUKAWA NCT 246</t>
  </si>
  <si>
    <t>WC152</t>
  </si>
  <si>
    <t>1111061108</t>
  </si>
  <si>
    <t>2CGSA8</t>
  </si>
  <si>
    <t>CNC HEIAN ER 331P</t>
  </si>
  <si>
    <t>WC153</t>
  </si>
  <si>
    <t>2CGSA2</t>
  </si>
  <si>
    <t>CNC Bacci Master Flat Mast/02</t>
  </si>
  <si>
    <t>WC154</t>
  </si>
  <si>
    <t>2CGPA5</t>
  </si>
  <si>
    <t>MANUAL PANEL</t>
  </si>
  <si>
    <t>WC155</t>
  </si>
  <si>
    <t>1111061201</t>
  </si>
  <si>
    <t>2CGPA2</t>
  </si>
  <si>
    <t>CNC ROUTER BULK BID OF SHODA  ( CNC 14 )</t>
  </si>
  <si>
    <t>WC156</t>
  </si>
  <si>
    <t>1111061202</t>
  </si>
  <si>
    <t>2CGPA3</t>
  </si>
  <si>
    <t>CNC ROUTER HEIAN NC. 362 P ( CNC 18 )</t>
  </si>
  <si>
    <t>WC157</t>
  </si>
  <si>
    <t>1111061203</t>
  </si>
  <si>
    <t>2CGPA4</t>
  </si>
  <si>
    <t>CNC ROUTER HEIAN NC. 362 P ( CNC 19 )</t>
  </si>
  <si>
    <t>WC158</t>
  </si>
  <si>
    <t>1111061204</t>
  </si>
  <si>
    <t>2CGPA6</t>
  </si>
  <si>
    <t>CNC 5 AXIS CMS ARES MK.0002 ( ARES 4 )</t>
  </si>
  <si>
    <t>WC159</t>
  </si>
  <si>
    <t>1111061210</t>
  </si>
  <si>
    <t>2CGPA9</t>
  </si>
  <si>
    <t>CNC ROUTER SHODA  &amp; SULLAIR VACUM  MP.0373 ( CNC 12 )</t>
  </si>
  <si>
    <t>WC160</t>
  </si>
  <si>
    <t>1111061206</t>
  </si>
  <si>
    <t>2CGPA10</t>
  </si>
  <si>
    <t>CNC MACHINING CENTRE ARES 36/18 NEW.PX5 MP.0583 ( ARES 1 )</t>
  </si>
  <si>
    <t>WC161</t>
  </si>
  <si>
    <t>1111061207</t>
  </si>
  <si>
    <t>2CGPA7</t>
  </si>
  <si>
    <t>CNC CMS ARES MT.0033 ( ARES 2 )</t>
  </si>
  <si>
    <t>WC162</t>
  </si>
  <si>
    <t>1111061208</t>
  </si>
  <si>
    <t>2CGPA8</t>
  </si>
  <si>
    <t>CGD Cnc ARESH 7819 MT.0036 (ARES 3 )</t>
  </si>
  <si>
    <t>WC163</t>
  </si>
  <si>
    <t>1111061209</t>
  </si>
  <si>
    <t>2CGPA1</t>
  </si>
  <si>
    <t>CNC ROUTER HEIAN HR 642PF ( CNC 10 )</t>
  </si>
  <si>
    <t>WC164</t>
  </si>
  <si>
    <t>1111061205</t>
  </si>
  <si>
    <t>2CGPA11</t>
  </si>
  <si>
    <t>CNC ARES 5 HYPSOS</t>
  </si>
  <si>
    <t>WC165</t>
  </si>
  <si>
    <t>2CGPA12</t>
  </si>
  <si>
    <t>CNC CMS HYPSOS 2 (MK.0041)</t>
  </si>
  <si>
    <t>WC166</t>
  </si>
  <si>
    <t>2CGRW1</t>
  </si>
  <si>
    <t>MACHINING REWORK</t>
  </si>
  <si>
    <t>WC167</t>
  </si>
  <si>
    <t>1111130001</t>
  </si>
  <si>
    <t>2CGMASS</t>
  </si>
  <si>
    <t>SUB ASSY MACHINING CG</t>
  </si>
  <si>
    <t>WC168</t>
  </si>
  <si>
    <t>2CGEB1</t>
  </si>
  <si>
    <t>EDGE BANDING IMA 1</t>
  </si>
  <si>
    <t>WC169</t>
  </si>
  <si>
    <t>EDGE BANDING  A</t>
  </si>
  <si>
    <t>1111120001</t>
  </si>
  <si>
    <t>EBD</t>
  </si>
  <si>
    <t>2EB</t>
  </si>
  <si>
    <t>2CGEB2</t>
  </si>
  <si>
    <t>Edge Banding IMA 2</t>
  </si>
  <si>
    <t>WC170</t>
  </si>
  <si>
    <t>Edge Banding B</t>
  </si>
  <si>
    <t>2CGEB3</t>
  </si>
  <si>
    <t>EBD NHF 1</t>
  </si>
  <si>
    <t>WC404</t>
  </si>
  <si>
    <t>EBD NHF A</t>
  </si>
  <si>
    <t>1111120002</t>
  </si>
  <si>
    <t>2CGEB4</t>
  </si>
  <si>
    <t>EBD NHF 2</t>
  </si>
  <si>
    <t>WC405</t>
  </si>
  <si>
    <t>EBD NHF B</t>
  </si>
  <si>
    <t>2CGEB5</t>
  </si>
  <si>
    <t>EBD COOL PRESS 1</t>
  </si>
  <si>
    <t>WC406</t>
  </si>
  <si>
    <t>EBD COOL PRESS A</t>
  </si>
  <si>
    <t>2CGEB6</t>
  </si>
  <si>
    <t>EBD COOL PRESS 2</t>
  </si>
  <si>
    <t>WC407</t>
  </si>
  <si>
    <t>EBD COOL PRESS B</t>
  </si>
  <si>
    <t>EBD SINGLE RIP</t>
  </si>
  <si>
    <t>WC416</t>
  </si>
  <si>
    <t>ASSY CASE GOODS</t>
  </si>
  <si>
    <t>2CGFDA</t>
  </si>
  <si>
    <t>CASE GOOD D LIFTER A GENERAL</t>
  </si>
  <si>
    <t>WC171</t>
  </si>
  <si>
    <t>ASSEMBLY CASE GOODS</t>
  </si>
  <si>
    <t>2GD</t>
  </si>
  <si>
    <t>2CGFDB</t>
  </si>
  <si>
    <t>CASE GOOD D LIFTER B GENERAL</t>
  </si>
  <si>
    <t>WC172</t>
  </si>
  <si>
    <t>2CGAD1</t>
  </si>
  <si>
    <t>CASE GOOD  SANDING KOMPONEN</t>
  </si>
  <si>
    <t>WC408</t>
  </si>
  <si>
    <t>07:30:00</t>
  </si>
  <si>
    <t>20:00:00</t>
  </si>
  <si>
    <t>2CGAD2</t>
  </si>
  <si>
    <t xml:space="preserve">CASE GOOD  SUB ASSY A </t>
  </si>
  <si>
    <t>WC409</t>
  </si>
  <si>
    <t>2CGAD3</t>
  </si>
  <si>
    <t xml:space="preserve">CASE GOOD  SUB ASSY B </t>
  </si>
  <si>
    <t>WC410</t>
  </si>
  <si>
    <t>2CGAD5</t>
  </si>
  <si>
    <t xml:space="preserve">CASE GOOD  ASSEMBLY BODY A </t>
  </si>
  <si>
    <t>WC411</t>
  </si>
  <si>
    <t>2CGAD6</t>
  </si>
  <si>
    <t xml:space="preserve">CASE GOOD  ASSEMBLY BODY B </t>
  </si>
  <si>
    <t>WC412</t>
  </si>
  <si>
    <t>WC493</t>
  </si>
  <si>
    <t>CASE GOOD D LIFTER A1</t>
  </si>
  <si>
    <t>WC494</t>
  </si>
  <si>
    <t>CASE GOOD D LIFTER A2</t>
  </si>
  <si>
    <t>WC495</t>
  </si>
  <si>
    <t>CASE GOOD D LIFTER A3</t>
  </si>
  <si>
    <t>WC496</t>
  </si>
  <si>
    <t>CASE GOOD D LIFTER A4</t>
  </si>
  <si>
    <t>WC497</t>
  </si>
  <si>
    <t>CASE GOOD D LIFTER A5</t>
  </si>
  <si>
    <t>WC498</t>
  </si>
  <si>
    <t>CASE GOOD D LIFTER A6</t>
  </si>
  <si>
    <t>WC499</t>
  </si>
  <si>
    <t>CASE GOOD D LIFTER A7</t>
  </si>
  <si>
    <t>WC500</t>
  </si>
  <si>
    <t>CASE GOOD D LIFTER A8</t>
  </si>
  <si>
    <t>WC501</t>
  </si>
  <si>
    <t>CASE GOOD D LIFTER A9</t>
  </si>
  <si>
    <t>WC502</t>
  </si>
  <si>
    <t>CASE GOOD D LIFTER A10</t>
  </si>
  <si>
    <t>WC503</t>
  </si>
  <si>
    <t>CASE GOOD D LIFTER A11</t>
  </si>
  <si>
    <t>WC504</t>
  </si>
  <si>
    <t>CASE GOOD D LIFTER A12</t>
  </si>
  <si>
    <t>WC505</t>
  </si>
  <si>
    <t>CASE GOOD D LIFTER B1</t>
  </si>
  <si>
    <t>WC506</t>
  </si>
  <si>
    <t>CASE GOOD D LIFTER B2</t>
  </si>
  <si>
    <t>WC507</t>
  </si>
  <si>
    <t>CASE GOOD D LIFTER B3</t>
  </si>
  <si>
    <t>WC508</t>
  </si>
  <si>
    <t>CASE GOOD D LIFTER B4</t>
  </si>
  <si>
    <t>WC509</t>
  </si>
  <si>
    <t>CASE GOOD D LIFTER B5</t>
  </si>
  <si>
    <t>WC510</t>
  </si>
  <si>
    <t>CASE GOOD D LIFTER B6</t>
  </si>
  <si>
    <t>WC511</t>
  </si>
  <si>
    <t>CASE GOOD D LIFTER B7</t>
  </si>
  <si>
    <t>WC512</t>
  </si>
  <si>
    <t>CASE GOOD D LIFTER B8</t>
  </si>
  <si>
    <t>WC513</t>
  </si>
  <si>
    <t>CASE GOOD D LIFTER B9</t>
  </si>
  <si>
    <t>WC514</t>
  </si>
  <si>
    <t>CASE GOOD D LIFTER B10</t>
  </si>
  <si>
    <t>WC515</t>
  </si>
  <si>
    <t>CASE GOOD D LIFTER B11</t>
  </si>
  <si>
    <t>WC516</t>
  </si>
  <si>
    <t>CASE GOOD D LIFTER B12</t>
  </si>
  <si>
    <t>FINISHING CASE GOOD KMI 2</t>
  </si>
  <si>
    <t>2CGMIX</t>
  </si>
  <si>
    <t xml:space="preserve">Mixing </t>
  </si>
  <si>
    <t>WC173</t>
  </si>
  <si>
    <t>1111091001</t>
  </si>
  <si>
    <t>FINISHING CASE GOODS KMI 2</t>
  </si>
  <si>
    <t>2GF</t>
  </si>
  <si>
    <t>2CGFF0</t>
  </si>
  <si>
    <t>PROSES GILDING</t>
  </si>
  <si>
    <t>WC174</t>
  </si>
  <si>
    <t>1111091002</t>
  </si>
  <si>
    <t>2CGFF1</t>
  </si>
  <si>
    <t>Painting Case Goods</t>
  </si>
  <si>
    <t>WC175</t>
  </si>
  <si>
    <t>1111091005</t>
  </si>
  <si>
    <t>2CGFF2</t>
  </si>
  <si>
    <t>CASE Goods  Manual Painting</t>
  </si>
  <si>
    <t>WC176</t>
  </si>
  <si>
    <t>1111091004</t>
  </si>
  <si>
    <t>2CGFF4</t>
  </si>
  <si>
    <t>CASE Goods  Push Poll 1</t>
  </si>
  <si>
    <t>WC177</t>
  </si>
  <si>
    <t>WC517</t>
  </si>
  <si>
    <t>CASE Goods  Push Poll 2</t>
  </si>
  <si>
    <t>2CGPF1</t>
  </si>
  <si>
    <t>CASE Goods Packing LINE 1</t>
  </si>
  <si>
    <t>WC178</t>
  </si>
  <si>
    <t>1111092001</t>
  </si>
  <si>
    <t>2CGPF2</t>
  </si>
  <si>
    <t>CASE Goods Packing LINE 2</t>
  </si>
  <si>
    <t>WC179</t>
  </si>
  <si>
    <t>1111092002</t>
  </si>
  <si>
    <t>2CGPF3</t>
  </si>
  <si>
    <t>CASE Goods Packing LINE 3</t>
  </si>
  <si>
    <t>WC180</t>
  </si>
  <si>
    <t>1111092003</t>
  </si>
  <si>
    <t>2CGPF4</t>
  </si>
  <si>
    <t>CASE Goods Packing LINE 4</t>
  </si>
  <si>
    <t>WC518</t>
  </si>
  <si>
    <t>1111092004</t>
  </si>
  <si>
    <t>2CGPF5</t>
  </si>
  <si>
    <t>CASE Goods Packing LINE 5</t>
  </si>
  <si>
    <t>WC519</t>
  </si>
  <si>
    <t>1111092005</t>
  </si>
  <si>
    <t>2CGPF6</t>
  </si>
  <si>
    <t>CASE Goods Packing LINE 6</t>
  </si>
  <si>
    <t>WC520</t>
  </si>
  <si>
    <t>1111092006</t>
  </si>
  <si>
    <t>2CGPF7</t>
  </si>
  <si>
    <t>CASE Goods Packing LINE 7</t>
  </si>
  <si>
    <t>WC521</t>
  </si>
  <si>
    <t>1111092007</t>
  </si>
  <si>
    <t>2CGPF8</t>
  </si>
  <si>
    <t>CASE Goods Packing LINE 8</t>
  </si>
  <si>
    <t>WC522</t>
  </si>
  <si>
    <t>1111092008</t>
  </si>
  <si>
    <t>2CGPF9</t>
  </si>
  <si>
    <t>CASE Goods Packing LINE 9</t>
  </si>
  <si>
    <t>WC523</t>
  </si>
  <si>
    <t>1111092009</t>
  </si>
  <si>
    <t>2CGPF10</t>
  </si>
  <si>
    <t>CASE Goods Packing LINE 10</t>
  </si>
  <si>
    <t>WC524</t>
  </si>
  <si>
    <t>1111092010</t>
  </si>
  <si>
    <t>2CGPF11</t>
  </si>
  <si>
    <t>CASE Goods Packing LINE 11</t>
  </si>
  <si>
    <t>WC525</t>
  </si>
  <si>
    <t>1111092011</t>
  </si>
  <si>
    <t>DRAWING</t>
  </si>
  <si>
    <t>2PDD01</t>
  </si>
  <si>
    <t xml:space="preserve">Engineering Icon 1 </t>
  </si>
  <si>
    <t>WC181</t>
  </si>
  <si>
    <t>Engineering Icon 1  Mansur</t>
  </si>
  <si>
    <t>1075011001</t>
  </si>
  <si>
    <t>2RD</t>
  </si>
  <si>
    <t>2PDD02</t>
  </si>
  <si>
    <t xml:space="preserve">Engineering Icon 2 </t>
  </si>
  <si>
    <t>WC182</t>
  </si>
  <si>
    <t>Engineering Icon 2  Dega</t>
  </si>
  <si>
    <t>2PDD03</t>
  </si>
  <si>
    <t xml:space="preserve">Engineering Icon 3 </t>
  </si>
  <si>
    <t>WC183</t>
  </si>
  <si>
    <t>Engineering Icon 3  Aziz</t>
  </si>
  <si>
    <t>2PDD04</t>
  </si>
  <si>
    <t>Engineering Icon 4</t>
  </si>
  <si>
    <t>WC184</t>
  </si>
  <si>
    <t>Engineering Icon 4 Dimas A.</t>
  </si>
  <si>
    <t>2PDD05</t>
  </si>
  <si>
    <t>Engineering Icon 5</t>
  </si>
  <si>
    <t>WC185</t>
  </si>
  <si>
    <t>Proses Drawing Product</t>
  </si>
  <si>
    <t>2PDD06</t>
  </si>
  <si>
    <t xml:space="preserve">Engineering Drafter 1 </t>
  </si>
  <si>
    <t>WC186</t>
  </si>
  <si>
    <t>Engineering Icon 6 Virdan</t>
  </si>
  <si>
    <t>2PDD07</t>
  </si>
  <si>
    <t xml:space="preserve">Engineering Drafter 2 </t>
  </si>
  <si>
    <t>WC187</t>
  </si>
  <si>
    <t>Engineering Drafter 1 Dimas M</t>
  </si>
  <si>
    <t>2PDD08</t>
  </si>
  <si>
    <t>Engineering Icon 6</t>
  </si>
  <si>
    <t>WC188</t>
  </si>
  <si>
    <t>Engineering Drafter 2  Aga</t>
  </si>
  <si>
    <t>2PDD09</t>
  </si>
  <si>
    <t>Packaging Icon 1</t>
  </si>
  <si>
    <t>WC189</t>
  </si>
  <si>
    <t>Engineering Drafter 3 Cahya</t>
  </si>
  <si>
    <t>2PDD10</t>
  </si>
  <si>
    <t>Engineering Drafter 5</t>
  </si>
  <si>
    <t>WC190</t>
  </si>
  <si>
    <t>Engineering Drafter 4 Andri</t>
  </si>
  <si>
    <t>2PDD11</t>
  </si>
  <si>
    <t>Engineering Drafter 6</t>
  </si>
  <si>
    <t>WC191</t>
  </si>
  <si>
    <t xml:space="preserve">Engineering Drafter 5 Ilham </t>
  </si>
  <si>
    <t>2PDD13</t>
  </si>
  <si>
    <t>Engineering Drafter 8</t>
  </si>
  <si>
    <t>WC192</t>
  </si>
  <si>
    <t>Engineering Drafter 6 Frendi</t>
  </si>
  <si>
    <t>Engineering Drafter 3</t>
  </si>
  <si>
    <t>WC193</t>
  </si>
  <si>
    <t>Engineering Drafter 7 Dimas Nasrudin</t>
  </si>
  <si>
    <t>WC194</t>
  </si>
  <si>
    <t>Proses Drawing Box</t>
  </si>
  <si>
    <t>WC413</t>
  </si>
  <si>
    <t>Engineering Drafter 8 Hilman</t>
  </si>
  <si>
    <t>WC414</t>
  </si>
  <si>
    <t>Engineering Drafter 9 Angger</t>
  </si>
  <si>
    <t>WC415</t>
  </si>
  <si>
    <t xml:space="preserve">Engineering Drafter 10 Zainal </t>
  </si>
  <si>
    <t>WC197</t>
  </si>
  <si>
    <t>Engineering Drafter 11 Adit</t>
  </si>
  <si>
    <t>WC198</t>
  </si>
  <si>
    <t>Engineering Drafter 12 Anas</t>
  </si>
  <si>
    <t>WC032</t>
  </si>
  <si>
    <t>Engineering Drafter 13 Irsyad</t>
  </si>
  <si>
    <t>WC196</t>
  </si>
  <si>
    <t xml:space="preserve">Engineering Drafter 14 Friska </t>
  </si>
  <si>
    <t>MASTER DATA</t>
  </si>
  <si>
    <t>WC195</t>
  </si>
  <si>
    <t>Proses Master Data</t>
  </si>
  <si>
    <t>RND</t>
  </si>
  <si>
    <t>2PDMC1</t>
  </si>
  <si>
    <t>Machining RND Line A</t>
  </si>
  <si>
    <t>WC199</t>
  </si>
  <si>
    <t>1075012001</t>
  </si>
  <si>
    <t>2PDAS1</t>
  </si>
  <si>
    <t>Assembly RND Line A</t>
  </si>
  <si>
    <t>WC200</t>
  </si>
  <si>
    <t>1075012002</t>
  </si>
  <si>
    <t>WC526</t>
  </si>
  <si>
    <t>Machining RND B</t>
  </si>
  <si>
    <t>Machining Manual RND</t>
  </si>
  <si>
    <t>WC527</t>
  </si>
  <si>
    <t>2PDPTG</t>
  </si>
  <si>
    <t>Painting RND</t>
  </si>
  <si>
    <t>WC201</t>
  </si>
  <si>
    <t>1075012003</t>
  </si>
  <si>
    <t>FINISHING SG</t>
  </si>
  <si>
    <t>3GTSND</t>
  </si>
  <si>
    <t>SG FINAL SANDING</t>
  </si>
  <si>
    <t>WC202</t>
  </si>
  <si>
    <t>1112053101</t>
  </si>
  <si>
    <t>SPORT GAME SMG</t>
  </si>
  <si>
    <t>3GT</t>
  </si>
  <si>
    <t>3GTFN1</t>
  </si>
  <si>
    <t>SG PAINTING A1</t>
  </si>
  <si>
    <t>WC203</t>
  </si>
  <si>
    <t>1112053102</t>
  </si>
  <si>
    <t>3GTFN2</t>
  </si>
  <si>
    <t>SG PAINTING A2</t>
  </si>
  <si>
    <t>WC204</t>
  </si>
  <si>
    <t>1112053103</t>
  </si>
  <si>
    <t>3GTFN3</t>
  </si>
  <si>
    <t>SG PAINTING A3</t>
  </si>
  <si>
    <t>WC205</t>
  </si>
  <si>
    <t>WC257</t>
  </si>
  <si>
    <t>1112053104</t>
  </si>
  <si>
    <t>3GTFN4</t>
  </si>
  <si>
    <t>SG PAINTING A4</t>
  </si>
  <si>
    <t>WC206</t>
  </si>
  <si>
    <t>WC258</t>
  </si>
  <si>
    <t>1112053105</t>
  </si>
  <si>
    <t>3GTFN5</t>
  </si>
  <si>
    <t>SG PAINTING A5</t>
  </si>
  <si>
    <t>WC207</t>
  </si>
  <si>
    <t>WC335</t>
  </si>
  <si>
    <t>1112053106</t>
  </si>
  <si>
    <t>3GTFN6</t>
  </si>
  <si>
    <t>SG PAINTING A6</t>
  </si>
  <si>
    <t>WC208</t>
  </si>
  <si>
    <t>WC336</t>
  </si>
  <si>
    <t>1112053107</t>
  </si>
  <si>
    <t>3GTFN7</t>
  </si>
  <si>
    <t>SG PAINTING A7</t>
  </si>
  <si>
    <t>WC209</t>
  </si>
  <si>
    <t>WC337</t>
  </si>
  <si>
    <t>1112053108</t>
  </si>
  <si>
    <t>3GTFN8</t>
  </si>
  <si>
    <t>SG PAINTING A8</t>
  </si>
  <si>
    <t>WC210</t>
  </si>
  <si>
    <t>WC338</t>
  </si>
  <si>
    <t>1112053109</t>
  </si>
  <si>
    <t>3GTFN9</t>
  </si>
  <si>
    <t>SG PAINTING A9</t>
  </si>
  <si>
    <t>WC211</t>
  </si>
  <si>
    <t>WC339</t>
  </si>
  <si>
    <t>1112053110</t>
  </si>
  <si>
    <t>3GTFN10</t>
  </si>
  <si>
    <t xml:space="preserve">SG PAINTING B1 </t>
  </si>
  <si>
    <t>WC212</t>
  </si>
  <si>
    <t>WC340</t>
  </si>
  <si>
    <t>1112053111</t>
  </si>
  <si>
    <t>3GTFN11</t>
  </si>
  <si>
    <t>SG PAINTING B2</t>
  </si>
  <si>
    <t>WC213</t>
  </si>
  <si>
    <t>WC341</t>
  </si>
  <si>
    <t>1112053112</t>
  </si>
  <si>
    <t>3GTFN12</t>
  </si>
  <si>
    <t>SG PAINTING B3</t>
  </si>
  <si>
    <t>WC214</t>
  </si>
  <si>
    <t>WC342</t>
  </si>
  <si>
    <t>1112053113</t>
  </si>
  <si>
    <t>3GTFN13</t>
  </si>
  <si>
    <t>SG PAINTING B4</t>
  </si>
  <si>
    <t>WC215</t>
  </si>
  <si>
    <t>WC343</t>
  </si>
  <si>
    <t>1112053114</t>
  </si>
  <si>
    <t>3GTFN14</t>
  </si>
  <si>
    <t>SG PAINTING B5</t>
  </si>
  <si>
    <t>WC216</t>
  </si>
  <si>
    <t>WC344</t>
  </si>
  <si>
    <t>1112053115</t>
  </si>
  <si>
    <t>3GTFN15</t>
  </si>
  <si>
    <t>SG PAINTING B6</t>
  </si>
  <si>
    <t>WC217</t>
  </si>
  <si>
    <t>WC345</t>
  </si>
  <si>
    <t>1112053116</t>
  </si>
  <si>
    <t>3GTFN16</t>
  </si>
  <si>
    <t>SG PAINTING B7</t>
  </si>
  <si>
    <t>WC218</t>
  </si>
  <si>
    <t>WC346</t>
  </si>
  <si>
    <t>1112053117</t>
  </si>
  <si>
    <t>3GTFN17</t>
  </si>
  <si>
    <t>SG PAINTING B8</t>
  </si>
  <si>
    <t>WC219</t>
  </si>
  <si>
    <t>WC347</t>
  </si>
  <si>
    <t>1112053118</t>
  </si>
  <si>
    <t>3GTFN18</t>
  </si>
  <si>
    <t>SG PAINTING B9</t>
  </si>
  <si>
    <t>WC220</t>
  </si>
  <si>
    <t>WC348</t>
  </si>
  <si>
    <t>1112053119</t>
  </si>
  <si>
    <t>3GTFN19</t>
  </si>
  <si>
    <t>SG PAINTING 19</t>
  </si>
  <si>
    <t>WC349</t>
  </si>
  <si>
    <t>SG PAINTING C1</t>
  </si>
  <si>
    <t>1112053120</t>
  </si>
  <si>
    <t>WC350</t>
  </si>
  <si>
    <t>SG PAINTING C2</t>
  </si>
  <si>
    <t>WC351</t>
  </si>
  <si>
    <t>SG PAINT REWORK</t>
  </si>
  <si>
    <t>PACKING SG</t>
  </si>
  <si>
    <t>3GTPK1</t>
  </si>
  <si>
    <t>SG PACKING A1</t>
  </si>
  <si>
    <t>WC221</t>
  </si>
  <si>
    <t>1112053201</t>
  </si>
  <si>
    <t>3GTPK2</t>
  </si>
  <si>
    <t>SG PACKING A2</t>
  </si>
  <si>
    <t>WC222</t>
  </si>
  <si>
    <t>1112053202</t>
  </si>
  <si>
    <t>3GTPK3</t>
  </si>
  <si>
    <t>SG PACKING A3</t>
  </si>
  <si>
    <t>WC223</t>
  </si>
  <si>
    <t>1112053203</t>
  </si>
  <si>
    <t>3GTPK4</t>
  </si>
  <si>
    <t>SG PACKING A4</t>
  </si>
  <si>
    <t>WC224</t>
  </si>
  <si>
    <t>3GTPK5</t>
  </si>
  <si>
    <t>SG PACKING A5</t>
  </si>
  <si>
    <t>WC225</t>
  </si>
  <si>
    <t>3GTPK6</t>
  </si>
  <si>
    <t>SG PACKING B1</t>
  </si>
  <si>
    <t>WC226</t>
  </si>
  <si>
    <t>CUTTING MF</t>
  </si>
  <si>
    <t>3MWSND</t>
  </si>
  <si>
    <t>MWC1 PREPARATION</t>
  </si>
  <si>
    <t>WC227</t>
  </si>
  <si>
    <t>MF PREPARATION</t>
  </si>
  <si>
    <t>1112011001</t>
  </si>
  <si>
    <t>METAL FURNITURE SMG</t>
  </si>
  <si>
    <t>3C1</t>
  </si>
  <si>
    <t>3MWCT1</t>
  </si>
  <si>
    <t>MWC1 CUTTING 2D 1</t>
  </si>
  <si>
    <t>WC228</t>
  </si>
  <si>
    <t>MF CUTTING 2D 1</t>
  </si>
  <si>
    <t>3MWCT2</t>
  </si>
  <si>
    <t>MWC1 CUTTING 2D 2</t>
  </si>
  <si>
    <t>WC229</t>
  </si>
  <si>
    <t>MF CUTTING 2D 2</t>
  </si>
  <si>
    <t>3MWCT3</t>
  </si>
  <si>
    <t>MWC1 CUTTING 3D 1</t>
  </si>
  <si>
    <t>WC230</t>
  </si>
  <si>
    <t>MF CUTTING 3D 1</t>
  </si>
  <si>
    <t>3MWCT4</t>
  </si>
  <si>
    <t>MWC1 CUTTING 3D 2</t>
  </si>
  <si>
    <t>WC231</t>
  </si>
  <si>
    <t>MF CUTTING 3D 2</t>
  </si>
  <si>
    <t>3MWCT5</t>
  </si>
  <si>
    <t>MWC1 CUTTING CNC 1</t>
  </si>
  <si>
    <t>WC232</t>
  </si>
  <si>
    <t>MF CUTTING CNC 1</t>
  </si>
  <si>
    <t>3MWCT6</t>
  </si>
  <si>
    <t>MWC1 MANUAL</t>
  </si>
  <si>
    <t>WC233</t>
  </si>
  <si>
    <t>MF MANUAL</t>
  </si>
  <si>
    <t>3MWBD1</t>
  </si>
  <si>
    <t>MWC1 BENDING 1</t>
  </si>
  <si>
    <t>WC234</t>
  </si>
  <si>
    <t>MF BENDING 1</t>
  </si>
  <si>
    <t>1112013001</t>
  </si>
  <si>
    <t>ASSEMBLY MF</t>
  </si>
  <si>
    <t>3MFAS1</t>
  </si>
  <si>
    <t>MF SUB ASSY 1</t>
  </si>
  <si>
    <t>WC235</t>
  </si>
  <si>
    <t>WC352</t>
  </si>
  <si>
    <t>3MF</t>
  </si>
  <si>
    <t>3MFAS2</t>
  </si>
  <si>
    <t>MF SUB ASSY 2</t>
  </si>
  <si>
    <t>WC236</t>
  </si>
  <si>
    <t>WC353</t>
  </si>
  <si>
    <t>3MFAS3</t>
  </si>
  <si>
    <t>MF SUB ASSY 3</t>
  </si>
  <si>
    <t>WC237</t>
  </si>
  <si>
    <t>WC354</t>
  </si>
  <si>
    <t>3MFAS4</t>
  </si>
  <si>
    <t>MF SUB ASSY 4</t>
  </si>
  <si>
    <t>WC238</t>
  </si>
  <si>
    <t>WC355</t>
  </si>
  <si>
    <t>3MFAS5</t>
  </si>
  <si>
    <t>MF SUB ASSY 5</t>
  </si>
  <si>
    <t>WC239</t>
  </si>
  <si>
    <t>WC356</t>
  </si>
  <si>
    <t>3MFAS6</t>
  </si>
  <si>
    <t>MF SUB ASSY 6</t>
  </si>
  <si>
    <t>WC240</t>
  </si>
  <si>
    <t>WC357</t>
  </si>
  <si>
    <t>3MFAS7</t>
  </si>
  <si>
    <t>MF ASSEMBLY UNIT 1</t>
  </si>
  <si>
    <t>WC241</t>
  </si>
  <si>
    <t>8 ORANG</t>
  </si>
  <si>
    <t>3MFAS8</t>
  </si>
  <si>
    <t>MF ASSEMBLY UNIT 2</t>
  </si>
  <si>
    <t>WC242</t>
  </si>
  <si>
    <t>3MFAS9</t>
  </si>
  <si>
    <t>MF ASSEMBLY UNIT 3</t>
  </si>
  <si>
    <t>WC243</t>
  </si>
  <si>
    <t>3MFAS10</t>
  </si>
  <si>
    <t>MF ASSEMBLY UNIT 4</t>
  </si>
  <si>
    <t>WC244</t>
  </si>
  <si>
    <t>3MFAS11</t>
  </si>
  <si>
    <t>MF ASSEMBLY UNIT 5</t>
  </si>
  <si>
    <t>WC245</t>
  </si>
  <si>
    <t>3MFAS12</t>
  </si>
  <si>
    <t>MF ASSEMBLY UNIT 6</t>
  </si>
  <si>
    <t>WC246</t>
  </si>
  <si>
    <t>3MFAS13</t>
  </si>
  <si>
    <t>MF ASSEMBLY UNIT 7</t>
  </si>
  <si>
    <t>WC247</t>
  </si>
  <si>
    <t>3MFAS14</t>
  </si>
  <si>
    <t>MF ASSEMBLY UNIT 8</t>
  </si>
  <si>
    <t>WC248</t>
  </si>
  <si>
    <t>WC358</t>
  </si>
  <si>
    <t>3MFPU1</t>
  </si>
  <si>
    <t>MF POLESH UNIT 1</t>
  </si>
  <si>
    <t>WC249</t>
  </si>
  <si>
    <t>1112014001</t>
  </si>
  <si>
    <t>3MFPU2</t>
  </si>
  <si>
    <t>MF POLESH UNIT 2</t>
  </si>
  <si>
    <t>WC250</t>
  </si>
  <si>
    <t>WC359</t>
  </si>
  <si>
    <t>3MFPU3</t>
  </si>
  <si>
    <t>MF POLESH UNIT 3</t>
  </si>
  <si>
    <t>WC251</t>
  </si>
  <si>
    <t>WC360</t>
  </si>
  <si>
    <t>3MFPU4</t>
  </si>
  <si>
    <t>MF POLESH UNIT 4</t>
  </si>
  <si>
    <t>WC252</t>
  </si>
  <si>
    <t>WC361</t>
  </si>
  <si>
    <t>3MFPU5</t>
  </si>
  <si>
    <t>MF POLESH UNIT 5</t>
  </si>
  <si>
    <t>WC253</t>
  </si>
  <si>
    <t>WC362</t>
  </si>
  <si>
    <t>3MFPU6</t>
  </si>
  <si>
    <t>MF POLESH UNIT 6</t>
  </si>
  <si>
    <t>WC254</t>
  </si>
  <si>
    <t>WC363</t>
  </si>
  <si>
    <t>PRIMER MF</t>
  </si>
  <si>
    <t>3MFPM2</t>
  </si>
  <si>
    <t>MF POWDER COATING</t>
  </si>
  <si>
    <t>1112015001</t>
  </si>
  <si>
    <t>3MFSA0</t>
  </si>
  <si>
    <t>MF SANDING A GENERAL</t>
  </si>
  <si>
    <t>MF SANDING A</t>
  </si>
  <si>
    <t>1112015002</t>
  </si>
  <si>
    <t>3MFSB0</t>
  </si>
  <si>
    <t>MF SANDING B GENERAL</t>
  </si>
  <si>
    <t>MF SANDING B</t>
  </si>
  <si>
    <t>1112015003</t>
  </si>
  <si>
    <t>3MFSC0</t>
  </si>
  <si>
    <t>MF SANDING C GENERAL</t>
  </si>
  <si>
    <t>WC255</t>
  </si>
  <si>
    <t>MF SANDING C</t>
  </si>
  <si>
    <t>3MFSD0</t>
  </si>
  <si>
    <t>MF SANDING D GENERAL</t>
  </si>
  <si>
    <t>WC256</t>
  </si>
  <si>
    <t>MF SANDING D</t>
  </si>
  <si>
    <t>FINISHING MF</t>
  </si>
  <si>
    <t>3MFCO1</t>
  </si>
  <si>
    <t>MF COLOURING 1</t>
  </si>
  <si>
    <t>1112016001</t>
  </si>
  <si>
    <t>3MFCO2</t>
  </si>
  <si>
    <t>MF COLOURING 2</t>
  </si>
  <si>
    <t>1112016002</t>
  </si>
  <si>
    <t>3MFCO3</t>
  </si>
  <si>
    <t>MF COLOURING 3</t>
  </si>
  <si>
    <t>WC259</t>
  </si>
  <si>
    <t>1112016003</t>
  </si>
  <si>
    <t>3MFCO4</t>
  </si>
  <si>
    <t>MF COLOURING 4</t>
  </si>
  <si>
    <t>WC260</t>
  </si>
  <si>
    <t>WC364</t>
  </si>
  <si>
    <t>1112016004</t>
  </si>
  <si>
    <t>3MFCO5</t>
  </si>
  <si>
    <t>MF COLOURING 5</t>
  </si>
  <si>
    <t>WC261</t>
  </si>
  <si>
    <t>WC365</t>
  </si>
  <si>
    <t>1112016005</t>
  </si>
  <si>
    <t>3MFCO6</t>
  </si>
  <si>
    <t>MF COLOURING 6</t>
  </si>
  <si>
    <t>WC262</t>
  </si>
  <si>
    <t>WC366</t>
  </si>
  <si>
    <t>1112016006</t>
  </si>
  <si>
    <t>3MFCO7</t>
  </si>
  <si>
    <t>MF COLOURING 7</t>
  </si>
  <si>
    <t>WC263</t>
  </si>
  <si>
    <t>WC367</t>
  </si>
  <si>
    <t>1112016007</t>
  </si>
  <si>
    <t>3MFCO8</t>
  </si>
  <si>
    <t>MF COLOURING 8</t>
  </si>
  <si>
    <t>WC264</t>
  </si>
  <si>
    <t>WC368</t>
  </si>
  <si>
    <t>1112016008</t>
  </si>
  <si>
    <t>3MFCO9</t>
  </si>
  <si>
    <t>MF COLOURING 9</t>
  </si>
  <si>
    <t>WC265</t>
  </si>
  <si>
    <t>WC369</t>
  </si>
  <si>
    <t>3MFCO10</t>
  </si>
  <si>
    <t>MF COLOURING 10</t>
  </si>
  <si>
    <t>WC266</t>
  </si>
  <si>
    <t>WC370</t>
  </si>
  <si>
    <t>3MFCO11</t>
  </si>
  <si>
    <t>MF COLOURING 11</t>
  </si>
  <si>
    <t>WC267</t>
  </si>
  <si>
    <t>WC371</t>
  </si>
  <si>
    <t>3MFCO12</t>
  </si>
  <si>
    <t>MF COLOURING 12</t>
  </si>
  <si>
    <t>WC268</t>
  </si>
  <si>
    <t>WC372</t>
  </si>
  <si>
    <t>3MFCO13</t>
  </si>
  <si>
    <t>MF COLOURING 13</t>
  </si>
  <si>
    <t>WC269</t>
  </si>
  <si>
    <t>WC373</t>
  </si>
  <si>
    <t>3MFCO14</t>
  </si>
  <si>
    <t>MF COLOURING 14</t>
  </si>
  <si>
    <t>WC270</t>
  </si>
  <si>
    <t>WC374</t>
  </si>
  <si>
    <t>3MFCO15</t>
  </si>
  <si>
    <t>MF COLOURING 15</t>
  </si>
  <si>
    <t>WC271</t>
  </si>
  <si>
    <t>WC375</t>
  </si>
  <si>
    <t>3MFCO16</t>
  </si>
  <si>
    <t>MF COLOURING 16</t>
  </si>
  <si>
    <t>WC272</t>
  </si>
  <si>
    <t>WC376</t>
  </si>
  <si>
    <t>3MFCO17</t>
  </si>
  <si>
    <t>MF COLOURING 17</t>
  </si>
  <si>
    <t>WC273</t>
  </si>
  <si>
    <t>WC377</t>
  </si>
  <si>
    <t>3MFCO18</t>
  </si>
  <si>
    <t>MF COLOURING 18</t>
  </si>
  <si>
    <t>WC274</t>
  </si>
  <si>
    <t>WC378</t>
  </si>
  <si>
    <t>3MFCO19</t>
  </si>
  <si>
    <t>MF COLOURING 19</t>
  </si>
  <si>
    <t>WC275</t>
  </si>
  <si>
    <t>WC379</t>
  </si>
  <si>
    <t>3MFCO20</t>
  </si>
  <si>
    <t>MF COLOURING 20</t>
  </si>
  <si>
    <t>WC276</t>
  </si>
  <si>
    <t>WC380</t>
  </si>
  <si>
    <t>PACKING MF</t>
  </si>
  <si>
    <t>3MFPK1</t>
  </si>
  <si>
    <t>MF PACKING</t>
  </si>
  <si>
    <t>WC277</t>
  </si>
  <si>
    <t>1112017001</t>
  </si>
  <si>
    <t>MACHINING CG</t>
  </si>
  <si>
    <t>3CGPD1</t>
  </si>
  <si>
    <t>CGD CNC ARES 7821</t>
  </si>
  <si>
    <t>WC278</t>
  </si>
  <si>
    <t>1112031203</t>
  </si>
  <si>
    <t>CASEGOOG SMG</t>
  </si>
  <si>
    <t>3D2</t>
  </si>
  <si>
    <t>3CGPD2</t>
  </si>
  <si>
    <t>CGD CNC ARES 7822</t>
  </si>
  <si>
    <t>WC279</t>
  </si>
  <si>
    <t>1112031204</t>
  </si>
  <si>
    <t>3CGPD3</t>
  </si>
  <si>
    <t>CGD CNC ARES 7823</t>
  </si>
  <si>
    <t>WC280</t>
  </si>
  <si>
    <t>1112031205</t>
  </si>
  <si>
    <t>3CGPD4</t>
  </si>
  <si>
    <t>CGD CNC ARES 7824</t>
  </si>
  <si>
    <t>WC281</t>
  </si>
  <si>
    <t>1112031206</t>
  </si>
  <si>
    <t>3CGPD5</t>
  </si>
  <si>
    <t>CGD BIESSE 1</t>
  </si>
  <si>
    <t>WC282</t>
  </si>
  <si>
    <t>1112031201</t>
  </si>
  <si>
    <t>3CGPD6</t>
  </si>
  <si>
    <t>CGD SHODA 516</t>
  </si>
  <si>
    <t>WC283</t>
  </si>
  <si>
    <t>1112031202</t>
  </si>
  <si>
    <t>3CGPD7</t>
  </si>
  <si>
    <t>CGD HEIAN 431 2</t>
  </si>
  <si>
    <t>WC284</t>
  </si>
  <si>
    <t>1112031207</t>
  </si>
  <si>
    <t>3CGPD8</t>
  </si>
  <si>
    <t>CGD HEIAN 442 2</t>
  </si>
  <si>
    <t>WC285</t>
  </si>
  <si>
    <t>1112031208</t>
  </si>
  <si>
    <t>3CGPD9</t>
  </si>
  <si>
    <t>CGD HEIAN ZR – 442 P</t>
  </si>
  <si>
    <t>WC286</t>
  </si>
  <si>
    <t>1112031209</t>
  </si>
  <si>
    <t>3CGPD10</t>
  </si>
  <si>
    <t>CGD CNC ARES B675</t>
  </si>
  <si>
    <t>WC287</t>
  </si>
  <si>
    <t>1112031210</t>
  </si>
  <si>
    <t>3CGPD11</t>
  </si>
  <si>
    <t>CGD CNC ARES B676</t>
  </si>
  <si>
    <t>WC288</t>
  </si>
  <si>
    <t>1112031211</t>
  </si>
  <si>
    <t>3CGPD12</t>
  </si>
  <si>
    <t>CGD HYPSOS B825 </t>
  </si>
  <si>
    <t>WC289</t>
  </si>
  <si>
    <t>1112031212</t>
  </si>
  <si>
    <t>3CGSD1</t>
  </si>
  <si>
    <t>CGD HEIAN 431 1</t>
  </si>
  <si>
    <t>WC290</t>
  </si>
  <si>
    <t>1112031103</t>
  </si>
  <si>
    <t>3CGSD2</t>
  </si>
  <si>
    <t>CGD INTOREX</t>
  </si>
  <si>
    <t>WC291</t>
  </si>
  <si>
    <t>1112031102</t>
  </si>
  <si>
    <t>3CGSD3</t>
  </si>
  <si>
    <t>CGD HEIAN SR – 431 P</t>
  </si>
  <si>
    <t>WC292</t>
  </si>
  <si>
    <t>1112031104</t>
  </si>
  <si>
    <t>3CGSD4</t>
  </si>
  <si>
    <t>CGD CMS BALLESTRINI</t>
  </si>
  <si>
    <t>WC293</t>
  </si>
  <si>
    <t>1112031106</t>
  </si>
  <si>
    <t>3CGSD5</t>
  </si>
  <si>
    <t>CGD HEIAN ER-331P</t>
  </si>
  <si>
    <t>WC294</t>
  </si>
  <si>
    <t>1112031105</t>
  </si>
  <si>
    <t>3CGSD6</t>
  </si>
  <si>
    <t>CGD BACCI MASTER 1844</t>
  </si>
  <si>
    <t>WC295</t>
  </si>
  <si>
    <t xml:space="preserve">1112031107    </t>
  </si>
  <si>
    <t>3CGMD1</t>
  </si>
  <si>
    <t>CGD MANUAL DELTA 1</t>
  </si>
  <si>
    <t>WC296</t>
  </si>
  <si>
    <t>1112031101</t>
  </si>
  <si>
    <t>3CGSMA</t>
  </si>
  <si>
    <t>CGD SUB MACH A</t>
  </si>
  <si>
    <t>WC297</t>
  </si>
  <si>
    <t>3CGSMB</t>
  </si>
  <si>
    <t>CGD SUB MACH B</t>
  </si>
  <si>
    <t>WC298</t>
  </si>
  <si>
    <t>EDGE BANDING CG</t>
  </si>
  <si>
    <t>3CGED0</t>
  </si>
  <si>
    <t>CGD EBD CUTTING</t>
  </si>
  <si>
    <t>WC299</t>
  </si>
  <si>
    <t>3CGED1</t>
  </si>
  <si>
    <t>CGD EDGE BANDING (IMA)</t>
  </si>
  <si>
    <t>WC300</t>
  </si>
  <si>
    <t>1112032101</t>
  </si>
  <si>
    <t>3CGED2</t>
  </si>
  <si>
    <t>CGD EDGE BANDING (HF)</t>
  </si>
  <si>
    <t>WC301</t>
  </si>
  <si>
    <t>1112032102</t>
  </si>
  <si>
    <t>3CGED3</t>
  </si>
  <si>
    <t>CGD COOL PRESS</t>
  </si>
  <si>
    <t>WC302</t>
  </si>
  <si>
    <t>1112032103</t>
  </si>
  <si>
    <t>ASSEMBLY CG</t>
  </si>
  <si>
    <t>3CGSBA</t>
  </si>
  <si>
    <t>CGD SUB BODY A</t>
  </si>
  <si>
    <t>WC303</t>
  </si>
  <si>
    <t>1112032202</t>
  </si>
  <si>
    <t>3CGABA</t>
  </si>
  <si>
    <t>CGD ASSY BODY A</t>
  </si>
  <si>
    <t>WC304</t>
  </si>
  <si>
    <t>1112032301</t>
  </si>
  <si>
    <t>3CGLAG</t>
  </si>
  <si>
    <t>CGD TOTAL ASSY A</t>
  </si>
  <si>
    <t>WC305</t>
  </si>
  <si>
    <t>CGD ASSEMBLY A</t>
  </si>
  <si>
    <t>1112032401</t>
  </si>
  <si>
    <t>3CGSBB</t>
  </si>
  <si>
    <t>CGD SUB BODY B</t>
  </si>
  <si>
    <t>WC306</t>
  </si>
  <si>
    <t>1112032203</t>
  </si>
  <si>
    <t>3CGABB</t>
  </si>
  <si>
    <t>CGD ASSY BODY B</t>
  </si>
  <si>
    <t>WC307</t>
  </si>
  <si>
    <t>1112032302</t>
  </si>
  <si>
    <t>3CGLBG</t>
  </si>
  <si>
    <t>CGD TOTAL ASSY B</t>
  </si>
  <si>
    <t>WC308</t>
  </si>
  <si>
    <t>CGD ASSEMBLY B</t>
  </si>
  <si>
    <t>1112032402</t>
  </si>
  <si>
    <t>FINISHING CG</t>
  </si>
  <si>
    <t>3CGFD1</t>
  </si>
  <si>
    <t>CGD PAINTING 1</t>
  </si>
  <si>
    <t>WC309</t>
  </si>
  <si>
    <t>3CGFD2</t>
  </si>
  <si>
    <t>CGD PAINTING 2</t>
  </si>
  <si>
    <t>WC310</t>
  </si>
  <si>
    <t>3CGFD3</t>
  </si>
  <si>
    <t>CGD PAINTING 3</t>
  </si>
  <si>
    <t>WC311</t>
  </si>
  <si>
    <t>3CGFD4</t>
  </si>
  <si>
    <t>CGD PAINTING 4</t>
  </si>
  <si>
    <t>WC312</t>
  </si>
  <si>
    <t>3CGFD5</t>
  </si>
  <si>
    <t>CGD PAINTING 5</t>
  </si>
  <si>
    <t>WC313</t>
  </si>
  <si>
    <t>3CGFD6</t>
  </si>
  <si>
    <t>CGD PAINTING 6</t>
  </si>
  <si>
    <t>WC314</t>
  </si>
  <si>
    <t>3CGFD7</t>
  </si>
  <si>
    <t>CGD PAINTING 7</t>
  </si>
  <si>
    <t>WC315</t>
  </si>
  <si>
    <t>3CGFD8</t>
  </si>
  <si>
    <t>CGD PAINTING 8</t>
  </si>
  <si>
    <t>WC316</t>
  </si>
  <si>
    <t>3CGFD9</t>
  </si>
  <si>
    <t>CGD PAINTING 9</t>
  </si>
  <si>
    <t>WC317</t>
  </si>
  <si>
    <t>3CGFD10</t>
  </si>
  <si>
    <t>CGD PAINTING 10</t>
  </si>
  <si>
    <t>WC318</t>
  </si>
  <si>
    <t>PACKING CG</t>
  </si>
  <si>
    <t>3CGPCD1</t>
  </si>
  <si>
    <t>WC319</t>
  </si>
  <si>
    <t>1112033201</t>
  </si>
  <si>
    <t>3CGPCD2</t>
  </si>
  <si>
    <t>WC320</t>
  </si>
  <si>
    <t>1112033202</t>
  </si>
  <si>
    <t>3CGPCD3</t>
  </si>
  <si>
    <t>WC321</t>
  </si>
  <si>
    <t>1112033203</t>
  </si>
  <si>
    <t>3CGPCD4</t>
  </si>
  <si>
    <t>WC322</t>
  </si>
  <si>
    <t>1112033204</t>
  </si>
  <si>
    <t>3CGPCD5</t>
  </si>
  <si>
    <t>WC323</t>
  </si>
  <si>
    <t>1112033205</t>
  </si>
  <si>
    <t>3CGPCD6</t>
  </si>
  <si>
    <t>WC324</t>
  </si>
  <si>
    <t>1112033206</t>
  </si>
  <si>
    <t>3CGPCD7</t>
  </si>
  <si>
    <t>WC325</t>
  </si>
  <si>
    <t>1112033207</t>
  </si>
  <si>
    <t>3CGPCD8</t>
  </si>
  <si>
    <t>WC326</t>
  </si>
  <si>
    <t>1112033208</t>
  </si>
  <si>
    <t>3CGPCD9</t>
  </si>
  <si>
    <t>WC327</t>
  </si>
  <si>
    <t>1112033209</t>
  </si>
  <si>
    <t>3CGPCD10</t>
  </si>
  <si>
    <t>WC328</t>
  </si>
  <si>
    <t>1112033210</t>
  </si>
  <si>
    <t>3CGPCD11</t>
  </si>
  <si>
    <t>WC329</t>
  </si>
  <si>
    <t>1112033211</t>
  </si>
  <si>
    <t>MACHINING BC</t>
  </si>
  <si>
    <t>3WWPNLR</t>
  </si>
  <si>
    <t>BC DOUBLE PLANNER</t>
  </si>
  <si>
    <t>WC330</t>
  </si>
  <si>
    <t>1112041014     </t>
  </si>
  <si>
    <t>BUILDING COMPONENT SMG</t>
  </si>
  <si>
    <t>3DR</t>
  </si>
  <si>
    <t>3WWSGR</t>
  </si>
  <si>
    <t>BC SINGLE RIP</t>
  </si>
  <si>
    <t>WC331</t>
  </si>
  <si>
    <t>3WWCUT1</t>
  </si>
  <si>
    <t xml:space="preserve">BC CUTTING 1 </t>
  </si>
  <si>
    <t>WC332</t>
  </si>
  <si>
    <t>3DRMNC1</t>
  </si>
  <si>
    <t>DBC CNC 1</t>
  </si>
  <si>
    <t>WC333</t>
  </si>
  <si>
    <t>BC CNC 1</t>
  </si>
  <si>
    <t>1112041007</t>
  </si>
  <si>
    <t>3DRMNC2</t>
  </si>
  <si>
    <t>DBC CNC 2</t>
  </si>
  <si>
    <t>WC334</t>
  </si>
  <si>
    <t>BC CNC 2</t>
  </si>
  <si>
    <t>1112041008</t>
  </si>
  <si>
    <t>3DRMNC3</t>
  </si>
  <si>
    <t>DBC CNC 3</t>
  </si>
  <si>
    <t>BC CNC 3</t>
  </si>
  <si>
    <t>1112041009</t>
  </si>
  <si>
    <t>3DRMNC4</t>
  </si>
  <si>
    <t>DBC CNC 4</t>
  </si>
  <si>
    <t>BC CNC 4</t>
  </si>
  <si>
    <t>1112041010</t>
  </si>
  <si>
    <t>3DRMNC5</t>
  </si>
  <si>
    <t>DBC CNC 5</t>
  </si>
  <si>
    <t>BC CNC 5</t>
  </si>
  <si>
    <t>1112041011</t>
  </si>
  <si>
    <t>3DRMNC6</t>
  </si>
  <si>
    <t>DBC CNC 6</t>
  </si>
  <si>
    <t>BC CNC 6</t>
  </si>
  <si>
    <t>1112041012</t>
  </si>
  <si>
    <t>3DRMNC7</t>
  </si>
  <si>
    <t>DBC CNC 7</t>
  </si>
  <si>
    <t>BC CNC 7</t>
  </si>
  <si>
    <t>3DRMNC8</t>
  </si>
  <si>
    <t>DBC CNC 8</t>
  </si>
  <si>
    <t>BC CNC 8</t>
  </si>
  <si>
    <t>3DRMNC9</t>
  </si>
  <si>
    <t>DBC CNC 9</t>
  </si>
  <si>
    <t>BC CNC 9</t>
  </si>
  <si>
    <t>3DRMNL1</t>
  </si>
  <si>
    <t>DBC MANUAL 1</t>
  </si>
  <si>
    <t>1112041001</t>
  </si>
  <si>
    <t>3DRMNL2</t>
  </si>
  <si>
    <t>DBC MANUAL 2</t>
  </si>
  <si>
    <t>BC MANUAL 2</t>
  </si>
  <si>
    <t>3DRMNL3</t>
  </si>
  <si>
    <t>DBC MANUAL 3</t>
  </si>
  <si>
    <t>BC MANUAL 3</t>
  </si>
  <si>
    <t>3DRMSGL</t>
  </si>
  <si>
    <t>DBC SINGLE END</t>
  </si>
  <si>
    <t>BC SINGLE END</t>
  </si>
  <si>
    <t>1112041003</t>
  </si>
  <si>
    <t>3DRSND1</t>
  </si>
  <si>
    <t>DBC SANDING</t>
  </si>
  <si>
    <t>BC SANDING</t>
  </si>
  <si>
    <t>1112041006</t>
  </si>
  <si>
    <t>3DRRSN1</t>
  </si>
  <si>
    <t>DBC RESIN 1</t>
  </si>
  <si>
    <t>BC RESIN 1</t>
  </si>
  <si>
    <t>3DRRSN2</t>
  </si>
  <si>
    <t>DBC RESIN 2</t>
  </si>
  <si>
    <t>BC RESIN 2</t>
  </si>
  <si>
    <t>BC SUB MACH</t>
  </si>
  <si>
    <t>TAMBAHAN</t>
  </si>
  <si>
    <t xml:space="preserve">ASSEMBLY GT </t>
  </si>
  <si>
    <t>3DRSND2</t>
  </si>
  <si>
    <t>DBC FINAL SANDING</t>
  </si>
  <si>
    <t>BC FINAL SANDING</t>
  </si>
  <si>
    <t>1112042003</t>
  </si>
  <si>
    <t>3DRSND3</t>
  </si>
  <si>
    <t>DBC BRUSH</t>
  </si>
  <si>
    <t>BC BRUSH</t>
  </si>
  <si>
    <t>3DRAD3</t>
  </si>
  <si>
    <t>DBC SUB ASSY</t>
  </si>
  <si>
    <t>BC SUB ASSY</t>
  </si>
  <si>
    <t>3DRAD4</t>
  </si>
  <si>
    <t>DBC FINAL ASSY</t>
  </si>
  <si>
    <t>BC ASSY GT</t>
  </si>
  <si>
    <t>PACKING GT</t>
  </si>
  <si>
    <t>3DRPKG</t>
  </si>
  <si>
    <t>BC PACKING</t>
  </si>
  <si>
    <t>1112044002</t>
  </si>
  <si>
    <t>ASSEMBLY CG (E SMG)</t>
  </si>
  <si>
    <t>3DREB1</t>
  </si>
  <si>
    <t>BC EDGE BANDING (HF)</t>
  </si>
  <si>
    <t>WC384</t>
  </si>
  <si>
    <t>BC EDGE BANDING IMA</t>
  </si>
  <si>
    <t>3DRACA</t>
  </si>
  <si>
    <t>BC ASSY CG A</t>
  </si>
  <si>
    <t>BC ASSY CG A1</t>
  </si>
  <si>
    <t>WC385</t>
  </si>
  <si>
    <t>BC ASSY CG A2</t>
  </si>
  <si>
    <t>WC386</t>
  </si>
  <si>
    <t>BC ASSY CG A3</t>
  </si>
  <si>
    <t>3DRACB</t>
  </si>
  <si>
    <t>BC ASSY CG B</t>
  </si>
  <si>
    <t>WC387</t>
  </si>
  <si>
    <t>BC ASSY CG B1</t>
  </si>
  <si>
    <t>WC388</t>
  </si>
  <si>
    <t>BC ASSY CG B2</t>
  </si>
  <si>
    <t>WC389</t>
  </si>
  <si>
    <t>BC ASSY CG B3</t>
  </si>
  <si>
    <t>3DRACC</t>
  </si>
  <si>
    <t>BC ASSY CG C</t>
  </si>
  <si>
    <t>WC390</t>
  </si>
  <si>
    <t>BC ASSY CG C1</t>
  </si>
  <si>
    <t>WC391</t>
  </si>
  <si>
    <t>BC ASSY CG C2</t>
  </si>
  <si>
    <t>WC392</t>
  </si>
  <si>
    <t>BC ASSY CG C3</t>
  </si>
  <si>
    <t>3DRPC1</t>
  </si>
  <si>
    <t>BC PACKING CG 1</t>
  </si>
  <si>
    <t>BC PACKING CG</t>
  </si>
  <si>
    <t>6 ORANG</t>
  </si>
  <si>
    <t>3DRPC2</t>
  </si>
  <si>
    <t>BC PACKING CG 2</t>
  </si>
  <si>
    <t>3DRPC3</t>
  </si>
  <si>
    <t>BC PACKING CG 3</t>
  </si>
  <si>
    <t>CASTING MA</t>
  </si>
  <si>
    <t>3MACA2</t>
  </si>
  <si>
    <t>MA WAX MOLDING 1</t>
  </si>
  <si>
    <t>1112021002</t>
  </si>
  <si>
    <t>METAL ACCESSORIES SMG</t>
  </si>
  <si>
    <t>3MA</t>
  </si>
  <si>
    <t>3MACA8</t>
  </si>
  <si>
    <t>MA SEMEN CAST</t>
  </si>
  <si>
    <t>1112021008</t>
  </si>
  <si>
    <t>3MACA9</t>
  </si>
  <si>
    <t>MA CASTING OVEN</t>
  </si>
  <si>
    <t>1112021009</t>
  </si>
  <si>
    <t>3MACA10</t>
  </si>
  <si>
    <t>MA CASTING INJECT</t>
  </si>
  <si>
    <t>MA CASTING</t>
  </si>
  <si>
    <t>MACHINING MA</t>
  </si>
  <si>
    <t>3MACN1</t>
  </si>
  <si>
    <t>MA CNC 1</t>
  </si>
  <si>
    <t>1112022002</t>
  </si>
  <si>
    <t>3MACN2</t>
  </si>
  <si>
    <t>MA CNC 2</t>
  </si>
  <si>
    <t>1112022003</t>
  </si>
  <si>
    <t>3MACN3</t>
  </si>
  <si>
    <t>MA CNC 3</t>
  </si>
  <si>
    <t>1112022004</t>
  </si>
  <si>
    <t>3MACN4</t>
  </si>
  <si>
    <t>MA CNC 4</t>
  </si>
  <si>
    <t>1112022005</t>
  </si>
  <si>
    <t>3MACN5</t>
  </si>
  <si>
    <t>MA MANUAL 1</t>
  </si>
  <si>
    <t>1112022001</t>
  </si>
  <si>
    <t>ASSEMBLY MA</t>
  </si>
  <si>
    <t>3MAWD1</t>
  </si>
  <si>
    <t>MA WELDING 1</t>
  </si>
  <si>
    <t>1112023002</t>
  </si>
  <si>
    <t>3MAWD2</t>
  </si>
  <si>
    <t>MA WELDING 2</t>
  </si>
  <si>
    <t>1112023003</t>
  </si>
  <si>
    <t>3MAGPA0</t>
  </si>
  <si>
    <t>MA GRIN-POL A GENERAL</t>
  </si>
  <si>
    <t>MA GRIN-POL A</t>
  </si>
  <si>
    <t>1112023001</t>
  </si>
  <si>
    <t>MA GRIN-POL B</t>
  </si>
  <si>
    <t>MA GRIN-POL C</t>
  </si>
  <si>
    <t>MA GRIN-POL D</t>
  </si>
  <si>
    <t>FINISHING MA</t>
  </si>
  <si>
    <t>3MAPTG1</t>
  </si>
  <si>
    <t>MA PAINTING 1</t>
  </si>
  <si>
    <t>Revisi SDM 2 orang</t>
  </si>
  <si>
    <t>1112024001</t>
  </si>
  <si>
    <t>3MAPTG2</t>
  </si>
  <si>
    <t>MA PAINTING 2</t>
  </si>
  <si>
    <t>1112024002</t>
  </si>
  <si>
    <t>3MAPTG3</t>
  </si>
  <si>
    <t>MA PAINTING 3</t>
  </si>
  <si>
    <t>1112024003</t>
  </si>
  <si>
    <t>3MAPTG4</t>
  </si>
  <si>
    <t>MA PAINTING 4</t>
  </si>
  <si>
    <t>WC381</t>
  </si>
  <si>
    <t>1112024004</t>
  </si>
  <si>
    <t>WC382</t>
  </si>
  <si>
    <t>MA PAINTING 5</t>
  </si>
  <si>
    <t>WC383</t>
  </si>
  <si>
    <t>MA PAINTING 6</t>
  </si>
  <si>
    <t>PACKING MA</t>
  </si>
  <si>
    <t>3MAPKG</t>
  </si>
  <si>
    <t>MA PACKING</t>
  </si>
  <si>
    <t>1112025001</t>
  </si>
  <si>
    <t>SAMPLE WORKSHOP</t>
  </si>
  <si>
    <t>3PDWS1</t>
  </si>
  <si>
    <t>PD WORKSHOP ASSY</t>
  </si>
  <si>
    <t>1075022001</t>
  </si>
  <si>
    <t>SAMPLE MAKER SMG</t>
  </si>
  <si>
    <t>3PDWS2</t>
  </si>
  <si>
    <t>PD WORKSHOP PAINT</t>
  </si>
  <si>
    <t>1075022002</t>
  </si>
  <si>
    <t>QC</t>
  </si>
  <si>
    <t>PRO REPAIR PTG &amp; PACKING</t>
  </si>
  <si>
    <t>PKG</t>
  </si>
  <si>
    <t>WC571</t>
  </si>
  <si>
    <t>PRO REPAIR FITTING</t>
  </si>
  <si>
    <t>1111090001</t>
  </si>
  <si>
    <t>WC572</t>
  </si>
  <si>
    <t>Rework Packing Painting KMI 2</t>
  </si>
  <si>
    <t>1111090002</t>
  </si>
  <si>
    <t>PTG</t>
  </si>
  <si>
    <t>WC573</t>
  </si>
  <si>
    <t>Rework Painting Case goods</t>
  </si>
  <si>
    <t>PTG CHAIR</t>
  </si>
  <si>
    <t>WC574</t>
  </si>
  <si>
    <t>Rework Painting Chair</t>
  </si>
  <si>
    <t>WC580</t>
  </si>
  <si>
    <t>Painting CG SBY Sprayboth1</t>
  </si>
  <si>
    <t>WC581</t>
  </si>
  <si>
    <t>Painting CG SBY Sprayboth2</t>
  </si>
  <si>
    <t>WC582</t>
  </si>
  <si>
    <t>Painting CG SBY Sprayboth3</t>
  </si>
  <si>
    <t>WC583</t>
  </si>
  <si>
    <t>Painting CG SBY Sprayboth4</t>
  </si>
  <si>
    <t>WC584</t>
  </si>
  <si>
    <t>Painting CG SBY Sprayboth5</t>
  </si>
  <si>
    <t>CUTTING PKG</t>
  </si>
  <si>
    <t>3PGCT2</t>
  </si>
  <si>
    <t>PACK CUTTING SAW</t>
  </si>
  <si>
    <t>1112071002</t>
  </si>
  <si>
    <t>PACKAGING SMG</t>
  </si>
  <si>
    <t>1PG</t>
  </si>
  <si>
    <t>3PGAS2</t>
  </si>
  <si>
    <t>PACK ASSY SKID</t>
  </si>
  <si>
    <t>1112073002</t>
  </si>
  <si>
    <t>MACHINING PKG</t>
  </si>
  <si>
    <t>3PGCT1</t>
  </si>
  <si>
    <t>PACK CUTTING SUGII</t>
  </si>
  <si>
    <t>1112071001</t>
  </si>
  <si>
    <t>3PGNC1</t>
  </si>
  <si>
    <t>PACK CNC ER 431P - 1</t>
  </si>
  <si>
    <t>1112072001</t>
  </si>
  <si>
    <t>3PGNC2</t>
  </si>
  <si>
    <t>PACK CNC ER 431P - 2</t>
  </si>
  <si>
    <t>1112072002</t>
  </si>
  <si>
    <t>3PGNC3</t>
  </si>
  <si>
    <t>PACK CNC SHODA - 1</t>
  </si>
  <si>
    <t>1112072003</t>
  </si>
  <si>
    <t>3PGNC4</t>
  </si>
  <si>
    <t>PACK CNC SHODA - 2</t>
  </si>
  <si>
    <t>1112072004</t>
  </si>
  <si>
    <t>3PGNC5</t>
  </si>
  <si>
    <t>PACK CNC HEIAN ZR 442P</t>
  </si>
  <si>
    <t>1112072005</t>
  </si>
  <si>
    <t>FITTING BOX SET</t>
  </si>
  <si>
    <t>3PGAS1</t>
  </si>
  <si>
    <t>PACK GLUEING</t>
  </si>
  <si>
    <t>1112073001</t>
  </si>
  <si>
    <t>3PGAS3</t>
  </si>
  <si>
    <t>PACKAGING BOX SET 1</t>
  </si>
  <si>
    <t>PACKAGING BOX SET SMG</t>
  </si>
  <si>
    <t>1112073003</t>
  </si>
  <si>
    <t>3PGAS4</t>
  </si>
  <si>
    <t>PACKAGING BOX SET 2</t>
  </si>
  <si>
    <t>WC393</t>
  </si>
  <si>
    <t>3PGAS5</t>
  </si>
  <si>
    <t>PACKAGING BOX SET 3</t>
  </si>
  <si>
    <t>WC394</t>
  </si>
  <si>
    <t>3PGAS6</t>
  </si>
  <si>
    <t>PACKAGING BOX SET 4</t>
  </si>
  <si>
    <t>WC395</t>
  </si>
  <si>
    <t>MIXING</t>
  </si>
  <si>
    <t>3GTMIX</t>
  </si>
  <si>
    <t>SG MIXING</t>
  </si>
  <si>
    <t>WC396</t>
  </si>
  <si>
    <t>MIXING SMG</t>
  </si>
  <si>
    <t>3MFMIX</t>
  </si>
  <si>
    <t>MF MIXING</t>
  </si>
  <si>
    <t>WC397</t>
  </si>
  <si>
    <t>1112018001</t>
  </si>
  <si>
    <t>3CGDMIX</t>
  </si>
  <si>
    <t>CGD MIXING</t>
  </si>
  <si>
    <t>WC398</t>
  </si>
  <si>
    <t>WC399</t>
  </si>
  <si>
    <t>Logistik Case Goods KMI 2</t>
  </si>
  <si>
    <t>02:00:00</t>
  </si>
  <si>
    <t>WC400</t>
  </si>
  <si>
    <t>WC401</t>
  </si>
  <si>
    <t>SANDER KOMPONEN CASE GOOD B</t>
  </si>
  <si>
    <t>WC402</t>
  </si>
  <si>
    <t>Logistik Chair KMI 2</t>
  </si>
  <si>
    <t>WC403</t>
  </si>
  <si>
    <t>Engineering Drafter Dimas Nasrudin</t>
  </si>
  <si>
    <t>Engineering Drafter Gracia</t>
  </si>
  <si>
    <t>Engineering Drafter Hilman</t>
  </si>
  <si>
    <t>WC417</t>
  </si>
  <si>
    <t>WC418</t>
  </si>
  <si>
    <t>WC419</t>
  </si>
  <si>
    <t>WC420</t>
  </si>
  <si>
    <t>WC421</t>
  </si>
  <si>
    <t>WC422</t>
  </si>
  <si>
    <t>WC423</t>
  </si>
  <si>
    <t>WC424</t>
  </si>
  <si>
    <t>WC425</t>
  </si>
  <si>
    <t>WC426</t>
  </si>
  <si>
    <t>WC427</t>
  </si>
  <si>
    <t>WC428</t>
  </si>
  <si>
    <t>WC430</t>
  </si>
  <si>
    <t>WC431</t>
  </si>
  <si>
    <t>WC432</t>
  </si>
  <si>
    <t>WC433</t>
  </si>
  <si>
    <t>WC434</t>
  </si>
  <si>
    <t>WC435</t>
  </si>
  <si>
    <t>WC436</t>
  </si>
  <si>
    <t>WC437</t>
  </si>
  <si>
    <t>WC438</t>
  </si>
  <si>
    <t>WC439</t>
  </si>
  <si>
    <t>WC440</t>
  </si>
  <si>
    <t>WC441</t>
  </si>
  <si>
    <t>WC442</t>
  </si>
  <si>
    <t>WC443</t>
  </si>
  <si>
    <t>WC444</t>
  </si>
  <si>
    <t>WC445</t>
  </si>
  <si>
    <t>WC446</t>
  </si>
  <si>
    <t>WC447</t>
  </si>
  <si>
    <t>WC448</t>
  </si>
  <si>
    <t>WC449</t>
  </si>
  <si>
    <t>WC450</t>
  </si>
  <si>
    <t>WC451</t>
  </si>
  <si>
    <t>WC452</t>
  </si>
  <si>
    <t>WC453</t>
  </si>
  <si>
    <t>WC454</t>
  </si>
  <si>
    <t>WC455</t>
  </si>
  <si>
    <t>WC456</t>
  </si>
  <si>
    <t>WC457</t>
  </si>
  <si>
    <t>WC458</t>
  </si>
  <si>
    <t>WC459</t>
  </si>
  <si>
    <t>WC460</t>
  </si>
  <si>
    <t>WC461</t>
  </si>
  <si>
    <t>WC462</t>
  </si>
  <si>
    <t>WC463</t>
  </si>
  <si>
    <t>WC464</t>
  </si>
  <si>
    <t>WC465</t>
  </si>
  <si>
    <t>WC466</t>
  </si>
  <si>
    <t>WC467</t>
  </si>
  <si>
    <t>WC468</t>
  </si>
  <si>
    <t>WC469</t>
  </si>
  <si>
    <t>WC470</t>
  </si>
  <si>
    <t>WC471</t>
  </si>
  <si>
    <t>WC472</t>
  </si>
  <si>
    <t>WC473</t>
  </si>
  <si>
    <t>CHAIR FITTING 1</t>
  </si>
  <si>
    <t>CHAIR FITTING 2</t>
  </si>
  <si>
    <t>CHAIR FITTING 3</t>
  </si>
  <si>
    <t>CHAIR FITTING 4</t>
  </si>
  <si>
    <t>PAINTING CHAIR A1</t>
  </si>
  <si>
    <t>PAINTING CHAIR A2</t>
  </si>
  <si>
    <t>PAINTING CHAIR A3</t>
  </si>
  <si>
    <t>PAINTING CHAIR A4</t>
  </si>
  <si>
    <t>PAINTING CHAIR B1</t>
  </si>
  <si>
    <t>PAINTING CHAIR B2</t>
  </si>
  <si>
    <t>PAINTING CHAIR B3</t>
  </si>
  <si>
    <t>PAINTING CHAIR B4</t>
  </si>
  <si>
    <t>PACKING LINE 1</t>
  </si>
  <si>
    <t>PACKING LINE 2</t>
  </si>
  <si>
    <t>SUB DEVISI</t>
  </si>
  <si>
    <t>SENIN-JUMAT</t>
  </si>
  <si>
    <t>SABTU</t>
  </si>
  <si>
    <t>FINISH TIME</t>
  </si>
  <si>
    <t>ISTIRAHAT</t>
  </si>
  <si>
    <t>DURATION</t>
  </si>
  <si>
    <t>UOM</t>
  </si>
  <si>
    <t>MP CUTTING</t>
  </si>
  <si>
    <t>SAWMILL PEMBELAH</t>
  </si>
  <si>
    <t>H</t>
  </si>
  <si>
    <t xml:space="preserve">SAWMILL CUTTING </t>
  </si>
  <si>
    <t>SAWMILL CUTTING B</t>
  </si>
  <si>
    <t>FINISHING</t>
  </si>
  <si>
    <t>24:00</t>
  </si>
  <si>
    <t>MP SLICE</t>
  </si>
  <si>
    <t>WOOD WORKING</t>
  </si>
  <si>
    <t>MP. WW</t>
  </si>
  <si>
    <t>REVISI JADI DUA SHIFT</t>
  </si>
  <si>
    <t>FINGER JOINT</t>
  </si>
  <si>
    <t>WC587</t>
  </si>
  <si>
    <t>Pembahanan Finger Joint  KMI</t>
  </si>
  <si>
    <t>LAMINATING</t>
  </si>
  <si>
    <t>drawer ptching 8</t>
  </si>
  <si>
    <t>WOOD ENGENEERING</t>
  </si>
  <si>
    <t>NO SDM , krn orang slalu pindah</t>
  </si>
  <si>
    <t>(SEBENERNYA 1 SHIFT TAPI ADA PINDAHAN DARI MANUAL DOWEL)</t>
  </si>
  <si>
    <t>PANELIING</t>
  </si>
  <si>
    <t>DETIK</t>
  </si>
  <si>
    <t>DI BAGI 2</t>
  </si>
  <si>
    <t>BAGI  3</t>
  </si>
  <si>
    <t>DOOR SURABAYA</t>
  </si>
  <si>
    <t>SECOND</t>
  </si>
  <si>
    <t>PROSES MANUAL DOOR</t>
  </si>
  <si>
    <t>PROSES COPY SHAPER</t>
  </si>
  <si>
    <t>PROSES MANUAL RAIL &amp; SILL APRONT</t>
  </si>
  <si>
    <t>MERGER</t>
  </si>
  <si>
    <t>WC569</t>
  </si>
  <si>
    <t>MESIN CNC HEIAN NC 151 MC</t>
  </si>
  <si>
    <t>PROSES ASSEMBLY DOOR 2</t>
  </si>
  <si>
    <t>PROSES ASSEMBLY DOOR 1</t>
  </si>
  <si>
    <t>PROSES PAINTING DOOR KMI 2</t>
  </si>
  <si>
    <t>MP UPH</t>
  </si>
  <si>
    <t>MP UPHOLSTERY 1</t>
  </si>
  <si>
    <t>WC686</t>
  </si>
  <si>
    <t>MP UPHOLSTERY 2</t>
  </si>
  <si>
    <t>DRAWER BOX</t>
  </si>
  <si>
    <t>DI PAKAI LAGI</t>
  </si>
  <si>
    <t xml:space="preserve">PAINTING CHAIR A3 </t>
  </si>
  <si>
    <t xml:space="preserve">PAINTING CHAIR B2 </t>
  </si>
  <si>
    <t xml:space="preserve">PAINTING CHAIR B3 </t>
  </si>
  <si>
    <t>BOX PAKAGING SURABAYA</t>
  </si>
  <si>
    <t>EDGE BADING</t>
  </si>
  <si>
    <t>SUB ASSY</t>
  </si>
  <si>
    <t>SANDER KOMPONEN CASE GOOD A</t>
  </si>
  <si>
    <t>FINISHING ASSY</t>
  </si>
  <si>
    <t>WC493 ( ETHAN ALLEN )</t>
  </si>
  <si>
    <t>WC505 ( CRATE &amp; BAREL)</t>
  </si>
  <si>
    <t xml:space="preserve">FINISHING CASE GOODS </t>
  </si>
  <si>
    <t>tambahan Painting CG surabaya</t>
  </si>
  <si>
    <t>WC687</t>
  </si>
  <si>
    <t>Painting CG SBY Sprayboth6</t>
  </si>
  <si>
    <t>WC688</t>
  </si>
  <si>
    <t>Painting CG SBY Sprayboth7</t>
  </si>
  <si>
    <t>WC689</t>
  </si>
  <si>
    <t>Painting CG SBY Sprayboth8</t>
  </si>
  <si>
    <t>WC690</t>
  </si>
  <si>
    <t>Painting CG SBY Sprayboth9</t>
  </si>
  <si>
    <t>WC691</t>
  </si>
  <si>
    <t>Painting CG SBY Sprayboth10</t>
  </si>
  <si>
    <t>PACKING</t>
  </si>
  <si>
    <t>CASE Goods Packing LINE 10 ( NOT USE )</t>
  </si>
  <si>
    <t>CASE Goods Packing LINE 11 ( NOT USE )</t>
  </si>
  <si>
    <t>RND SURABAYA</t>
  </si>
  <si>
    <t>PRODUCTION SAMPLE MAKER</t>
  </si>
  <si>
    <t>Machining RND A</t>
  </si>
  <si>
    <t>WARE HOUSE</t>
  </si>
  <si>
    <t>HARDWARE TERBUNGKUS</t>
  </si>
  <si>
    <t>REWORK</t>
  </si>
  <si>
    <t>Plant</t>
  </si>
  <si>
    <t>Work Center</t>
  </si>
  <si>
    <t>Standard Value Key</t>
  </si>
  <si>
    <t>Formula for Processing Capacity Requirements</t>
  </si>
  <si>
    <t>Formula for the duration of processing time</t>
  </si>
  <si>
    <t>Activity Type</t>
  </si>
  <si>
    <t>Activity Unit</t>
  </si>
  <si>
    <t>Formula key</t>
  </si>
  <si>
    <t>YSEC</t>
  </si>
  <si>
    <t>YFIXSC</t>
  </si>
  <si>
    <t>YDLSC</t>
  </si>
  <si>
    <t>YIDLSC</t>
  </si>
  <si>
    <t>YELCSC</t>
  </si>
  <si>
    <t>YTOLSC</t>
  </si>
  <si>
    <t>YSUPSC</t>
  </si>
  <si>
    <t>S</t>
  </si>
  <si>
    <t>WERKS</t>
  </si>
  <si>
    <t>ARBPL</t>
  </si>
  <si>
    <t>VGWTS</t>
  </si>
  <si>
    <t>FORK2_01</t>
  </si>
  <si>
    <t>FORT2</t>
  </si>
  <si>
    <t>LARXX_01</t>
  </si>
  <si>
    <t>LARXX_02</t>
  </si>
  <si>
    <t>LARXX_03</t>
  </si>
  <si>
    <t>LARXX_04</t>
  </si>
  <si>
    <t>LARXX_05</t>
  </si>
  <si>
    <t>LARXX_06</t>
  </si>
  <si>
    <t>LEINH_01</t>
  </si>
  <si>
    <t>LEINH_02</t>
  </si>
  <si>
    <t>LEINH_03</t>
  </si>
  <si>
    <t>LEINH_04</t>
  </si>
  <si>
    <t>LEINH_05</t>
  </si>
  <si>
    <t>LEINH_06</t>
  </si>
  <si>
    <t>FORXX_01</t>
  </si>
  <si>
    <t>FORXX_02</t>
  </si>
  <si>
    <t>FORXX_03</t>
  </si>
  <si>
    <t>FORXX_04</t>
  </si>
  <si>
    <t>FORXX_05</t>
  </si>
  <si>
    <t>FORXX_06</t>
  </si>
  <si>
    <t>01.366336483</t>
  </si>
  <si>
    <t>AUFNR</t>
  </si>
  <si>
    <t>C</t>
  </si>
  <si>
    <t>Order Number</t>
  </si>
  <si>
    <t>FLG_OVIEW</t>
  </si>
  <si>
    <t>Indicator: Display collective order overview</t>
  </si>
  <si>
    <t>FLG_SEL_05</t>
  </si>
  <si>
    <t>Selection indicator</t>
  </si>
  <si>
    <t>VORNR_05</t>
  </si>
  <si>
    <t>Operation/Activity Number</t>
  </si>
  <si>
    <t>ARBPL_05</t>
  </si>
  <si>
    <t>STEUS_05</t>
  </si>
  <si>
    <t>Control key</t>
  </si>
  <si>
    <t>LTXA1_05</t>
  </si>
  <si>
    <t>Operation short text</t>
  </si>
  <si>
    <t>BMSCH</t>
  </si>
  <si>
    <t>Base Quantity</t>
  </si>
  <si>
    <t>MEINH</t>
  </si>
  <si>
    <t>Unit of measure for activity</t>
  </si>
  <si>
    <t>VGW01</t>
  </si>
  <si>
    <t>Standard Value</t>
  </si>
  <si>
    <t>VGE01</t>
  </si>
  <si>
    <t>Unit of Measurement of Standard Value</t>
  </si>
  <si>
    <t>VGW02</t>
  </si>
  <si>
    <t>VGE02</t>
  </si>
  <si>
    <t>VGW03</t>
  </si>
  <si>
    <t>VGE03</t>
  </si>
  <si>
    <t>VGW04</t>
  </si>
  <si>
    <t>VGE04</t>
  </si>
  <si>
    <t>VGW05</t>
  </si>
  <si>
    <t>VGE05</t>
  </si>
  <si>
    <t>VGW06</t>
  </si>
  <si>
    <t>VGE06</t>
  </si>
  <si>
    <t>SPMUS</t>
  </si>
  <si>
    <t>Splitting Required</t>
  </si>
  <si>
    <t>SPLIM</t>
  </si>
  <si>
    <t>Maximum Number of Splits</t>
  </si>
  <si>
    <t>UENICHT</t>
  </si>
  <si>
    <t>No Overlapping</t>
  </si>
  <si>
    <t>QSEL1</t>
  </si>
  <si>
    <t>Radio button for qualifications requirements</t>
  </si>
  <si>
    <t>X</t>
  </si>
  <si>
    <t>0041</t>
  </si>
  <si>
    <t>ZP03</t>
  </si>
  <si>
    <t>PC</t>
  </si>
  <si>
    <t>MIN</t>
  </si>
  <si>
    <t>0042</t>
  </si>
  <si>
    <t>0043</t>
  </si>
  <si>
    <t>0044</t>
  </si>
  <si>
    <t>KDAUF</t>
  </si>
  <si>
    <t>Sales Order</t>
  </si>
  <si>
    <t>KDPOS</t>
  </si>
  <si>
    <t>Sales Order Item</t>
  </si>
  <si>
    <t>MATNR</t>
  </si>
  <si>
    <t>Material Number for Order</t>
  </si>
  <si>
    <t>PP_AUFART</t>
  </si>
  <si>
    <t>Order Type for Production Orders</t>
  </si>
  <si>
    <t>GAMNG</t>
  </si>
  <si>
    <t>Total Order Quantity</t>
  </si>
  <si>
    <t>GLTRP</t>
  </si>
  <si>
    <t>D</t>
  </si>
  <si>
    <t>Basic finish date</t>
  </si>
  <si>
    <t>GSTRP</t>
  </si>
  <si>
    <t>Basic start date</t>
  </si>
  <si>
    <t>ARBPL_01</t>
  </si>
  <si>
    <t>LTXA1_01</t>
  </si>
  <si>
    <t>ZPGD</t>
  </si>
  <si>
    <t>DATA PENGGUNA SAP FIORI PER WORK CENTER ( TAB/HP )</t>
  </si>
  <si>
    <t>JUMLAH FIORI</t>
  </si>
  <si>
    <t>KETERANGAN</t>
  </si>
  <si>
    <t>TAB</t>
  </si>
  <si>
    <t>HP</t>
  </si>
  <si>
    <t xml:space="preserve">PROSES MANUAL LEG </t>
  </si>
  <si>
    <t>PROSES ASSEMBLY RAIL &amp; SILL APRONT</t>
  </si>
  <si>
    <t>UNTUK 2 SHIFT                                ( HP )</t>
  </si>
  <si>
    <t>LOGISTIK</t>
  </si>
  <si>
    <t>SHIFT 2 BELUM</t>
  </si>
  <si>
    <t>TOTAL</t>
  </si>
  <si>
    <t>Single Rip 3 ( Laminating ) KMI</t>
  </si>
  <si>
    <t>PACKING PLYFIELD</t>
  </si>
  <si>
    <t>WC742</t>
  </si>
  <si>
    <t>PACKING PLAYFIELD</t>
  </si>
  <si>
    <t>DOOR</t>
  </si>
  <si>
    <t>WC720</t>
  </si>
  <si>
    <t>SUB ASSY MACHINING CG B</t>
  </si>
  <si>
    <t>tambahan</t>
  </si>
  <si>
    <t>SUB ASSY MACHINING CG A</t>
  </si>
  <si>
    <t>Finishing</t>
  </si>
  <si>
    <t>WC769</t>
  </si>
  <si>
    <t>CG PUSH POOL GROUP</t>
  </si>
  <si>
    <t>WC770</t>
  </si>
  <si>
    <t>CG SPRAYBOTH GROUP 1</t>
  </si>
  <si>
    <t>WC771</t>
  </si>
  <si>
    <t>CG SPRAYBOTH GROUP 2</t>
  </si>
  <si>
    <t>MRP</t>
  </si>
  <si>
    <t>WC819</t>
  </si>
  <si>
    <t>WC820</t>
  </si>
  <si>
    <t>WC821</t>
  </si>
  <si>
    <t>WC822</t>
  </si>
  <si>
    <t>WC779</t>
  </si>
  <si>
    <t>GW1</t>
  </si>
  <si>
    <t>WC737</t>
  </si>
  <si>
    <t>Not Use</t>
  </si>
  <si>
    <t>WC831</t>
  </si>
  <si>
    <t>GW3</t>
  </si>
  <si>
    <t>WC818</t>
  </si>
  <si>
    <t>PLANT 2000</t>
  </si>
  <si>
    <t>TIDAK TERPAKAI</t>
  </si>
  <si>
    <t>MACHINING LEG</t>
  </si>
  <si>
    <t>WC552</t>
  </si>
  <si>
    <t>MACHING SILL APRONT</t>
  </si>
  <si>
    <t>MACHIING RAIL</t>
  </si>
  <si>
    <t>WC783</t>
  </si>
  <si>
    <t>PLAYFILED</t>
  </si>
  <si>
    <t>WC789</t>
  </si>
  <si>
    <t>WC790</t>
  </si>
  <si>
    <t>WC796</t>
  </si>
  <si>
    <t>WC788</t>
  </si>
  <si>
    <t>WC795</t>
  </si>
  <si>
    <t>WC774</t>
  </si>
  <si>
    <t>WC767</t>
  </si>
  <si>
    <t>WC768</t>
  </si>
  <si>
    <t>WC777</t>
  </si>
  <si>
    <t>WC814</t>
  </si>
  <si>
    <t>WC815</t>
  </si>
  <si>
    <t>WC816</t>
  </si>
  <si>
    <t>WC817</t>
  </si>
  <si>
    <t>WC810</t>
  </si>
  <si>
    <t>WC811</t>
  </si>
  <si>
    <t>WC812</t>
  </si>
  <si>
    <t>WC813</t>
  </si>
  <si>
    <t>WC758</t>
  </si>
  <si>
    <t>PAINTING CHAIR</t>
  </si>
  <si>
    <t>WC759</t>
  </si>
  <si>
    <t>BLEACHING</t>
  </si>
  <si>
    <t>WC791</t>
  </si>
  <si>
    <t>WC792</t>
  </si>
  <si>
    <t>WC793</t>
  </si>
  <si>
    <t>WC794</t>
  </si>
  <si>
    <t>PTG METAL</t>
  </si>
  <si>
    <t>WC782</t>
  </si>
  <si>
    <t>WC776</t>
  </si>
  <si>
    <t>WC832</t>
  </si>
  <si>
    <t>WC778</t>
  </si>
  <si>
    <t>EB2</t>
  </si>
  <si>
    <t>wc823</t>
  </si>
  <si>
    <t>wc824</t>
  </si>
  <si>
    <t>wc825</t>
  </si>
  <si>
    <t>wc826</t>
  </si>
  <si>
    <t>wc827</t>
  </si>
  <si>
    <t>wc828</t>
  </si>
  <si>
    <t>wc829</t>
  </si>
  <si>
    <t>wc830</t>
  </si>
  <si>
    <t>WC763</t>
  </si>
  <si>
    <t>WC764</t>
  </si>
  <si>
    <t>WC765</t>
  </si>
  <si>
    <t>WC766</t>
  </si>
  <si>
    <t>WC772</t>
  </si>
  <si>
    <t>WC721</t>
  </si>
  <si>
    <t>WC722</t>
  </si>
  <si>
    <t>WC723</t>
  </si>
  <si>
    <t>WC724</t>
  </si>
  <si>
    <t>WC725</t>
  </si>
  <si>
    <t>WC726</t>
  </si>
  <si>
    <t>WC727</t>
  </si>
  <si>
    <t>WC728</t>
  </si>
  <si>
    <t>WC773</t>
  </si>
  <si>
    <t>WC729</t>
  </si>
  <si>
    <t>WC730</t>
  </si>
  <si>
    <t>WC731</t>
  </si>
  <si>
    <t>WC732</t>
  </si>
  <si>
    <t>WC733</t>
  </si>
  <si>
    <t>WC734</t>
  </si>
  <si>
    <t>WC735</t>
  </si>
  <si>
    <t>WC736</t>
  </si>
  <si>
    <t>PINDAH KE CG SPRAYBOTH</t>
  </si>
  <si>
    <t>PINDAHAN PUSHPOL</t>
  </si>
  <si>
    <t>WC804</t>
  </si>
  <si>
    <t>WC805</t>
  </si>
  <si>
    <t>WC806</t>
  </si>
  <si>
    <t>WC807</t>
  </si>
  <si>
    <t>WC808</t>
  </si>
  <si>
    <t>WC809</t>
  </si>
  <si>
    <t>WC760</t>
  </si>
  <si>
    <t>GF2</t>
  </si>
  <si>
    <t>WC775</t>
  </si>
  <si>
    <t>WC761</t>
  </si>
  <si>
    <t>WC762</t>
  </si>
  <si>
    <t>WC784</t>
  </si>
  <si>
    <t>WC785</t>
  </si>
  <si>
    <t>WC801</t>
  </si>
  <si>
    <t>WC802</t>
  </si>
  <si>
    <t>WC787</t>
  </si>
  <si>
    <t>WC786</t>
  </si>
  <si>
    <t>WC797</t>
  </si>
  <si>
    <t>WC798</t>
  </si>
  <si>
    <t>WC799</t>
  </si>
  <si>
    <t>WC800</t>
  </si>
  <si>
    <t>WC803</t>
  </si>
  <si>
    <t>WC781</t>
  </si>
  <si>
    <t>WC780</t>
  </si>
  <si>
    <t>MA5</t>
  </si>
  <si>
    <t>D21</t>
  </si>
  <si>
    <t>D24</t>
  </si>
  <si>
    <t>DR1</t>
  </si>
  <si>
    <t>G32</t>
  </si>
  <si>
    <t>MF5</t>
  </si>
  <si>
    <t>Z3MA</t>
  </si>
  <si>
    <t>Z3MF</t>
  </si>
  <si>
    <t>Z3D2</t>
  </si>
  <si>
    <t>Z3DR</t>
  </si>
  <si>
    <t>Z3GT</t>
  </si>
  <si>
    <t>NOW</t>
  </si>
  <si>
    <t>NEXT</t>
  </si>
  <si>
    <t>MP WW</t>
  </si>
  <si>
    <t>1111023001</t>
  </si>
  <si>
    <t>1111023002</t>
  </si>
  <si>
    <t>1111023003</t>
  </si>
  <si>
    <t>1111034001</t>
  </si>
  <si>
    <t>1111053001</t>
  </si>
  <si>
    <t>Engineering Icon 2  DEGA</t>
  </si>
  <si>
    <t>Engineering Icon 3  AZIZ</t>
  </si>
  <si>
    <t>Engineering Icon 4 DIMAS</t>
  </si>
  <si>
    <t xml:space="preserve">Engineering Icon 5 P. ERIS </t>
  </si>
  <si>
    <t>Engineering Drafter 1  VIRDAN</t>
  </si>
  <si>
    <t>Engineering Drafter 2  AGA</t>
  </si>
  <si>
    <t>Engineering Icon 6 GALANT</t>
  </si>
  <si>
    <t xml:space="preserve">Packaging Icon 1 MAHENDRA </t>
  </si>
  <si>
    <t xml:space="preserve">Engineering Drafter 5 ANDRI </t>
  </si>
  <si>
    <t xml:space="preserve">Engineering Drafter 6 SYAHRUL </t>
  </si>
  <si>
    <t xml:space="preserve">Engineering Drafter 8 DIMAS </t>
  </si>
  <si>
    <t>Packaging Icon 1 Mahendra</t>
  </si>
  <si>
    <t>MASTER DATA 1 (KESI )</t>
  </si>
  <si>
    <t>MASTER DATA 2 (AYU )</t>
  </si>
  <si>
    <t>MASTER DATA 3 (ARITA )</t>
  </si>
  <si>
    <t>DROX BOX</t>
  </si>
  <si>
    <t>SD KMI1</t>
  </si>
  <si>
    <t>1111031003</t>
  </si>
  <si>
    <t>Palang Kuda Top</t>
  </si>
  <si>
    <t xml:space="preserve">Palang Kuda HB/FB </t>
  </si>
  <si>
    <t>1111082403 </t>
  </si>
  <si>
    <t>CHAIR FITTING</t>
  </si>
  <si>
    <t>1111053004</t>
  </si>
  <si>
    <t>1111054001</t>
  </si>
  <si>
    <t>1111055001</t>
  </si>
  <si>
    <t>CASE GOOD D LIFTER A</t>
  </si>
  <si>
    <t>1111062301</t>
  </si>
  <si>
    <t xml:space="preserve">CASE GOOD D LIFTER B </t>
  </si>
  <si>
    <t>1111062302</t>
  </si>
  <si>
    <t>Mansur</t>
  </si>
  <si>
    <t>DEGA</t>
  </si>
  <si>
    <t>AZIZ</t>
  </si>
  <si>
    <t>DIMAS</t>
  </si>
  <si>
    <t xml:space="preserve">P. ERIS </t>
  </si>
  <si>
    <t>Engineering Drafter 1  Idlofi</t>
  </si>
  <si>
    <t>Idlofi</t>
  </si>
  <si>
    <t>AGA</t>
  </si>
  <si>
    <t>GALANT</t>
  </si>
  <si>
    <t xml:space="preserve">MAHENDRA </t>
  </si>
  <si>
    <t xml:space="preserve">ANDRI </t>
  </si>
  <si>
    <t xml:space="preserve">Engineering Drafter 6 SETYO </t>
  </si>
  <si>
    <t xml:space="preserve">SETYO </t>
  </si>
  <si>
    <t xml:space="preserve">DIMAS </t>
  </si>
  <si>
    <t>Engineering Drafter 3 Aris</t>
  </si>
  <si>
    <t>Aris</t>
  </si>
  <si>
    <t>Mahendra</t>
  </si>
  <si>
    <t>2PDMD01</t>
  </si>
  <si>
    <t>2PDMD02</t>
  </si>
  <si>
    <t>2PDMD03</t>
  </si>
  <si>
    <t>2PDMD04</t>
  </si>
  <si>
    <t>PRODUCTION DROPBOX</t>
  </si>
  <si>
    <t>23:30:00</t>
  </si>
  <si>
    <t>15:30:00</t>
  </si>
  <si>
    <t>01:00:00</t>
  </si>
  <si>
    <t>04:00:00</t>
  </si>
  <si>
    <t>18:00:00</t>
  </si>
  <si>
    <t>03:00:00</t>
  </si>
  <si>
    <t>18:15:00</t>
  </si>
  <si>
    <t>CGD PACKING 1</t>
  </si>
  <si>
    <t>CGD PACKING 2</t>
  </si>
  <si>
    <t>CGD PACKING 3</t>
  </si>
  <si>
    <t>CGD PACKING 4</t>
  </si>
  <si>
    <t>CGD PACKING 5</t>
  </si>
  <si>
    <t>CGD PACKING 6</t>
  </si>
  <si>
    <t>CGD PACKING 7</t>
  </si>
  <si>
    <t>CGD PACKING 8</t>
  </si>
  <si>
    <t>CGD PACKING 9</t>
  </si>
  <si>
    <t>CGD PACKING 10</t>
  </si>
  <si>
    <t>CGD PACKING 11</t>
  </si>
  <si>
    <t>BC MANUAL 1</t>
  </si>
  <si>
    <t>BC FINAL ASSY</t>
  </si>
  <si>
    <t>21:00:00</t>
  </si>
  <si>
    <t>1112021010</t>
  </si>
  <si>
    <t>17:00:00</t>
  </si>
  <si>
    <t>EDGE BANDING A</t>
  </si>
  <si>
    <t>EDGE BANDING B</t>
  </si>
  <si>
    <t xml:space="preserve">CASE GOOD D LIFTER A </t>
  </si>
  <si>
    <t>ASSY EA</t>
  </si>
  <si>
    <t>ASSYCB</t>
  </si>
  <si>
    <t>2CGAD4</t>
  </si>
  <si>
    <t>CASE GOOD  SUB ASSY C</t>
  </si>
  <si>
    <t>1111062104</t>
  </si>
  <si>
    <t>ASSY CAMPR ( A&amp;B )</t>
  </si>
  <si>
    <t>2CGDPL</t>
  </si>
  <si>
    <t>CASE GOOD FINAL ASSY POTONG LIST</t>
  </si>
  <si>
    <t>1111062201</t>
  </si>
  <si>
    <t>1111062101</t>
  </si>
  <si>
    <t>CB</t>
  </si>
  <si>
    <t>ROUTING SEKARANG DI KALIKAN 4</t>
  </si>
  <si>
    <t>CASE Goods Packing LINE2</t>
  </si>
  <si>
    <t>EA</t>
  </si>
  <si>
    <t>BED&amp;DINING</t>
  </si>
  <si>
    <t>2CGPF12</t>
  </si>
  <si>
    <t>CASE Goods Packing LINE 12</t>
  </si>
  <si>
    <t>VINITA BENDING</t>
  </si>
  <si>
    <t>DI JADIKAN SATU</t>
  </si>
  <si>
    <t>1PNLKVB2</t>
  </si>
  <si>
    <t>VINITA BENDING 2  KMI</t>
  </si>
  <si>
    <t>1PNLKVBC</t>
  </si>
  <si>
    <t>VINITA BENDING CHAIR  KMI</t>
  </si>
  <si>
    <t>1PNLWRBS</t>
  </si>
  <si>
    <t>PROSES WIRE BRUSH PANELING  KMI</t>
  </si>
  <si>
    <t>IKUT HOT PRESS</t>
  </si>
  <si>
    <t>LASER KMI</t>
  </si>
  <si>
    <t>1PNVMLS2</t>
  </si>
  <si>
    <t>LASER 2  KMI</t>
  </si>
  <si>
    <t>1PNVMLS3</t>
  </si>
  <si>
    <t>LASER 3  KMI</t>
  </si>
  <si>
    <t>MANUAL MOTIVE</t>
  </si>
  <si>
    <t>1PNVMPLY</t>
  </si>
  <si>
    <t>MESIN PRESS TWOPLY  KMI</t>
  </si>
  <si>
    <t>Logistik SD KMI 1</t>
  </si>
  <si>
    <t>Rate nilai Rp. 1</t>
  </si>
  <si>
    <t>Logistik Bed &amp; dining KMI 2</t>
  </si>
  <si>
    <t>Logistik Sample KMI 2</t>
  </si>
  <si>
    <t>Logistik DRAWER</t>
  </si>
  <si>
    <t>1CWLMSR1</t>
  </si>
  <si>
    <t>Single Rip3  KMI</t>
  </si>
  <si>
    <t>TDK DI PAKAI</t>
  </si>
  <si>
    <t>DI IKUTKAN LAMNT</t>
  </si>
  <si>
    <t>1CWLMSND</t>
  </si>
  <si>
    <t>Time Saver KMI</t>
  </si>
  <si>
    <t>COST CENTER LAMNT</t>
  </si>
  <si>
    <t>IKUT MANUAL</t>
  </si>
  <si>
    <t>MF POLESH UNIT</t>
  </si>
  <si>
    <t>MF COLOURING A</t>
  </si>
  <si>
    <t>MF COLOURING B</t>
  </si>
  <si>
    <t>MF COLOURING C</t>
  </si>
  <si>
    <t>BC ASSY CG</t>
  </si>
  <si>
    <t>9 ORANG</t>
  </si>
  <si>
    <t>GRIN-POL MA</t>
  </si>
  <si>
    <t>REVISI SDM 4 ORANG</t>
  </si>
  <si>
    <t>REVISI DESKRIPSI &amp; REVISI SDM JADI 2 ORANG</t>
  </si>
  <si>
    <t>PENAMBAHAN WC</t>
  </si>
  <si>
    <t>COST CENTER BARU</t>
  </si>
  <si>
    <t>REVISI SDM 1 ORANG</t>
  </si>
  <si>
    <t>REVISI SDM 2 ORANG</t>
  </si>
  <si>
    <t>NEW, SDM 2 Orang</t>
  </si>
  <si>
    <t>Revisi SDM 1 Orang</t>
  </si>
  <si>
    <t>NEW, SDM 1 Orang</t>
  </si>
  <si>
    <t>Work Center Category</t>
  </si>
  <si>
    <t>Object Name</t>
  </si>
  <si>
    <t>Person Responsible for the Work Center</t>
  </si>
  <si>
    <t>Key for task list usage</t>
  </si>
  <si>
    <t>Capacity category</t>
  </si>
  <si>
    <t>Capacity Short Text</t>
  </si>
  <si>
    <t>Capacity Responsible Planner Group</t>
  </si>
  <si>
    <t>Start Time</t>
  </si>
  <si>
    <t>End Time</t>
  </si>
  <si>
    <t>Capacity Utilization Ratio in Percent</t>
  </si>
  <si>
    <t>Cumulative length of breaks per shift</t>
  </si>
  <si>
    <t>Number of Individual Capacities</t>
  </si>
  <si>
    <t>Factory Calendar ID</t>
  </si>
  <si>
    <t>Capacity Base Unit of Measure</t>
  </si>
  <si>
    <t>Indicator: Capacity Relevant to Finite Scheduling</t>
  </si>
  <si>
    <t>Indicator: Several operations can use capacity</t>
  </si>
  <si>
    <t>Indicator: Long-term planning takes capacity into accoun</t>
  </si>
  <si>
    <t>Capacity Unit of Measure</t>
  </si>
  <si>
    <t>Cost Center</t>
  </si>
  <si>
    <t>Field is referenced</t>
  </si>
  <si>
    <t>0001</t>
  </si>
  <si>
    <t>009</t>
  </si>
  <si>
    <t>YMIN</t>
  </si>
  <si>
    <t>001</t>
  </si>
  <si>
    <t>YFIXMN</t>
  </si>
  <si>
    <t>ID</t>
  </si>
  <si>
    <t>YDLMN</t>
  </si>
  <si>
    <t>YIDLMN</t>
  </si>
  <si>
    <t>YELCMN</t>
  </si>
  <si>
    <t>YTOLMN</t>
  </si>
  <si>
    <t>YSUPMN</t>
  </si>
  <si>
    <t>04:00</t>
  </si>
  <si>
    <t>BOM</t>
  </si>
  <si>
    <t>JENIS</t>
  </si>
  <si>
    <t>MRP GRP</t>
  </si>
  <si>
    <t>BOM INDUK</t>
  </si>
  <si>
    <t>SLOC</t>
  </si>
  <si>
    <t>FERT</t>
  </si>
  <si>
    <t>CASE GOODS</t>
  </si>
  <si>
    <t>ZGF1</t>
  </si>
  <si>
    <t>17.501439</t>
  </si>
  <si>
    <t>NS WEST BAR CANED CBNT NTRL</t>
  </si>
  <si>
    <t>PART ASSY</t>
  </si>
  <si>
    <t>229K</t>
  </si>
  <si>
    <t>( UNTUK EA )</t>
  </si>
  <si>
    <t>HARDWARE ASSY</t>
  </si>
  <si>
    <t>KODE ASSY DRWER</t>
  </si>
  <si>
    <t>22F7</t>
  </si>
  <si>
    <t>BOX SET</t>
  </si>
  <si>
    <t>22F3</t>
  </si>
  <si>
    <t>HARDWARE PKG</t>
  </si>
  <si>
    <t>HALB</t>
  </si>
  <si>
    <t>ZEB2</t>
  </si>
  <si>
    <t>H1426XCG051</t>
  </si>
  <si>
    <t>PARTISI 1 17.501426/39</t>
  </si>
  <si>
    <t>BHN VNR</t>
  </si>
  <si>
    <t>21P2</t>
  </si>
  <si>
    <t>MISAL, ADA SOLID+ VNR+ PNL</t>
  </si>
  <si>
    <t>BHN PNL</t>
  </si>
  <si>
    <t>21P1</t>
  </si>
  <si>
    <t>BHN SOLID</t>
  </si>
  <si>
    <t>21E2</t>
  </si>
  <si>
    <t>STD BOARD</t>
  </si>
  <si>
    <t>BHN EB</t>
  </si>
  <si>
    <t>22EK</t>
  </si>
  <si>
    <t>ZGW1</t>
  </si>
  <si>
    <t>SIDE DRAWER XXX</t>
  </si>
  <si>
    <t>ASSY DRW</t>
  </si>
  <si>
    <t>ASSY DRW XXX</t>
  </si>
  <si>
    <t>SIDE DRW</t>
  </si>
  <si>
    <t>KODE PTG DRW HILANG</t>
  </si>
  <si>
    <t>BACK DRW</t>
  </si>
  <si>
    <t>FACE DRW</t>
  </si>
  <si>
    <t>HRD</t>
  </si>
  <si>
    <t>ROUTING</t>
  </si>
  <si>
    <t>JOSTING</t>
  </si>
  <si>
    <t>KUPER</t>
  </si>
  <si>
    <t>JIKA ADA EBD</t>
  </si>
  <si>
    <t>SCHELLING</t>
  </si>
  <si>
    <t>SINGLE RIP WE</t>
  </si>
  <si>
    <t>T. SOLID</t>
  </si>
  <si>
    <t>T. VNR</t>
  </si>
  <si>
    <t>SANDER HASEMAN</t>
  </si>
  <si>
    <t>CNC</t>
  </si>
  <si>
    <t>PROSES DRWE</t>
  </si>
  <si>
    <t>PTG DRAWER</t>
  </si>
  <si>
    <t>ASSY DRWER</t>
  </si>
  <si>
    <t>CASE GOODS D</t>
  </si>
  <si>
    <t>01.27600638G</t>
  </si>
  <si>
    <t>BURTON BUFFET</t>
  </si>
  <si>
    <t>23D3</t>
  </si>
  <si>
    <t>23D5</t>
  </si>
  <si>
    <t>LINE A (EA)</t>
  </si>
  <si>
    <t>23DP</t>
  </si>
  <si>
    <t>LINE B</t>
  </si>
  <si>
    <t>CASE GOODS E</t>
  </si>
  <si>
    <t>DR4</t>
  </si>
  <si>
    <t>08.9515E-UF-P</t>
  </si>
  <si>
    <t>PEBBLE HILL END TABLE UNFINISHED</t>
  </si>
  <si>
    <t>23E9</t>
  </si>
  <si>
    <t>23EB</t>
  </si>
  <si>
    <t>SPORT GAME B</t>
  </si>
  <si>
    <t>03.51870135010</t>
  </si>
  <si>
    <t>RAILS 8' GLENWOOD TUSCANA</t>
  </si>
  <si>
    <t>KMI 2</t>
  </si>
  <si>
    <t>23E6</t>
  </si>
  <si>
    <t>KMI 3</t>
  </si>
  <si>
    <t>23G1</t>
  </si>
  <si>
    <t>23G5</t>
  </si>
  <si>
    <t>POOL TABLE</t>
  </si>
  <si>
    <t>23G6</t>
  </si>
  <si>
    <t>CABINET</t>
  </si>
  <si>
    <t>H6006XCG024</t>
  </si>
  <si>
    <t>SIDE PANEL L 27-6006</t>
  </si>
  <si>
    <t>23D2</t>
  </si>
  <si>
    <t>H9515ECG002</t>
  </si>
  <si>
    <t>TOP TABLE 9515E</t>
  </si>
  <si>
    <t>23E5</t>
  </si>
  <si>
    <t>METAL FURNITURE</t>
  </si>
  <si>
    <t>HMTL00034</t>
  </si>
  <si>
    <t>MTL GRANT WRITING DESK 39-9340 NW LIGHT</t>
  </si>
  <si>
    <t>23C7</t>
  </si>
  <si>
    <t>MIX POWDER COATING</t>
  </si>
  <si>
    <t>23C8</t>
  </si>
  <si>
    <t>MIXING PAINT</t>
  </si>
  <si>
    <t>23C9</t>
  </si>
  <si>
    <t>METAL ACCESSORIES</t>
  </si>
  <si>
    <t>HHANDMTL071</t>
  </si>
  <si>
    <t>HANDLE  PULL BP16-662 BRASS</t>
  </si>
  <si>
    <t>23F1</t>
  </si>
  <si>
    <t>CUTTING DI C</t>
  </si>
  <si>
    <t>23F4</t>
  </si>
  <si>
    <t>MACH DI F</t>
  </si>
  <si>
    <t>23F5</t>
  </si>
  <si>
    <t>POWDER COATING</t>
  </si>
  <si>
    <t>SANDING</t>
  </si>
  <si>
    <t>GRINDING-POLESH</t>
  </si>
  <si>
    <t>MISAL, HARUS LEWAT PC+FIN</t>
  </si>
  <si>
    <t>SEMARANG</t>
  </si>
  <si>
    <t>WC547</t>
  </si>
  <si>
    <t>WC548</t>
  </si>
  <si>
    <t>WC549</t>
  </si>
  <si>
    <t>WC672</t>
  </si>
  <si>
    <t>WC673</t>
  </si>
  <si>
    <t>WC674</t>
  </si>
  <si>
    <t>WC675</t>
  </si>
  <si>
    <t>WC676</t>
  </si>
  <si>
    <t>WC677</t>
  </si>
  <si>
    <t>WC678</t>
  </si>
  <si>
    <t>WC679</t>
  </si>
  <si>
    <t>WC680</t>
  </si>
  <si>
    <t>WC681</t>
  </si>
  <si>
    <t>WC682</t>
  </si>
  <si>
    <t>WC683</t>
  </si>
  <si>
    <t>WC684</t>
  </si>
  <si>
    <t>WC685</t>
  </si>
  <si>
    <t>WC711</t>
  </si>
  <si>
    <t>MA FINISHING</t>
  </si>
  <si>
    <t>WC528</t>
  </si>
  <si>
    <t>WC529</t>
  </si>
  <si>
    <t>WC634</t>
  </si>
  <si>
    <t>WC635</t>
  </si>
  <si>
    <t>WC636</t>
  </si>
  <si>
    <t>WC637</t>
  </si>
  <si>
    <t>WC638</t>
  </si>
  <si>
    <t>WC639</t>
  </si>
  <si>
    <t>WC640</t>
  </si>
  <si>
    <t>WC641</t>
  </si>
  <si>
    <t>WC642</t>
  </si>
  <si>
    <t>WC643</t>
  </si>
  <si>
    <t>WC644</t>
  </si>
  <si>
    <t>WC645</t>
  </si>
  <si>
    <t>WC646</t>
  </si>
  <si>
    <t>WC590</t>
  </si>
  <si>
    <t>WC591</t>
  </si>
  <si>
    <t>WC592</t>
  </si>
  <si>
    <t>WC593</t>
  </si>
  <si>
    <t>WC594</t>
  </si>
  <si>
    <t>WC595</t>
  </si>
  <si>
    <t>WC596</t>
  </si>
  <si>
    <t>WC597</t>
  </si>
  <si>
    <t>WC598</t>
  </si>
  <si>
    <t>WC599</t>
  </si>
  <si>
    <t>WC600</t>
  </si>
  <si>
    <t>WC601</t>
  </si>
  <si>
    <t>WC602</t>
  </si>
  <si>
    <t>WC603</t>
  </si>
  <si>
    <t>WC604</t>
  </si>
  <si>
    <t>WC605</t>
  </si>
  <si>
    <t>WC606</t>
  </si>
  <si>
    <t>WC607</t>
  </si>
  <si>
    <t>WC608</t>
  </si>
  <si>
    <t>WC609</t>
  </si>
  <si>
    <t>WC610</t>
  </si>
  <si>
    <t>WC611</t>
  </si>
  <si>
    <t>WC612</t>
  </si>
  <si>
    <t>WC613</t>
  </si>
  <si>
    <t>WC656</t>
  </si>
  <si>
    <t>WC657</t>
  </si>
  <si>
    <t>WC658</t>
  </si>
  <si>
    <t>WC659</t>
  </si>
  <si>
    <t>WC660</t>
  </si>
  <si>
    <t>WC661</t>
  </si>
  <si>
    <t>WC662</t>
  </si>
  <si>
    <t>WC663</t>
  </si>
  <si>
    <t>WC664</t>
  </si>
  <si>
    <t>WC665</t>
  </si>
  <si>
    <t>WC614</t>
  </si>
  <si>
    <t>WC615</t>
  </si>
  <si>
    <t>WC616</t>
  </si>
  <si>
    <t>WC617</t>
  </si>
  <si>
    <t>WC618</t>
  </si>
  <si>
    <t>WC619</t>
  </si>
  <si>
    <t>WC620</t>
  </si>
  <si>
    <t>WC621</t>
  </si>
  <si>
    <t>WC622</t>
  </si>
  <si>
    <t>WC623</t>
  </si>
  <si>
    <t>WC624</t>
  </si>
  <si>
    <t>WC625</t>
  </si>
  <si>
    <t>WC626</t>
  </si>
  <si>
    <t>WC627</t>
  </si>
  <si>
    <t>WC628</t>
  </si>
  <si>
    <t>WC629</t>
  </si>
  <si>
    <t>WC630</t>
  </si>
  <si>
    <t>WC631</t>
  </si>
  <si>
    <t>WC586</t>
  </si>
  <si>
    <t>WC744</t>
  </si>
  <si>
    <t>WC745</t>
  </si>
  <si>
    <t>WC746</t>
  </si>
  <si>
    <t>WC747</t>
  </si>
  <si>
    <t>WC748</t>
  </si>
  <si>
    <t>WC749</t>
  </si>
  <si>
    <t>WC750</t>
  </si>
  <si>
    <t>WC751</t>
  </si>
  <si>
    <t>WC752</t>
  </si>
  <si>
    <t>WC753</t>
  </si>
  <si>
    <t>WC754</t>
  </si>
  <si>
    <t>WC755</t>
  </si>
  <si>
    <t>WC756</t>
  </si>
  <si>
    <t>WC757</t>
  </si>
  <si>
    <t>WC575</t>
  </si>
  <si>
    <t>WC570</t>
  </si>
  <si>
    <t>WC576</t>
  </si>
  <si>
    <t>Casegood</t>
  </si>
  <si>
    <t>WC577</t>
  </si>
  <si>
    <t>Sport Game</t>
  </si>
  <si>
    <t>WC578</t>
  </si>
  <si>
    <t>WC654</t>
  </si>
  <si>
    <t>WC655</t>
  </si>
  <si>
    <t>Metal</t>
  </si>
  <si>
    <t>WC579</t>
  </si>
  <si>
    <t>WC652</t>
  </si>
  <si>
    <t>WC653</t>
  </si>
  <si>
    <t>Accessories</t>
  </si>
  <si>
    <t>WC536</t>
  </si>
  <si>
    <t>WC537</t>
  </si>
  <si>
    <t>WC538</t>
  </si>
  <si>
    <t>POLESH</t>
  </si>
  <si>
    <t>MA CASTING - BRAVO</t>
  </si>
  <si>
    <t>MA MACHINING - BRAVO</t>
  </si>
  <si>
    <t>MA ASSEMBLY - BRAVO</t>
  </si>
  <si>
    <t>MA PACKING - BRAVO</t>
  </si>
  <si>
    <t>MATERIAL PREPARATION - ALPHA</t>
  </si>
  <si>
    <t>MACHINING - ALPHA</t>
  </si>
  <si>
    <t>ASSEMBLY - ALPHA</t>
  </si>
  <si>
    <t>PEMBAHANAN CUTTING - CHARLY</t>
  </si>
  <si>
    <t>ASSY COMPONENT - CHARLY</t>
  </si>
  <si>
    <t>ASSY UNIT - CHARLY</t>
  </si>
  <si>
    <t>PAINTING - BRAVO</t>
  </si>
  <si>
    <t>SAMPLE - CHARLY</t>
  </si>
  <si>
    <t>MACHINING - DELTA</t>
  </si>
  <si>
    <t>EDGE BANDING - DELTA</t>
  </si>
  <si>
    <t>ASSY BODY - DELTA</t>
  </si>
  <si>
    <t>ASSEMBLY - DELTA</t>
  </si>
  <si>
    <t>PAINTING - DELTA</t>
  </si>
  <si>
    <t>PACKING - DELTA</t>
  </si>
  <si>
    <t>Kiln Dry</t>
  </si>
  <si>
    <t>Wood Working Cutting</t>
  </si>
  <si>
    <t>Wood Working Finger Joint</t>
  </si>
  <si>
    <t>Wood Working Laminating</t>
  </si>
  <si>
    <t>Component Working</t>
  </si>
  <si>
    <t>Production 1</t>
  </si>
  <si>
    <t>Casegood Drawer</t>
  </si>
  <si>
    <t>Production 3</t>
  </si>
  <si>
    <t>Upholestery</t>
  </si>
  <si>
    <t>Production 5</t>
  </si>
  <si>
    <t>Packaging Box</t>
  </si>
  <si>
    <t>Paneling</t>
  </si>
  <si>
    <t>Sawmill</t>
  </si>
  <si>
    <t>Slicer</t>
  </si>
  <si>
    <t>Production 2</t>
  </si>
  <si>
    <t>CGF Painting</t>
  </si>
  <si>
    <t>CGF Packing</t>
  </si>
  <si>
    <t>Production 4</t>
  </si>
  <si>
    <t>Research and Development</t>
  </si>
  <si>
    <t>Ware House</t>
  </si>
  <si>
    <t>WC835</t>
  </si>
  <si>
    <t>WC836</t>
  </si>
  <si>
    <t>WC837</t>
  </si>
  <si>
    <t>WC838</t>
  </si>
  <si>
    <t>WC839</t>
  </si>
  <si>
    <t>WC840</t>
  </si>
  <si>
    <t>WC841</t>
  </si>
  <si>
    <t>WC842</t>
  </si>
  <si>
    <t>WC856</t>
  </si>
  <si>
    <t>WC844</t>
  </si>
  <si>
    <t>WC845</t>
  </si>
  <si>
    <t>WC846</t>
  </si>
  <si>
    <t>WC847</t>
  </si>
  <si>
    <t>WC848</t>
  </si>
  <si>
    <t>WC849</t>
  </si>
  <si>
    <t>WC850</t>
  </si>
  <si>
    <t>WC851</t>
  </si>
  <si>
    <t>Slicer 3</t>
  </si>
  <si>
    <t>Drying Machinery</t>
  </si>
  <si>
    <t>MP. Slicer</t>
  </si>
  <si>
    <t>Chair</t>
  </si>
  <si>
    <t>WC852</t>
  </si>
  <si>
    <t>WC854</t>
  </si>
  <si>
    <t>WC855</t>
  </si>
  <si>
    <t>Painting</t>
  </si>
  <si>
    <t>WC857</t>
  </si>
  <si>
    <t>KODE LARAVEL</t>
  </si>
  <si>
    <t>2021, 2022</t>
  </si>
  <si>
    <t>Moulding</t>
  </si>
  <si>
    <t>CNC Paneling</t>
  </si>
  <si>
    <t>WC863</t>
  </si>
  <si>
    <t>WC864</t>
  </si>
  <si>
    <t>2023, 2024, 2012</t>
  </si>
  <si>
    <t>2024, 2012</t>
  </si>
  <si>
    <t>3002, 3003</t>
  </si>
  <si>
    <t>2015, 2003</t>
  </si>
  <si>
    <t>2003, 2015</t>
  </si>
  <si>
    <t>2004, 2003, 2015</t>
  </si>
  <si>
    <t>2004, 2003 2015</t>
  </si>
  <si>
    <t>3007, 3009</t>
  </si>
  <si>
    <t>3008, 3009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</si>
</sst>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2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</font>
    <font>
      <sz val="11"/>
      <name val="Calibri"/>
    </font>
    <font>
      <b/>
      <sz val="12"/>
      <color theme="1"/>
      <name val="Calibri"/>
    </font>
    <font>
      <b/>
      <sz val="14"/>
      <color theme="1"/>
      <name val="Calibri"/>
    </font>
    <font>
      <sz val="11"/>
      <color theme="1"/>
      <name val="Calibri"/>
      <scheme val="minor"/>
    </font>
    <font>
      <sz val="12"/>
      <color rgb="FF222222"/>
      <name val="Arial"/>
    </font>
    <font>
      <sz val="11"/>
      <color rgb="FFFF0000"/>
      <name val="Calibri"/>
    </font>
    <font>
      <b/>
      <sz val="10"/>
      <color theme="1"/>
      <name val="Calibri"/>
    </font>
    <font>
      <b/>
      <sz val="9"/>
      <color theme="1"/>
      <name val="Calibri"/>
    </font>
    <font>
      <sz val="9"/>
      <color theme="1"/>
      <name val="Calibri"/>
    </font>
    <font>
      <b/>
      <sz val="13"/>
      <color rgb="FF000080"/>
      <name val="Arial"/>
    </font>
    <font>
      <b/>
      <sz val="20"/>
      <color theme="1"/>
      <name val="Calibri"/>
    </font>
    <font>
      <b/>
      <sz val="13"/>
      <color theme="1"/>
      <name val="Calibri"/>
    </font>
    <font>
      <sz val="10"/>
      <color rgb="FF222222"/>
      <name val="Arial"/>
    </font>
    <font>
      <sz val="12"/>
      <color theme="1"/>
      <name val="Calibri"/>
    </font>
    <font>
      <sz val="12"/>
      <color rgb="FF222222"/>
      <name val="Calibri"/>
    </font>
    <font>
      <b/>
      <sz val="28"/>
      <color theme="1"/>
      <name val="Calibri"/>
    </font>
    <font>
      <b/>
      <sz val="18"/>
      <color theme="1"/>
      <name val="Calibri"/>
    </font>
    <font>
      <b/>
      <sz val="16"/>
      <color theme="1"/>
      <name val="Calibri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</font>
    <font>
      <sz val="11"/>
      <color rgb="FF00000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92D050"/>
        <bgColor rgb="FF92D050"/>
      </patternFill>
    </fill>
    <fill>
      <patternFill patternType="solid">
        <fgColor rgb="FFC5E0B3"/>
        <bgColor rgb="FFC5E0B3"/>
      </patternFill>
    </fill>
    <fill>
      <patternFill patternType="solid">
        <fgColor rgb="FF00B0F0"/>
        <bgColor rgb="FF00B0F0"/>
      </patternFill>
    </fill>
    <fill>
      <patternFill patternType="solid">
        <fgColor rgb="FFF2F2F2"/>
        <bgColor rgb="FFF2F2F2"/>
      </patternFill>
    </fill>
    <fill>
      <patternFill patternType="solid">
        <fgColor rgb="FFEE0000"/>
        <bgColor rgb="FFEE0000"/>
      </patternFill>
    </fill>
    <fill>
      <patternFill patternType="solid">
        <fgColor rgb="FFFF7474"/>
        <bgColor rgb="FFFF7474"/>
      </patternFill>
    </fill>
    <fill>
      <patternFill patternType="solid">
        <fgColor rgb="FFD8D8D8"/>
        <bgColor rgb="FFD8D8D8"/>
      </patternFill>
    </fill>
    <fill>
      <patternFill patternType="solid">
        <fgColor rgb="FFAAE571"/>
        <bgColor rgb="FFAAE571"/>
      </patternFill>
    </fill>
    <fill>
      <patternFill patternType="solid">
        <fgColor rgb="FFFFD965"/>
        <bgColor rgb="FFFFD965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5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double">
        <color rgb="FF000000"/>
      </left>
      <right/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 style="thin">
        <color rgb="FF000000"/>
      </left>
      <right style="double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37">
    <xf numFmtId="0" fontId="0" fillId="0" borderId="0" xfId="0"/>
    <xf numFmtId="0" fontId="6" fillId="0" borderId="0" xfId="0" applyFont="1" applyAlignment="1">
      <alignment horizontal="left"/>
    </xf>
    <xf numFmtId="0" fontId="9" fillId="2" borderId="2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left" vertical="center"/>
    </xf>
    <xf numFmtId="0" fontId="9" fillId="2" borderId="2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/>
    </xf>
    <xf numFmtId="0" fontId="6" fillId="0" borderId="2" xfId="0" applyFont="1" applyBorder="1" applyAlignment="1">
      <alignment horizontal="left"/>
    </xf>
    <xf numFmtId="0" fontId="6" fillId="0" borderId="2" xfId="0" applyFont="1" applyBorder="1"/>
    <xf numFmtId="0" fontId="10" fillId="3" borderId="2" xfId="0" applyFont="1" applyFill="1" applyBorder="1"/>
    <xf numFmtId="0" fontId="6" fillId="0" borderId="5" xfId="0" applyFont="1" applyBorder="1" applyAlignment="1">
      <alignment vertical="center"/>
    </xf>
    <xf numFmtId="0" fontId="6" fillId="0" borderId="6" xfId="0" quotePrefix="1" applyFont="1" applyBorder="1" applyAlignment="1">
      <alignment horizontal="left"/>
    </xf>
    <xf numFmtId="20" fontId="6" fillId="2" borderId="2" xfId="0" applyNumberFormat="1" applyFont="1" applyFill="1" applyBorder="1" applyAlignment="1">
      <alignment horizontal="left"/>
    </xf>
    <xf numFmtId="0" fontId="6" fillId="0" borderId="2" xfId="0" quotePrefix="1" applyFont="1" applyBorder="1" applyAlignment="1">
      <alignment horizontal="left"/>
    </xf>
    <xf numFmtId="0" fontId="11" fillId="0" borderId="0" xfId="0" applyFont="1"/>
    <xf numFmtId="20" fontId="6" fillId="0" borderId="2" xfId="0" applyNumberFormat="1" applyFont="1" applyBorder="1" applyAlignment="1">
      <alignment horizontal="left"/>
    </xf>
    <xf numFmtId="0" fontId="10" fillId="4" borderId="2" xfId="0" applyFont="1" applyFill="1" applyBorder="1"/>
    <xf numFmtId="0" fontId="6" fillId="4" borderId="2" xfId="0" applyFont="1" applyFill="1" applyBorder="1"/>
    <xf numFmtId="0" fontId="6" fillId="0" borderId="5" xfId="0" applyFont="1" applyBorder="1" applyAlignment="1">
      <alignment horizontal="center" vertical="center"/>
    </xf>
    <xf numFmtId="0" fontId="10" fillId="5" borderId="2" xfId="0" applyFont="1" applyFill="1" applyBorder="1"/>
    <xf numFmtId="0" fontId="6" fillId="5" borderId="2" xfId="0" applyFont="1" applyFill="1" applyBorder="1"/>
    <xf numFmtId="0" fontId="6" fillId="0" borderId="2" xfId="0" applyFont="1" applyBorder="1" applyAlignment="1">
      <alignment horizontal="center" vertical="center"/>
    </xf>
    <xf numFmtId="0" fontId="6" fillId="2" borderId="2" xfId="0" applyFont="1" applyFill="1" applyBorder="1"/>
    <xf numFmtId="0" fontId="6" fillId="2" borderId="2" xfId="0" applyFont="1" applyFill="1" applyBorder="1" applyAlignment="1">
      <alignment horizontal="left"/>
    </xf>
    <xf numFmtId="0" fontId="12" fillId="2" borderId="9" xfId="0" applyFont="1" applyFill="1" applyBorder="1"/>
    <xf numFmtId="0" fontId="6" fillId="0" borderId="2" xfId="0" applyFont="1" applyBorder="1" applyAlignment="1">
      <alignment vertical="center"/>
    </xf>
    <xf numFmtId="0" fontId="6" fillId="0" borderId="6" xfId="0" applyFont="1" applyBorder="1" applyAlignment="1">
      <alignment horizontal="left"/>
    </xf>
    <xf numFmtId="20" fontId="6" fillId="0" borderId="2" xfId="0" quotePrefix="1" applyNumberFormat="1" applyFont="1" applyBorder="1" applyAlignment="1">
      <alignment horizontal="left"/>
    </xf>
    <xf numFmtId="0" fontId="6" fillId="5" borderId="2" xfId="0" applyFont="1" applyFill="1" applyBorder="1" applyAlignment="1">
      <alignment horizontal="left"/>
    </xf>
    <xf numFmtId="0" fontId="6" fillId="4" borderId="2" xfId="0" applyFont="1" applyFill="1" applyBorder="1" applyAlignment="1">
      <alignment horizontal="left"/>
    </xf>
    <xf numFmtId="0" fontId="6" fillId="0" borderId="5" xfId="0" applyFont="1" applyBorder="1" applyAlignment="1">
      <alignment horizontal="left" vertical="center" wrapText="1"/>
    </xf>
    <xf numFmtId="0" fontId="6" fillId="5" borderId="9" xfId="0" applyFont="1" applyFill="1" applyBorder="1"/>
    <xf numFmtId="0" fontId="6" fillId="0" borderId="0" xfId="0" applyFont="1"/>
    <xf numFmtId="0" fontId="13" fillId="0" borderId="2" xfId="0" applyFont="1" applyBorder="1"/>
    <xf numFmtId="0" fontId="13" fillId="0" borderId="2" xfId="0" applyFont="1" applyBorder="1" applyAlignment="1">
      <alignment horizontal="left"/>
    </xf>
    <xf numFmtId="0" fontId="13" fillId="0" borderId="2" xfId="0" quotePrefix="1" applyFont="1" applyBorder="1" applyAlignment="1">
      <alignment horizontal="left"/>
    </xf>
    <xf numFmtId="0" fontId="13" fillId="0" borderId="0" xfId="0" applyFont="1" applyAlignment="1">
      <alignment horizontal="left"/>
    </xf>
    <xf numFmtId="0" fontId="13" fillId="0" borderId="0" xfId="0" applyFont="1"/>
    <xf numFmtId="0" fontId="6" fillId="0" borderId="2" xfId="0" quotePrefix="1" applyFont="1" applyBorder="1" applyAlignment="1">
      <alignment horizontal="left" vertical="center"/>
    </xf>
    <xf numFmtId="0" fontId="13" fillId="0" borderId="2" xfId="0" quotePrefix="1" applyFont="1" applyBorder="1" applyAlignment="1">
      <alignment horizontal="left" vertical="center"/>
    </xf>
    <xf numFmtId="0" fontId="6" fillId="6" borderId="2" xfId="0" applyFont="1" applyFill="1" applyBorder="1" applyAlignment="1">
      <alignment horizontal="left"/>
    </xf>
    <xf numFmtId="0" fontId="6" fillId="6" borderId="2" xfId="0" applyFont="1" applyFill="1" applyBorder="1" applyAlignment="1">
      <alignment vertical="center"/>
    </xf>
    <xf numFmtId="0" fontId="6" fillId="6" borderId="2" xfId="0" applyFont="1" applyFill="1" applyBorder="1"/>
    <xf numFmtId="0" fontId="6" fillId="6" borderId="2" xfId="0" applyFont="1" applyFill="1" applyBorder="1" applyAlignment="1">
      <alignment horizontal="left" vertical="center"/>
    </xf>
    <xf numFmtId="21" fontId="6" fillId="6" borderId="3" xfId="0" quotePrefix="1" applyNumberFormat="1" applyFont="1" applyFill="1" applyBorder="1" applyAlignment="1">
      <alignment horizontal="left" vertical="center"/>
    </xf>
    <xf numFmtId="20" fontId="6" fillId="6" borderId="2" xfId="0" quotePrefix="1" applyNumberFormat="1" applyFont="1" applyFill="1" applyBorder="1" applyAlignment="1">
      <alignment horizontal="left" vertical="center"/>
    </xf>
    <xf numFmtId="0" fontId="6" fillId="6" borderId="9" xfId="0" applyFont="1" applyFill="1" applyBorder="1" applyAlignment="1">
      <alignment horizontal="left"/>
    </xf>
    <xf numFmtId="0" fontId="6" fillId="6" borderId="2" xfId="0" quotePrefix="1" applyFont="1" applyFill="1" applyBorder="1" applyAlignment="1">
      <alignment horizontal="left" vertical="center"/>
    </xf>
    <xf numFmtId="0" fontId="6" fillId="6" borderId="9" xfId="0" applyFont="1" applyFill="1" applyBorder="1"/>
    <xf numFmtId="0" fontId="6" fillId="6" borderId="3" xfId="0" quotePrefix="1" applyFont="1" applyFill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21" fontId="6" fillId="0" borderId="6" xfId="0" quotePrefix="1" applyNumberFormat="1" applyFont="1" applyBorder="1" applyAlignment="1">
      <alignment horizontal="left" vertical="center"/>
    </xf>
    <xf numFmtId="20" fontId="6" fillId="0" borderId="2" xfId="0" quotePrefix="1" applyNumberFormat="1" applyFont="1" applyBorder="1" applyAlignment="1">
      <alignment horizontal="left" vertical="center"/>
    </xf>
    <xf numFmtId="0" fontId="6" fillId="0" borderId="6" xfId="0" quotePrefix="1" applyFont="1" applyBorder="1" applyAlignment="1">
      <alignment horizontal="left" vertical="center"/>
    </xf>
    <xf numFmtId="21" fontId="6" fillId="0" borderId="2" xfId="0" quotePrefix="1" applyNumberFormat="1" applyFont="1" applyBorder="1" applyAlignment="1">
      <alignment horizontal="left"/>
    </xf>
    <xf numFmtId="0" fontId="6" fillId="6" borderId="3" xfId="0" quotePrefix="1" applyFont="1" applyFill="1" applyBorder="1" applyAlignment="1">
      <alignment horizontal="left"/>
    </xf>
    <xf numFmtId="0" fontId="7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164" fontId="13" fillId="0" borderId="2" xfId="0" applyNumberFormat="1" applyFont="1" applyBorder="1" applyAlignment="1">
      <alignment horizontal="left"/>
    </xf>
    <xf numFmtId="164" fontId="6" fillId="0" borderId="2" xfId="0" applyNumberFormat="1" applyFont="1" applyBorder="1" applyAlignment="1">
      <alignment horizontal="left"/>
    </xf>
    <xf numFmtId="164" fontId="6" fillId="6" borderId="2" xfId="0" applyNumberFormat="1" applyFont="1" applyFill="1" applyBorder="1" applyAlignment="1">
      <alignment horizontal="left"/>
    </xf>
    <xf numFmtId="0" fontId="10" fillId="2" borderId="2" xfId="0" applyFont="1" applyFill="1" applyBorder="1"/>
    <xf numFmtId="0" fontId="6" fillId="2" borderId="9" xfId="0" applyFont="1" applyFill="1" applyBorder="1" applyAlignment="1">
      <alignment vertical="top"/>
    </xf>
    <xf numFmtId="0" fontId="6" fillId="2" borderId="9" xfId="0" applyFont="1" applyFill="1" applyBorder="1" applyAlignment="1">
      <alignment horizontal="left" vertical="top"/>
    </xf>
    <xf numFmtId="0" fontId="6" fillId="7" borderId="2" xfId="0" applyFont="1" applyFill="1" applyBorder="1"/>
    <xf numFmtId="0" fontId="13" fillId="7" borderId="2" xfId="0" applyFont="1" applyFill="1" applyBorder="1"/>
    <xf numFmtId="21" fontId="13" fillId="0" borderId="2" xfId="0" quotePrefix="1" applyNumberFormat="1" applyFont="1" applyBorder="1" applyAlignment="1">
      <alignment horizontal="left"/>
    </xf>
    <xf numFmtId="0" fontId="6" fillId="0" borderId="2" xfId="0" applyFont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5" borderId="9" xfId="0" applyFont="1" applyFill="1" applyBorder="1" applyAlignment="1">
      <alignment horizontal="left"/>
    </xf>
    <xf numFmtId="0" fontId="6" fillId="2" borderId="9" xfId="0" applyFont="1" applyFill="1" applyBorder="1"/>
    <xf numFmtId="0" fontId="6" fillId="2" borderId="9" xfId="0" applyFont="1" applyFill="1" applyBorder="1" applyAlignment="1">
      <alignment horizontal="right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center"/>
    </xf>
    <xf numFmtId="0" fontId="14" fillId="2" borderId="2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14" fillId="2" borderId="2" xfId="0" applyFont="1" applyFill="1" applyBorder="1" applyAlignment="1">
      <alignment horizontal="right" vertical="center" wrapText="1"/>
    </xf>
    <xf numFmtId="0" fontId="14" fillId="2" borderId="2" xfId="0" applyFont="1" applyFill="1" applyBorder="1" applyAlignment="1">
      <alignment horizontal="center" vertical="center"/>
    </xf>
    <xf numFmtId="0" fontId="14" fillId="2" borderId="19" xfId="0" applyFont="1" applyFill="1" applyBorder="1" applyAlignment="1">
      <alignment horizontal="center" vertical="center"/>
    </xf>
    <xf numFmtId="0" fontId="6" fillId="0" borderId="20" xfId="0" applyFont="1" applyBorder="1" applyAlignment="1">
      <alignment horizontal="center"/>
    </xf>
    <xf numFmtId="0" fontId="6" fillId="0" borderId="21" xfId="0" applyFont="1" applyBorder="1" applyAlignment="1">
      <alignment horizontal="center" vertical="center"/>
    </xf>
    <xf numFmtId="20" fontId="6" fillId="0" borderId="2" xfId="0" applyNumberFormat="1" applyFont="1" applyBorder="1"/>
    <xf numFmtId="20" fontId="6" fillId="2" borderId="2" xfId="0" applyNumberFormat="1" applyFont="1" applyFill="1" applyBorder="1"/>
    <xf numFmtId="20" fontId="6" fillId="2" borderId="2" xfId="0" applyNumberFormat="1" applyFont="1" applyFill="1" applyBorder="1" applyAlignment="1">
      <alignment horizontal="right"/>
    </xf>
    <xf numFmtId="20" fontId="7" fillId="6" borderId="2" xfId="0" applyNumberFormat="1" applyFont="1" applyFill="1" applyBorder="1" applyAlignment="1">
      <alignment horizontal="right"/>
    </xf>
    <xf numFmtId="0" fontId="7" fillId="6" borderId="19" xfId="0" applyFont="1" applyFill="1" applyBorder="1" applyAlignment="1">
      <alignment horizontal="center"/>
    </xf>
    <xf numFmtId="20" fontId="6" fillId="4" borderId="2" xfId="0" applyNumberFormat="1" applyFont="1" applyFill="1" applyBorder="1"/>
    <xf numFmtId="20" fontId="6" fillId="4" borderId="2" xfId="0" applyNumberFormat="1" applyFont="1" applyFill="1" applyBorder="1" applyAlignment="1">
      <alignment horizontal="right"/>
    </xf>
    <xf numFmtId="0" fontId="6" fillId="4" borderId="2" xfId="0" applyFont="1" applyFill="1" applyBorder="1" applyAlignment="1">
      <alignment horizontal="right"/>
    </xf>
    <xf numFmtId="0" fontId="6" fillId="4" borderId="19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right"/>
    </xf>
    <xf numFmtId="20" fontId="7" fillId="6" borderId="2" xfId="0" quotePrefix="1" applyNumberFormat="1" applyFont="1" applyFill="1" applyBorder="1" applyAlignment="1">
      <alignment horizontal="right"/>
    </xf>
    <xf numFmtId="0" fontId="6" fillId="5" borderId="2" xfId="0" applyFont="1" applyFill="1" applyBorder="1" applyAlignment="1">
      <alignment horizontal="left" vertical="center"/>
    </xf>
    <xf numFmtId="20" fontId="7" fillId="4" borderId="2" xfId="0" applyNumberFormat="1" applyFont="1" applyFill="1" applyBorder="1"/>
    <xf numFmtId="20" fontId="7" fillId="4" borderId="2" xfId="0" applyNumberFormat="1" applyFont="1" applyFill="1" applyBorder="1" applyAlignment="1">
      <alignment horizontal="right"/>
    </xf>
    <xf numFmtId="20" fontId="7" fillId="0" borderId="2" xfId="0" applyNumberFormat="1" applyFont="1" applyBorder="1"/>
    <xf numFmtId="20" fontId="7" fillId="2" borderId="2" xfId="0" applyNumberFormat="1" applyFont="1" applyFill="1" applyBorder="1"/>
    <xf numFmtId="20" fontId="7" fillId="2" borderId="2" xfId="0" applyNumberFormat="1" applyFont="1" applyFill="1" applyBorder="1" applyAlignment="1">
      <alignment horizontal="right"/>
    </xf>
    <xf numFmtId="0" fontId="6" fillId="3" borderId="23" xfId="0" applyFont="1" applyFill="1" applyBorder="1" applyAlignment="1">
      <alignment vertical="center"/>
    </xf>
    <xf numFmtId="0" fontId="6" fillId="3" borderId="2" xfId="0" applyFont="1" applyFill="1" applyBorder="1"/>
    <xf numFmtId="0" fontId="6" fillId="5" borderId="24" xfId="0" applyFont="1" applyFill="1" applyBorder="1" applyAlignment="1">
      <alignment horizontal="center"/>
    </xf>
    <xf numFmtId="0" fontId="6" fillId="5" borderId="21" xfId="0" applyFont="1" applyFill="1" applyBorder="1" applyAlignment="1">
      <alignment horizontal="center" vertical="center"/>
    </xf>
    <xf numFmtId="20" fontId="6" fillId="3" borderId="2" xfId="0" applyNumberFormat="1" applyFont="1" applyFill="1" applyBorder="1"/>
    <xf numFmtId="20" fontId="6" fillId="3" borderId="2" xfId="0" applyNumberFormat="1" applyFont="1" applyFill="1" applyBorder="1" applyAlignment="1">
      <alignment horizontal="right"/>
    </xf>
    <xf numFmtId="20" fontId="7" fillId="3" borderId="2" xfId="0" applyNumberFormat="1" applyFont="1" applyFill="1" applyBorder="1" applyAlignment="1">
      <alignment horizontal="right"/>
    </xf>
    <xf numFmtId="0" fontId="7" fillId="3" borderId="19" xfId="0" applyFont="1" applyFill="1" applyBorder="1" applyAlignment="1">
      <alignment horizontal="center"/>
    </xf>
    <xf numFmtId="0" fontId="6" fillId="3" borderId="9" xfId="0" applyFont="1" applyFill="1" applyBorder="1"/>
    <xf numFmtId="0" fontId="16" fillId="0" borderId="2" xfId="0" applyFont="1" applyBorder="1" applyAlignment="1">
      <alignment wrapText="1"/>
    </xf>
    <xf numFmtId="20" fontId="6" fillId="2" borderId="2" xfId="0" applyNumberFormat="1" applyFont="1" applyFill="1" applyBorder="1" applyAlignment="1">
      <alignment horizontal="right" vertical="center"/>
    </xf>
    <xf numFmtId="0" fontId="6" fillId="3" borderId="2" xfId="0" applyFont="1" applyFill="1" applyBorder="1" applyAlignment="1">
      <alignment horizontal="left"/>
    </xf>
    <xf numFmtId="20" fontId="6" fillId="5" borderId="2" xfId="0" applyNumberFormat="1" applyFont="1" applyFill="1" applyBorder="1"/>
    <xf numFmtId="0" fontId="6" fillId="0" borderId="25" xfId="0" applyFont="1" applyBorder="1" applyAlignment="1">
      <alignment horizontal="center" vertical="center"/>
    </xf>
    <xf numFmtId="0" fontId="6" fillId="0" borderId="5" xfId="0" applyFont="1" applyBorder="1" applyAlignment="1">
      <alignment horizontal="left"/>
    </xf>
    <xf numFmtId="20" fontId="6" fillId="0" borderId="5" xfId="0" applyNumberFormat="1" applyFont="1" applyBorder="1"/>
    <xf numFmtId="20" fontId="6" fillId="2" borderId="23" xfId="0" applyNumberFormat="1" applyFont="1" applyFill="1" applyBorder="1"/>
    <xf numFmtId="0" fontId="6" fillId="2" borderId="23" xfId="0" applyFont="1" applyFill="1" applyBorder="1" applyAlignment="1">
      <alignment horizontal="right"/>
    </xf>
    <xf numFmtId="20" fontId="7" fillId="6" borderId="23" xfId="0" applyNumberFormat="1" applyFont="1" applyFill="1" applyBorder="1" applyAlignment="1">
      <alignment horizontal="right"/>
    </xf>
    <xf numFmtId="0" fontId="7" fillId="6" borderId="26" xfId="0" applyFont="1" applyFill="1" applyBorder="1" applyAlignment="1">
      <alignment horizontal="center"/>
    </xf>
    <xf numFmtId="20" fontId="7" fillId="6" borderId="2" xfId="0" applyNumberFormat="1" applyFont="1" applyFill="1" applyBorder="1"/>
    <xf numFmtId="20" fontId="6" fillId="5" borderId="2" xfId="0" applyNumberFormat="1" applyFont="1" applyFill="1" applyBorder="1" applyAlignment="1">
      <alignment horizontal="right"/>
    </xf>
    <xf numFmtId="0" fontId="6" fillId="5" borderId="19" xfId="0" applyFont="1" applyFill="1" applyBorder="1" applyAlignment="1">
      <alignment horizontal="center"/>
    </xf>
    <xf numFmtId="0" fontId="6" fillId="0" borderId="2" xfId="0" applyFont="1" applyBorder="1" applyAlignment="1">
      <alignment horizontal="left" vertical="center" wrapText="1"/>
    </xf>
    <xf numFmtId="0" fontId="6" fillId="5" borderId="2" xfId="0" applyFont="1" applyFill="1" applyBorder="1" applyAlignment="1">
      <alignment horizontal="left" vertical="center" wrapText="1"/>
    </xf>
    <xf numFmtId="0" fontId="6" fillId="0" borderId="27" xfId="0" applyFont="1" applyBorder="1" applyAlignment="1">
      <alignment horizontal="center"/>
    </xf>
    <xf numFmtId="0" fontId="6" fillId="5" borderId="23" xfId="0" applyFont="1" applyFill="1" applyBorder="1" applyAlignment="1">
      <alignment horizontal="left" vertical="center" wrapText="1"/>
    </xf>
    <xf numFmtId="0" fontId="6" fillId="0" borderId="5" xfId="0" applyFont="1" applyBorder="1"/>
    <xf numFmtId="0" fontId="6" fillId="0" borderId="28" xfId="0" applyFont="1" applyBorder="1"/>
    <xf numFmtId="0" fontId="6" fillId="0" borderId="29" xfId="0" applyFont="1" applyBorder="1"/>
    <xf numFmtId="0" fontId="6" fillId="0" borderId="30" xfId="0" applyFont="1" applyBorder="1"/>
    <xf numFmtId="0" fontId="6" fillId="5" borderId="30" xfId="0" applyFont="1" applyFill="1" applyBorder="1" applyAlignment="1">
      <alignment horizontal="left"/>
    </xf>
    <xf numFmtId="0" fontId="6" fillId="2" borderId="30" xfId="0" applyFont="1" applyFill="1" applyBorder="1"/>
    <xf numFmtId="0" fontId="6" fillId="2" borderId="30" xfId="0" applyFont="1" applyFill="1" applyBorder="1" applyAlignment="1">
      <alignment horizontal="right"/>
    </xf>
    <xf numFmtId="0" fontId="6" fillId="0" borderId="30" xfId="0" applyFont="1" applyBorder="1" applyAlignment="1">
      <alignment horizontal="right"/>
    </xf>
    <xf numFmtId="0" fontId="6" fillId="0" borderId="31" xfId="0" applyFont="1" applyBorder="1" applyAlignment="1">
      <alignment horizontal="center"/>
    </xf>
    <xf numFmtId="0" fontId="6" fillId="2" borderId="9" xfId="0" applyFont="1" applyFill="1" applyBorder="1" applyAlignment="1">
      <alignment horizontal="left" vertical="center"/>
    </xf>
    <xf numFmtId="1" fontId="6" fillId="0" borderId="0" xfId="0" applyNumberFormat="1" applyFont="1"/>
    <xf numFmtId="3" fontId="6" fillId="0" borderId="0" xfId="0" quotePrefix="1" applyNumberFormat="1" applyFont="1"/>
    <xf numFmtId="1" fontId="17" fillId="0" borderId="0" xfId="0" applyNumberFormat="1" applyFont="1"/>
    <xf numFmtId="1" fontId="6" fillId="2" borderId="9" xfId="0" applyNumberFormat="1" applyFont="1" applyFill="1" applyBorder="1"/>
    <xf numFmtId="0" fontId="6" fillId="2" borderId="9" xfId="0" quotePrefix="1" applyFont="1" applyFill="1" applyBorder="1"/>
    <xf numFmtId="0" fontId="6" fillId="0" borderId="0" xfId="0" applyFont="1" applyAlignment="1">
      <alignment vertical="center"/>
    </xf>
    <xf numFmtId="0" fontId="19" fillId="2" borderId="32" xfId="0" applyFont="1" applyFill="1" applyBorder="1" applyAlignment="1">
      <alignment horizontal="center" vertical="center" wrapText="1"/>
    </xf>
    <xf numFmtId="0" fontId="19" fillId="2" borderId="33" xfId="0" applyFont="1" applyFill="1" applyBorder="1" applyAlignment="1">
      <alignment horizontal="center" vertical="center" wrapText="1"/>
    </xf>
    <xf numFmtId="0" fontId="19" fillId="2" borderId="34" xfId="0" applyFont="1" applyFill="1" applyBorder="1" applyAlignment="1">
      <alignment horizontal="center" vertical="center" wrapText="1"/>
    </xf>
    <xf numFmtId="0" fontId="6" fillId="0" borderId="21" xfId="0" applyFont="1" applyBorder="1" applyAlignment="1">
      <alignment horizontal="center"/>
    </xf>
    <xf numFmtId="0" fontId="6" fillId="0" borderId="19" xfId="0" applyFont="1" applyBorder="1"/>
    <xf numFmtId="0" fontId="6" fillId="0" borderId="2" xfId="0" applyFont="1" applyBorder="1" applyAlignment="1">
      <alignment wrapText="1"/>
    </xf>
    <xf numFmtId="0" fontId="6" fillId="3" borderId="19" xfId="0" applyFont="1" applyFill="1" applyBorder="1"/>
    <xf numFmtId="0" fontId="6" fillId="0" borderId="29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0" fontId="10" fillId="2" borderId="30" xfId="0" applyFont="1" applyFill="1" applyBorder="1"/>
    <xf numFmtId="0" fontId="10" fillId="2" borderId="30" xfId="0" applyFont="1" applyFill="1" applyBorder="1" applyAlignment="1">
      <alignment horizontal="center" vertical="center"/>
    </xf>
    <xf numFmtId="0" fontId="6" fillId="0" borderId="31" xfId="0" applyFont="1" applyBorder="1"/>
    <xf numFmtId="0" fontId="6" fillId="5" borderId="23" xfId="0" applyFont="1" applyFill="1" applyBorder="1" applyAlignment="1">
      <alignment horizontal="left" vertical="center"/>
    </xf>
    <xf numFmtId="0" fontId="16" fillId="5" borderId="2" xfId="0" applyFont="1" applyFill="1" applyBorder="1" applyAlignment="1">
      <alignment wrapText="1"/>
    </xf>
    <xf numFmtId="0" fontId="12" fillId="5" borderId="9" xfId="0" applyFont="1" applyFill="1" applyBorder="1"/>
    <xf numFmtId="0" fontId="6" fillId="5" borderId="40" xfId="0" applyFont="1" applyFill="1" applyBorder="1" applyAlignment="1">
      <alignment horizontal="center" vertical="center"/>
    </xf>
    <xf numFmtId="0" fontId="13" fillId="5" borderId="2" xfId="0" applyFont="1" applyFill="1" applyBorder="1" applyAlignment="1">
      <alignment horizontal="left"/>
    </xf>
    <xf numFmtId="0" fontId="6" fillId="5" borderId="9" xfId="0" applyFont="1" applyFill="1" applyBorder="1" applyAlignment="1">
      <alignment horizontal="left" vertical="top"/>
    </xf>
    <xf numFmtId="0" fontId="6" fillId="5" borderId="23" xfId="0" applyFont="1" applyFill="1" applyBorder="1"/>
    <xf numFmtId="20" fontId="6" fillId="2" borderId="23" xfId="0" applyNumberFormat="1" applyFont="1" applyFill="1" applyBorder="1" applyAlignment="1">
      <alignment horizontal="right"/>
    </xf>
    <xf numFmtId="0" fontId="6" fillId="5" borderId="23" xfId="0" applyFont="1" applyFill="1" applyBorder="1" applyAlignment="1">
      <alignment horizontal="left"/>
    </xf>
    <xf numFmtId="0" fontId="6" fillId="5" borderId="2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vertical="center"/>
    </xf>
    <xf numFmtId="0" fontId="6" fillId="4" borderId="9" xfId="0" applyFont="1" applyFill="1" applyBorder="1"/>
    <xf numFmtId="0" fontId="21" fillId="0" borderId="2" xfId="0" applyFont="1" applyBorder="1"/>
    <xf numFmtId="0" fontId="6" fillId="0" borderId="2" xfId="0" applyFont="1" applyBorder="1" applyAlignment="1">
      <alignment vertical="center" wrapText="1"/>
    </xf>
    <xf numFmtId="0" fontId="6" fillId="3" borderId="9" xfId="0" applyFont="1" applyFill="1" applyBorder="1" applyAlignment="1">
      <alignment horizontal="left"/>
    </xf>
    <xf numFmtId="0" fontId="9" fillId="2" borderId="19" xfId="0" applyFont="1" applyFill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/>
    </xf>
    <xf numFmtId="0" fontId="6" fillId="5" borderId="30" xfId="0" applyFont="1" applyFill="1" applyBorder="1"/>
    <xf numFmtId="0" fontId="6" fillId="0" borderId="30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33" xfId="0" applyFont="1" applyBorder="1"/>
    <xf numFmtId="0" fontId="6" fillId="2" borderId="19" xfId="0" applyFont="1" applyFill="1" applyBorder="1" applyAlignment="1">
      <alignment horizontal="center" vertical="center"/>
    </xf>
    <xf numFmtId="0" fontId="6" fillId="0" borderId="30" xfId="0" applyFont="1" applyBorder="1" applyAlignment="1">
      <alignment horizontal="left" vertical="center" wrapText="1"/>
    </xf>
    <xf numFmtId="0" fontId="6" fillId="5" borderId="30" xfId="0" applyFont="1" applyFill="1" applyBorder="1" applyAlignment="1">
      <alignment horizontal="center" vertical="center" wrapText="1"/>
    </xf>
    <xf numFmtId="0" fontId="6" fillId="0" borderId="30" xfId="0" applyFont="1" applyBorder="1" applyAlignment="1">
      <alignment horizontal="left"/>
    </xf>
    <xf numFmtId="0" fontId="9" fillId="2" borderId="2" xfId="0" applyFont="1" applyFill="1" applyBorder="1" applyAlignment="1">
      <alignment vertical="center"/>
    </xf>
    <xf numFmtId="0" fontId="9" fillId="2" borderId="2" xfId="0" applyFont="1" applyFill="1" applyBorder="1" applyAlignment="1">
      <alignment horizontal="center"/>
    </xf>
    <xf numFmtId="0" fontId="9" fillId="2" borderId="2" xfId="0" applyFont="1" applyFill="1" applyBorder="1" applyAlignment="1">
      <alignment horizontal="left"/>
    </xf>
    <xf numFmtId="0" fontId="9" fillId="2" borderId="41" xfId="0" applyFont="1" applyFill="1" applyBorder="1" applyAlignment="1">
      <alignment horizontal="center" vertical="center"/>
    </xf>
    <xf numFmtId="0" fontId="9" fillId="2" borderId="2" xfId="0" applyFont="1" applyFill="1" applyBorder="1"/>
    <xf numFmtId="0" fontId="9" fillId="2" borderId="41" xfId="0" applyFont="1" applyFill="1" applyBorder="1" applyAlignment="1">
      <alignment vertical="center"/>
    </xf>
    <xf numFmtId="0" fontId="9" fillId="2" borderId="2" xfId="0" quotePrefix="1" applyFont="1" applyFill="1" applyBorder="1" applyAlignment="1">
      <alignment horizontal="left"/>
    </xf>
    <xf numFmtId="20" fontId="9" fillId="2" borderId="2" xfId="0" applyNumberFormat="1" applyFont="1" applyFill="1" applyBorder="1" applyAlignment="1">
      <alignment horizontal="left"/>
    </xf>
    <xf numFmtId="0" fontId="9" fillId="2" borderId="9" xfId="0" applyFont="1" applyFill="1" applyBorder="1"/>
    <xf numFmtId="0" fontId="6" fillId="0" borderId="8" xfId="0" applyFont="1" applyBorder="1" applyAlignment="1">
      <alignment vertical="center"/>
    </xf>
    <xf numFmtId="21" fontId="6" fillId="0" borderId="2" xfId="0" quotePrefix="1" applyNumberFormat="1" applyFont="1" applyBorder="1" applyAlignment="1">
      <alignment horizontal="left" vertical="center"/>
    </xf>
    <xf numFmtId="21" fontId="6" fillId="0" borderId="2" xfId="0" applyNumberFormat="1" applyFont="1" applyBorder="1" applyAlignment="1">
      <alignment horizontal="left"/>
    </xf>
    <xf numFmtId="0" fontId="13" fillId="0" borderId="2" xfId="0" applyFont="1" applyBorder="1" applyAlignment="1">
      <alignment horizontal="center"/>
    </xf>
    <xf numFmtId="21" fontId="13" fillId="0" borderId="2" xfId="0" applyNumberFormat="1" applyFont="1" applyBorder="1" applyAlignment="1">
      <alignment horizontal="left"/>
    </xf>
    <xf numFmtId="0" fontId="24" fillId="6" borderId="9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left" vertical="center"/>
    </xf>
    <xf numFmtId="0" fontId="21" fillId="3" borderId="2" xfId="0" applyFont="1" applyFill="1" applyBorder="1"/>
    <xf numFmtId="0" fontId="6" fillId="14" borderId="9" xfId="0" applyFont="1" applyFill="1" applyBorder="1"/>
    <xf numFmtId="0" fontId="7" fillId="0" borderId="2" xfId="0" applyFont="1" applyBorder="1" applyAlignment="1">
      <alignment vertical="center" wrapText="1"/>
    </xf>
    <xf numFmtId="0" fontId="13" fillId="0" borderId="2" xfId="0" applyFont="1" applyBorder="1" applyAlignment="1">
      <alignment vertical="center"/>
    </xf>
    <xf numFmtId="21" fontId="13" fillId="0" borderId="2" xfId="0" quotePrefix="1" applyNumberFormat="1" applyFont="1" applyBorder="1" applyAlignment="1">
      <alignment horizontal="left" vertical="center"/>
    </xf>
    <xf numFmtId="20" fontId="13" fillId="0" borderId="2" xfId="0" quotePrefix="1" applyNumberFormat="1" applyFont="1" applyBorder="1" applyAlignment="1">
      <alignment horizontal="left" vertical="center"/>
    </xf>
    <xf numFmtId="0" fontId="6" fillId="2" borderId="23" xfId="0" applyFont="1" applyFill="1" applyBorder="1" applyAlignment="1">
      <alignment vertical="center" wrapText="1"/>
    </xf>
    <xf numFmtId="0" fontId="6" fillId="2" borderId="9" xfId="0" applyFont="1" applyFill="1" applyBorder="1" applyAlignment="1">
      <alignment horizontal="left"/>
    </xf>
    <xf numFmtId="15" fontId="10" fillId="2" borderId="9" xfId="0" applyNumberFormat="1" applyFont="1" applyFill="1" applyBorder="1" applyAlignment="1">
      <alignment horizontal="left"/>
    </xf>
    <xf numFmtId="21" fontId="6" fillId="6" borderId="2" xfId="0" quotePrefix="1" applyNumberFormat="1" applyFont="1" applyFill="1" applyBorder="1" applyAlignment="1">
      <alignment horizontal="left"/>
    </xf>
    <xf numFmtId="0" fontId="6" fillId="2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horizontal="right" vertical="center" wrapText="1"/>
    </xf>
    <xf numFmtId="0" fontId="6" fillId="0" borderId="8" xfId="0" applyFont="1" applyBorder="1"/>
    <xf numFmtId="0" fontId="6" fillId="5" borderId="9" xfId="0" quotePrefix="1" applyFont="1" applyFill="1" applyBorder="1"/>
    <xf numFmtId="20" fontId="6" fillId="5" borderId="9" xfId="0" quotePrefix="1" applyNumberFormat="1" applyFont="1" applyFill="1" applyBorder="1" applyAlignment="1">
      <alignment horizontal="right"/>
    </xf>
    <xf numFmtId="0" fontId="6" fillId="5" borderId="9" xfId="0" applyFont="1" applyFill="1" applyBorder="1" applyAlignment="1">
      <alignment horizontal="right"/>
    </xf>
    <xf numFmtId="0" fontId="6" fillId="0" borderId="0" xfId="0" quotePrefix="1" applyFont="1"/>
    <xf numFmtId="20" fontId="6" fillId="3" borderId="9" xfId="0" quotePrefix="1" applyNumberFormat="1" applyFont="1" applyFill="1" applyBorder="1" applyAlignment="1">
      <alignment horizontal="right"/>
    </xf>
    <xf numFmtId="20" fontId="6" fillId="3" borderId="9" xfId="0" applyNumberFormat="1" applyFont="1" applyFill="1" applyBorder="1" applyAlignment="1">
      <alignment horizontal="right"/>
    </xf>
    <xf numFmtId="20" fontId="6" fillId="5" borderId="9" xfId="0" applyNumberFormat="1" applyFont="1" applyFill="1" applyBorder="1" applyAlignment="1">
      <alignment horizontal="right"/>
    </xf>
    <xf numFmtId="0" fontId="6" fillId="3" borderId="9" xfId="0" applyFont="1" applyFill="1" applyBorder="1" applyAlignment="1">
      <alignment horizontal="right"/>
    </xf>
    <xf numFmtId="21" fontId="6" fillId="3" borderId="9" xfId="0" applyNumberFormat="1" applyFont="1" applyFill="1" applyBorder="1" applyAlignment="1">
      <alignment horizontal="right"/>
    </xf>
    <xf numFmtId="21" fontId="6" fillId="3" borderId="9" xfId="0" applyNumberFormat="1" applyFont="1" applyFill="1" applyBorder="1" applyAlignment="1">
      <alignment horizontal="left"/>
    </xf>
    <xf numFmtId="164" fontId="6" fillId="3" borderId="9" xfId="0" applyNumberFormat="1" applyFont="1" applyFill="1" applyBorder="1" applyAlignment="1">
      <alignment horizontal="right"/>
    </xf>
    <xf numFmtId="164" fontId="6" fillId="3" borderId="9" xfId="0" applyNumberFormat="1" applyFont="1" applyFill="1" applyBorder="1" applyAlignment="1">
      <alignment horizontal="left"/>
    </xf>
    <xf numFmtId="0" fontId="6" fillId="0" borderId="0" xfId="0" applyFont="1" applyAlignment="1">
      <alignment vertical="top"/>
    </xf>
    <xf numFmtId="11" fontId="6" fillId="0" borderId="0" xfId="0" quotePrefix="1" applyNumberFormat="1" applyFont="1"/>
    <xf numFmtId="3" fontId="6" fillId="2" borderId="9" xfId="0" quotePrefix="1" applyNumberFormat="1" applyFont="1" applyFill="1" applyBorder="1" applyAlignment="1">
      <alignment vertical="top"/>
    </xf>
    <xf numFmtId="11" fontId="6" fillId="0" borderId="0" xfId="0" applyNumberFormat="1" applyFont="1"/>
    <xf numFmtId="0" fontId="8" fillId="0" borderId="48" xfId="0" applyFont="1" applyBorder="1"/>
    <xf numFmtId="0" fontId="6" fillId="0" borderId="9" xfId="0" applyFont="1" applyBorder="1"/>
    <xf numFmtId="21" fontId="6" fillId="0" borderId="7" xfId="0" quotePrefix="1" applyNumberFormat="1" applyFont="1" applyBorder="1" applyAlignment="1">
      <alignment vertical="center"/>
    </xf>
    <xf numFmtId="21" fontId="6" fillId="0" borderId="7" xfId="0" applyNumberFormat="1" applyFont="1" applyBorder="1" applyAlignment="1">
      <alignment vertical="center"/>
    </xf>
    <xf numFmtId="0" fontId="0" fillId="0" borderId="48" xfId="0" applyBorder="1"/>
    <xf numFmtId="0" fontId="6" fillId="0" borderId="48" xfId="0" applyFont="1" applyBorder="1" applyAlignment="1">
      <alignment vertical="center"/>
    </xf>
    <xf numFmtId="0" fontId="6" fillId="0" borderId="48" xfId="0" applyFont="1" applyBorder="1"/>
    <xf numFmtId="0" fontId="6" fillId="0" borderId="48" xfId="0" applyFont="1" applyBorder="1" applyAlignment="1">
      <alignment horizontal="center" vertical="center"/>
    </xf>
    <xf numFmtId="0" fontId="6" fillId="0" borderId="48" xfId="0" applyFont="1" applyBorder="1" applyAlignment="1">
      <alignment horizontal="left"/>
    </xf>
    <xf numFmtId="0" fontId="6" fillId="0" borderId="48" xfId="0" applyFont="1" applyBorder="1" applyAlignment="1">
      <alignment horizontal="right"/>
    </xf>
    <xf numFmtId="0" fontId="6" fillId="0" borderId="48" xfId="0" applyFont="1" applyBorder="1" applyAlignment="1">
      <alignment horizontal="center"/>
    </xf>
    <xf numFmtId="0" fontId="9" fillId="0" borderId="48" xfId="0" applyFont="1" applyBorder="1" applyAlignment="1">
      <alignment vertical="center"/>
    </xf>
    <xf numFmtId="0" fontId="9" fillId="0" borderId="48" xfId="0" applyFont="1" applyBorder="1" applyAlignment="1">
      <alignment vertical="center" wrapText="1"/>
    </xf>
    <xf numFmtId="20" fontId="6" fillId="0" borderId="48" xfId="0" applyNumberFormat="1" applyFont="1" applyBorder="1"/>
    <xf numFmtId="20" fontId="6" fillId="0" borderId="48" xfId="0" applyNumberFormat="1" applyFont="1" applyBorder="1" applyAlignment="1">
      <alignment horizontal="right"/>
    </xf>
    <xf numFmtId="20" fontId="7" fillId="0" borderId="48" xfId="0" applyNumberFormat="1" applyFont="1" applyBorder="1" applyAlignment="1">
      <alignment horizontal="right"/>
    </xf>
    <xf numFmtId="0" fontId="7" fillId="0" borderId="48" xfId="0" applyFont="1" applyBorder="1" applyAlignment="1">
      <alignment horizontal="center"/>
    </xf>
    <xf numFmtId="20" fontId="7" fillId="0" borderId="48" xfId="0" quotePrefix="1" applyNumberFormat="1" applyFont="1" applyBorder="1" applyAlignment="1">
      <alignment horizontal="right"/>
    </xf>
    <xf numFmtId="20" fontId="7" fillId="0" borderId="48" xfId="0" applyNumberFormat="1" applyFont="1" applyBorder="1"/>
    <xf numFmtId="0" fontId="6" fillId="0" borderId="48" xfId="0" quotePrefix="1" applyFont="1" applyBorder="1" applyAlignment="1">
      <alignment vertical="center"/>
    </xf>
    <xf numFmtId="0" fontId="6" fillId="0" borderId="48" xfId="0" applyFont="1" applyBorder="1" applyAlignment="1">
      <alignment horizontal="left" vertical="center"/>
    </xf>
    <xf numFmtId="0" fontId="6" fillId="0" borderId="48" xfId="0" applyFont="1" applyBorder="1" applyAlignment="1">
      <alignment vertical="center" wrapText="1"/>
    </xf>
    <xf numFmtId="0" fontId="20" fillId="0" borderId="48" xfId="0" applyFont="1" applyBorder="1" applyAlignment="1">
      <alignment horizontal="left"/>
    </xf>
    <xf numFmtId="0" fontId="16" fillId="0" borderId="48" xfId="0" applyFont="1" applyBorder="1" applyAlignment="1">
      <alignment wrapText="1"/>
    </xf>
    <xf numFmtId="20" fontId="6" fillId="0" borderId="48" xfId="0" applyNumberFormat="1" applyFont="1" applyBorder="1" applyAlignment="1">
      <alignment horizontal="right" vertical="center"/>
    </xf>
    <xf numFmtId="0" fontId="12" fillId="0" borderId="48" xfId="0" applyFont="1" applyBorder="1" applyAlignment="1">
      <alignment vertical="center"/>
    </xf>
    <xf numFmtId="0" fontId="10" fillId="0" borderId="48" xfId="0" applyFont="1" applyBorder="1" applyAlignment="1">
      <alignment horizontal="center" vertical="center"/>
    </xf>
    <xf numFmtId="0" fontId="10" fillId="0" borderId="48" xfId="0" applyFont="1" applyBorder="1" applyAlignment="1">
      <alignment vertical="center"/>
    </xf>
    <xf numFmtId="0" fontId="7" fillId="0" borderId="48" xfId="0" applyFont="1" applyBorder="1" applyAlignment="1">
      <alignment horizontal="left"/>
    </xf>
    <xf numFmtId="0" fontId="13" fillId="0" borderId="48" xfId="0" applyFont="1" applyBorder="1" applyAlignment="1">
      <alignment horizontal="left"/>
    </xf>
    <xf numFmtId="0" fontId="9" fillId="0" borderId="48" xfId="0" applyFont="1" applyBorder="1" applyAlignment="1">
      <alignment horizontal="left"/>
    </xf>
    <xf numFmtId="21" fontId="6" fillId="0" borderId="48" xfId="0" applyNumberFormat="1" applyFont="1" applyBorder="1"/>
    <xf numFmtId="21" fontId="6" fillId="0" borderId="48" xfId="0" quotePrefix="1" applyNumberFormat="1" applyFont="1" applyBorder="1" applyAlignment="1">
      <alignment vertical="center"/>
    </xf>
    <xf numFmtId="0" fontId="6" fillId="0" borderId="48" xfId="0" applyFont="1" applyBorder="1" applyAlignment="1">
      <alignment horizontal="left" vertical="top"/>
    </xf>
    <xf numFmtId="0" fontId="6" fillId="0" borderId="48" xfId="0" applyFont="1" applyBorder="1" applyAlignment="1">
      <alignment horizontal="center" vertical="center" wrapText="1"/>
    </xf>
    <xf numFmtId="0" fontId="0" fillId="0" borderId="49" xfId="0" applyBorder="1"/>
    <xf numFmtId="0" fontId="6" fillId="5" borderId="49" xfId="0" applyFont="1" applyFill="1" applyBorder="1"/>
    <xf numFmtId="0" fontId="9" fillId="2" borderId="49" xfId="0" applyFont="1" applyFill="1" applyBorder="1" applyAlignment="1">
      <alignment vertical="center"/>
    </xf>
    <xf numFmtId="0" fontId="8" fillId="0" borderId="49" xfId="0" applyFont="1" applyBorder="1"/>
    <xf numFmtId="0" fontId="6" fillId="0" borderId="49" xfId="0" applyFont="1" applyBorder="1" applyAlignment="1">
      <alignment horizontal="center" vertical="center"/>
    </xf>
    <xf numFmtId="0" fontId="6" fillId="0" borderId="49" xfId="0" applyFont="1" applyBorder="1" applyAlignment="1">
      <alignment vertical="center"/>
    </xf>
    <xf numFmtId="0" fontId="6" fillId="5" borderId="49" xfId="0" applyFont="1" applyFill="1" applyBorder="1" applyAlignment="1">
      <alignment vertical="center" wrapText="1"/>
    </xf>
    <xf numFmtId="0" fontId="6" fillId="5" borderId="49" xfId="0" applyFont="1" applyFill="1" applyBorder="1" applyAlignment="1">
      <alignment vertical="center"/>
    </xf>
    <xf numFmtId="0" fontId="6" fillId="8" borderId="49" xfId="0" applyFont="1" applyFill="1" applyBorder="1" applyAlignment="1">
      <alignment vertical="center"/>
    </xf>
    <xf numFmtId="0" fontId="6" fillId="8" borderId="49" xfId="0" applyFont="1" applyFill="1" applyBorder="1"/>
    <xf numFmtId="0" fontId="7" fillId="8" borderId="49" xfId="0" applyFont="1" applyFill="1" applyBorder="1" applyAlignment="1">
      <alignment horizontal="center" vertical="center"/>
    </xf>
    <xf numFmtId="0" fontId="6" fillId="9" borderId="49" xfId="0" applyFont="1" applyFill="1" applyBorder="1"/>
    <xf numFmtId="0" fontId="6" fillId="0" borderId="49" xfId="0" applyFont="1" applyBorder="1" applyAlignment="1">
      <alignment vertical="center" wrapText="1"/>
    </xf>
    <xf numFmtId="0" fontId="6" fillId="10" borderId="49" xfId="0" applyFont="1" applyFill="1" applyBorder="1" applyAlignment="1">
      <alignment vertical="center"/>
    </xf>
    <xf numFmtId="0" fontId="6" fillId="4" borderId="49" xfId="0" applyFont="1" applyFill="1" applyBorder="1" applyAlignment="1">
      <alignment vertical="center"/>
    </xf>
    <xf numFmtId="0" fontId="21" fillId="5" borderId="49" xfId="0" applyFont="1" applyFill="1" applyBorder="1"/>
    <xf numFmtId="0" fontId="6" fillId="2" borderId="49" xfId="0" applyFont="1" applyFill="1" applyBorder="1"/>
    <xf numFmtId="0" fontId="6" fillId="11" borderId="49" xfId="0" applyFont="1" applyFill="1" applyBorder="1" applyAlignment="1">
      <alignment vertical="center"/>
    </xf>
    <xf numFmtId="0" fontId="6" fillId="11" borderId="49" xfId="0" applyFont="1" applyFill="1" applyBorder="1"/>
    <xf numFmtId="0" fontId="6" fillId="5" borderId="49" xfId="0" applyFont="1" applyFill="1" applyBorder="1" applyAlignment="1">
      <alignment horizontal="center" vertical="center"/>
    </xf>
    <xf numFmtId="0" fontId="6" fillId="4" borderId="49" xfId="0" applyFont="1" applyFill="1" applyBorder="1"/>
    <xf numFmtId="0" fontId="6" fillId="5" borderId="49" xfId="0" applyFont="1" applyFill="1" applyBorder="1" applyAlignment="1">
      <alignment horizontal="left" vertical="center"/>
    </xf>
    <xf numFmtId="0" fontId="6" fillId="6" borderId="49" xfId="0" applyFont="1" applyFill="1" applyBorder="1"/>
    <xf numFmtId="0" fontId="10" fillId="6" borderId="49" xfId="0" applyFont="1" applyFill="1" applyBorder="1"/>
    <xf numFmtId="0" fontId="10" fillId="8" borderId="49" xfId="0" applyFont="1" applyFill="1" applyBorder="1"/>
    <xf numFmtId="0" fontId="21" fillId="8" borderId="49" xfId="0" applyFont="1" applyFill="1" applyBorder="1"/>
    <xf numFmtId="0" fontId="10" fillId="13" borderId="49" xfId="0" applyFont="1" applyFill="1" applyBorder="1"/>
    <xf numFmtId="0" fontId="10" fillId="4" borderId="49" xfId="0" applyFont="1" applyFill="1" applyBorder="1"/>
    <xf numFmtId="0" fontId="6" fillId="5" borderId="49" xfId="0" applyFont="1" applyFill="1" applyBorder="1" applyAlignment="1">
      <alignment horizontal="left"/>
    </xf>
    <xf numFmtId="0" fontId="10" fillId="8" borderId="49" xfId="0" applyFont="1" applyFill="1" applyBorder="1" applyAlignment="1">
      <alignment horizontal="left"/>
    </xf>
    <xf numFmtId="0" fontId="6" fillId="8" borderId="49" xfId="0" applyFont="1" applyFill="1" applyBorder="1" applyAlignment="1">
      <alignment horizontal="left"/>
    </xf>
    <xf numFmtId="0" fontId="9" fillId="8" borderId="49" xfId="0" applyFont="1" applyFill="1" applyBorder="1" applyAlignment="1">
      <alignment horizontal="left"/>
    </xf>
    <xf numFmtId="0" fontId="6" fillId="12" borderId="49" xfId="0" applyFont="1" applyFill="1" applyBorder="1" applyAlignment="1">
      <alignment horizontal="left"/>
    </xf>
    <xf numFmtId="0" fontId="6" fillId="3" borderId="49" xfId="0" applyFont="1" applyFill="1" applyBorder="1" applyAlignment="1">
      <alignment horizontal="left"/>
    </xf>
    <xf numFmtId="0" fontId="9" fillId="6" borderId="49" xfId="0" applyFont="1" applyFill="1" applyBorder="1"/>
    <xf numFmtId="0" fontId="9" fillId="6" borderId="49" xfId="0" applyFont="1" applyFill="1" applyBorder="1" applyAlignment="1">
      <alignment horizontal="left"/>
    </xf>
    <xf numFmtId="0" fontId="6" fillId="4" borderId="49" xfId="0" applyFont="1" applyFill="1" applyBorder="1" applyAlignment="1">
      <alignment vertical="center" wrapText="1"/>
    </xf>
    <xf numFmtId="0" fontId="9" fillId="4" borderId="49" xfId="0" applyFont="1" applyFill="1" applyBorder="1"/>
    <xf numFmtId="0" fontId="6" fillId="4" borderId="49" xfId="0" applyFont="1" applyFill="1" applyBorder="1" applyAlignment="1">
      <alignment horizontal="left"/>
    </xf>
    <xf numFmtId="0" fontId="6" fillId="0" borderId="49" xfId="0" applyFont="1" applyBorder="1" applyAlignment="1">
      <alignment horizontal="left"/>
    </xf>
    <xf numFmtId="0" fontId="6" fillId="0" borderId="49" xfId="0" applyFont="1" applyBorder="1"/>
    <xf numFmtId="0" fontId="6" fillId="0" borderId="49" xfId="0" applyFont="1" applyBorder="1" applyAlignment="1">
      <alignment horizontal="center"/>
    </xf>
    <xf numFmtId="0" fontId="5" fillId="0" borderId="49" xfId="0" applyFont="1" applyBorder="1"/>
    <xf numFmtId="0" fontId="29" fillId="0" borderId="49" xfId="0" applyFont="1" applyBorder="1"/>
    <xf numFmtId="0" fontId="5" fillId="15" borderId="49" xfId="0" applyFont="1" applyFill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/>
    </xf>
    <xf numFmtId="0" fontId="5" fillId="0" borderId="49" xfId="0" applyFont="1" applyBorder="1" applyAlignment="1">
      <alignment vertical="center" wrapText="1"/>
    </xf>
    <xf numFmtId="0" fontId="5" fillId="16" borderId="49" xfId="0" applyFont="1" applyFill="1" applyBorder="1" applyAlignment="1">
      <alignment horizontal="center" vertical="center" wrapText="1"/>
    </xf>
    <xf numFmtId="0" fontId="5" fillId="17" borderId="49" xfId="0" applyFont="1" applyFill="1" applyBorder="1" applyAlignment="1">
      <alignment vertical="center" wrapText="1"/>
    </xf>
    <xf numFmtId="0" fontId="5" fillId="18" borderId="49" xfId="0" applyFont="1" applyFill="1" applyBorder="1" applyAlignment="1">
      <alignment horizontal="center" vertical="center" wrapText="1"/>
    </xf>
    <xf numFmtId="0" fontId="26" fillId="0" borderId="49" xfId="0" applyFont="1" applyBorder="1"/>
    <xf numFmtId="0" fontId="5" fillId="19" borderId="49" xfId="0" applyFont="1" applyFill="1" applyBorder="1" applyAlignment="1">
      <alignment vertical="center" wrapText="1"/>
    </xf>
    <xf numFmtId="0" fontId="5" fillId="20" borderId="49" xfId="0" applyFont="1" applyFill="1" applyBorder="1" applyAlignment="1">
      <alignment horizontal="center" vertical="center" wrapText="1"/>
    </xf>
    <xf numFmtId="0" fontId="27" fillId="21" borderId="49" xfId="0" applyFont="1" applyFill="1" applyBorder="1" applyAlignment="1">
      <alignment horizontal="center" vertical="center" wrapText="1"/>
    </xf>
    <xf numFmtId="0" fontId="30" fillId="0" borderId="49" xfId="0" applyFont="1" applyBorder="1" applyAlignment="1">
      <alignment horizontal="center" vertical="center" wrapText="1"/>
    </xf>
    <xf numFmtId="0" fontId="27" fillId="22" borderId="49" xfId="0" applyFont="1" applyFill="1" applyBorder="1" applyAlignment="1">
      <alignment horizontal="center" vertical="center" wrapText="1"/>
    </xf>
    <xf numFmtId="0" fontId="6" fillId="5" borderId="48" xfId="0" applyFont="1" applyFill="1" applyBorder="1"/>
    <xf numFmtId="0" fontId="4" fillId="0" borderId="49" xfId="0" applyFont="1" applyBorder="1" applyAlignment="1">
      <alignment horizontal="center" vertical="center" wrapText="1"/>
    </xf>
    <xf numFmtId="0" fontId="31" fillId="16" borderId="49" xfId="0" applyFont="1" applyFill="1" applyBorder="1" applyAlignment="1">
      <alignment horizontal="left"/>
    </xf>
    <xf numFmtId="0" fontId="23" fillId="2" borderId="49" xfId="0" applyFont="1" applyFill="1" applyBorder="1"/>
    <xf numFmtId="0" fontId="9" fillId="0" borderId="49" xfId="0" applyFont="1" applyBorder="1" applyAlignment="1">
      <alignment vertical="center"/>
    </xf>
    <xf numFmtId="0" fontId="2" fillId="0" borderId="49" xfId="0" applyFont="1" applyBorder="1"/>
    <xf numFmtId="0" fontId="6" fillId="0" borderId="52" xfId="0" applyFont="1" applyBorder="1"/>
    <xf numFmtId="0" fontId="6" fillId="0" borderId="5" xfId="0" applyFont="1" applyBorder="1" applyAlignment="1">
      <alignment horizontal="center" vertical="center"/>
    </xf>
    <xf numFmtId="0" fontId="8" fillId="0" borderId="7" xfId="0" applyFont="1" applyBorder="1"/>
    <xf numFmtId="0" fontId="8" fillId="0" borderId="8" xfId="0" applyFont="1" applyBorder="1"/>
    <xf numFmtId="0" fontId="6" fillId="2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left" vertical="center" wrapText="1"/>
    </xf>
    <xf numFmtId="0" fontId="6" fillId="5" borderId="5" xfId="0" applyFont="1" applyFill="1" applyBorder="1" applyAlignment="1">
      <alignment horizontal="left" vertical="center"/>
    </xf>
    <xf numFmtId="0" fontId="6" fillId="5" borderId="5" xfId="0" applyFont="1" applyFill="1" applyBorder="1" applyAlignment="1">
      <alignment horizontal="left" vertical="center" wrapText="1"/>
    </xf>
    <xf numFmtId="0" fontId="6" fillId="0" borderId="5" xfId="0" applyFont="1" applyBorder="1" applyAlignment="1">
      <alignment horizontal="left" vertical="center"/>
    </xf>
    <xf numFmtId="0" fontId="6" fillId="5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left" vertical="center"/>
    </xf>
    <xf numFmtId="0" fontId="6" fillId="0" borderId="5" xfId="0" applyFont="1" applyBorder="1" applyAlignment="1">
      <alignment vertical="center" wrapText="1"/>
    </xf>
    <xf numFmtId="0" fontId="6" fillId="0" borderId="7" xfId="0" applyFont="1" applyBorder="1" applyAlignment="1">
      <alignment horizontal="center" vertical="center"/>
    </xf>
    <xf numFmtId="0" fontId="6" fillId="0" borderId="5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0" fillId="0" borderId="0" xfId="0"/>
    <xf numFmtId="0" fontId="8" fillId="0" borderId="22" xfId="0" applyFont="1" applyBorder="1"/>
    <xf numFmtId="0" fontId="9" fillId="2" borderId="12" xfId="0" applyFont="1" applyFill="1" applyBorder="1" applyAlignment="1">
      <alignment horizontal="center" vertical="center"/>
    </xf>
    <xf numFmtId="0" fontId="9" fillId="2" borderId="13" xfId="0" applyFont="1" applyFill="1" applyBorder="1" applyAlignment="1">
      <alignment horizontal="center" vertical="center" wrapText="1"/>
    </xf>
    <xf numFmtId="0" fontId="8" fillId="0" borderId="14" xfId="0" applyFont="1" applyBorder="1"/>
    <xf numFmtId="0" fontId="8" fillId="0" borderId="15" xfId="0" applyFont="1" applyBorder="1"/>
    <xf numFmtId="0" fontId="8" fillId="0" borderId="16" xfId="0" applyFont="1" applyBorder="1"/>
    <xf numFmtId="0" fontId="9" fillId="2" borderId="10" xfId="0" applyFont="1" applyFill="1" applyBorder="1" applyAlignment="1">
      <alignment horizontal="center" vertical="center"/>
    </xf>
    <xf numFmtId="0" fontId="8" fillId="0" borderId="17" xfId="0" applyFont="1" applyBorder="1"/>
    <xf numFmtId="0" fontId="9" fillId="2" borderId="11" xfId="0" applyFont="1" applyFill="1" applyBorder="1" applyAlignment="1">
      <alignment horizontal="center" vertical="center"/>
    </xf>
    <xf numFmtId="0" fontId="8" fillId="0" borderId="18" xfId="0" applyFont="1" applyBorder="1"/>
    <xf numFmtId="0" fontId="9" fillId="2" borderId="12" xfId="0" applyFont="1" applyFill="1" applyBorder="1" applyAlignment="1">
      <alignment horizontal="center" vertical="center" wrapText="1"/>
    </xf>
    <xf numFmtId="0" fontId="6" fillId="0" borderId="35" xfId="0" applyFont="1" applyBorder="1" applyAlignment="1">
      <alignment horizontal="center" vertical="center" wrapText="1"/>
    </xf>
    <xf numFmtId="0" fontId="8" fillId="0" borderId="36" xfId="0" applyFont="1" applyBorder="1"/>
    <xf numFmtId="0" fontId="8" fillId="0" borderId="37" xfId="0" applyFont="1" applyBorder="1"/>
    <xf numFmtId="0" fontId="18" fillId="0" borderId="0" xfId="0" applyFont="1" applyAlignment="1">
      <alignment horizontal="center"/>
    </xf>
    <xf numFmtId="0" fontId="6" fillId="5" borderId="5" xfId="0" applyFont="1" applyFill="1" applyBorder="1" applyAlignment="1">
      <alignment vertical="center" wrapText="1"/>
    </xf>
    <xf numFmtId="0" fontId="6" fillId="5" borderId="38" xfId="0" applyFont="1" applyFill="1" applyBorder="1" applyAlignment="1">
      <alignment horizontal="left" vertical="center"/>
    </xf>
    <xf numFmtId="0" fontId="9" fillId="5" borderId="10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9" fillId="5" borderId="12" xfId="0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vertical="center"/>
    </xf>
    <xf numFmtId="0" fontId="9" fillId="5" borderId="12" xfId="0" applyFont="1" applyFill="1" applyBorder="1" applyAlignment="1">
      <alignment horizontal="left" vertical="center"/>
    </xf>
    <xf numFmtId="0" fontId="9" fillId="5" borderId="12" xfId="0" applyFont="1" applyFill="1" applyBorder="1" applyAlignment="1">
      <alignment horizontal="left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5" borderId="38" xfId="0" applyFont="1" applyFill="1" applyBorder="1" applyAlignment="1">
      <alignment horizontal="center" vertical="center"/>
    </xf>
    <xf numFmtId="0" fontId="8" fillId="0" borderId="39" xfId="0" applyFont="1" applyBorder="1"/>
    <xf numFmtId="0" fontId="2" fillId="0" borderId="49" xfId="0" applyFont="1" applyBorder="1" applyAlignment="1">
      <alignment horizontal="center"/>
    </xf>
    <xf numFmtId="0" fontId="0" fillId="0" borderId="49" xfId="0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6" fillId="0" borderId="49" xfId="0" applyFont="1" applyBorder="1" applyAlignment="1">
      <alignment horizontal="center" vertical="center" wrapText="1"/>
    </xf>
    <xf numFmtId="0" fontId="6" fillId="0" borderId="49" xfId="0" applyFont="1" applyBorder="1" applyAlignment="1">
      <alignment horizontal="center" vertical="center"/>
    </xf>
    <xf numFmtId="0" fontId="4" fillId="0" borderId="49" xfId="0" applyFont="1" applyBorder="1" applyAlignment="1">
      <alignment horizontal="center"/>
    </xf>
    <xf numFmtId="0" fontId="28" fillId="0" borderId="49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4" fillId="0" borderId="49" xfId="0" applyFont="1" applyBorder="1" applyAlignment="1">
      <alignment horizontal="center" wrapText="1"/>
    </xf>
    <xf numFmtId="0" fontId="5" fillId="0" borderId="49" xfId="0" applyFont="1" applyBorder="1" applyAlignment="1">
      <alignment horizontal="center" wrapText="1"/>
    </xf>
    <xf numFmtId="0" fontId="4" fillId="0" borderId="49" xfId="0" applyFont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/>
    </xf>
    <xf numFmtId="0" fontId="29" fillId="0" borderId="49" xfId="0" applyFont="1" applyBorder="1" applyAlignment="1">
      <alignment horizontal="center"/>
    </xf>
    <xf numFmtId="0" fontId="6" fillId="8" borderId="49" xfId="0" applyFont="1" applyFill="1" applyBorder="1" applyAlignment="1">
      <alignment horizontal="center" vertical="center"/>
    </xf>
    <xf numFmtId="0" fontId="7" fillId="8" borderId="50" xfId="0" applyFont="1" applyFill="1" applyBorder="1" applyAlignment="1">
      <alignment horizontal="center" vertical="center" wrapText="1"/>
    </xf>
    <xf numFmtId="0" fontId="7" fillId="8" borderId="52" xfId="0" applyFont="1" applyFill="1" applyBorder="1" applyAlignment="1">
      <alignment horizontal="center" vertical="center" wrapText="1"/>
    </xf>
    <xf numFmtId="0" fontId="7" fillId="8" borderId="51" xfId="0" applyFont="1" applyFill="1" applyBorder="1" applyAlignment="1">
      <alignment horizontal="center" vertical="center" wrapText="1"/>
    </xf>
    <xf numFmtId="0" fontId="6" fillId="0" borderId="50" xfId="0" applyFont="1" applyBorder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0" fontId="6" fillId="0" borderId="51" xfId="0" applyFont="1" applyBorder="1" applyAlignment="1">
      <alignment horizontal="center" vertical="center"/>
    </xf>
    <xf numFmtId="0" fontId="7" fillId="8" borderId="49" xfId="0" applyFont="1" applyFill="1" applyBorder="1" applyAlignment="1">
      <alignment horizontal="center" vertical="center" wrapText="1"/>
    </xf>
    <xf numFmtId="0" fontId="22" fillId="0" borderId="49" xfId="0" applyFont="1" applyBorder="1" applyAlignment="1">
      <alignment horizontal="center" vertical="center"/>
    </xf>
    <xf numFmtId="0" fontId="21" fillId="0" borderId="49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10" fillId="0" borderId="50" xfId="0" applyFont="1" applyBorder="1" applyAlignment="1">
      <alignment horizontal="center"/>
    </xf>
    <xf numFmtId="0" fontId="10" fillId="0" borderId="52" xfId="0" applyFont="1" applyBorder="1" applyAlignment="1">
      <alignment horizontal="center"/>
    </xf>
    <xf numFmtId="0" fontId="10" fillId="0" borderId="51" xfId="0" applyFont="1" applyBorder="1" applyAlignment="1">
      <alignment horizontal="center"/>
    </xf>
    <xf numFmtId="0" fontId="10" fillId="0" borderId="50" xfId="0" applyFont="1" applyBorder="1" applyAlignment="1">
      <alignment horizontal="center" vertical="center"/>
    </xf>
    <xf numFmtId="0" fontId="10" fillId="0" borderId="52" xfId="0" applyFont="1" applyBorder="1" applyAlignment="1">
      <alignment horizontal="center" vertical="center"/>
    </xf>
    <xf numFmtId="0" fontId="10" fillId="0" borderId="51" xfId="0" applyFont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  <xf numFmtId="0" fontId="4" fillId="0" borderId="50" xfId="0" applyFont="1" applyBorder="1" applyAlignment="1">
      <alignment horizontal="center"/>
    </xf>
    <xf numFmtId="0" fontId="4" fillId="0" borderId="52" xfId="0" applyFont="1" applyBorder="1" applyAlignment="1">
      <alignment horizontal="center"/>
    </xf>
    <xf numFmtId="0" fontId="4" fillId="0" borderId="51" xfId="0" applyFont="1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1" fillId="0" borderId="49" xfId="0" applyFont="1" applyBorder="1" applyAlignment="1">
      <alignment horizontal="center"/>
    </xf>
    <xf numFmtId="0" fontId="3" fillId="0" borderId="49" xfId="0" applyFont="1" applyBorder="1" applyAlignment="1">
      <alignment horizontal="center"/>
    </xf>
    <xf numFmtId="0" fontId="6" fillId="0" borderId="43" xfId="0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6" fillId="0" borderId="12" xfId="0" applyFont="1" applyBorder="1" applyAlignment="1">
      <alignment horizontal="left" vertical="center" wrapText="1"/>
    </xf>
    <xf numFmtId="0" fontId="6" fillId="2" borderId="35" xfId="0" applyFont="1" applyFill="1" applyBorder="1" applyAlignment="1">
      <alignment horizontal="center" vertical="center"/>
    </xf>
    <xf numFmtId="0" fontId="9" fillId="2" borderId="13" xfId="0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left" vertical="center"/>
    </xf>
    <xf numFmtId="0" fontId="6" fillId="0" borderId="12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8" fillId="0" borderId="1" xfId="0" applyFont="1" applyBorder="1"/>
    <xf numFmtId="0" fontId="7" fillId="0" borderId="5" xfId="0" applyFont="1" applyBorder="1" applyAlignment="1">
      <alignment horizontal="center" vertical="center"/>
    </xf>
    <xf numFmtId="0" fontId="6" fillId="0" borderId="7" xfId="0" applyFont="1" applyBorder="1" applyAlignment="1">
      <alignment vertical="center"/>
    </xf>
    <xf numFmtId="0" fontId="7" fillId="0" borderId="7" xfId="0" applyFont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left" vertical="center"/>
    </xf>
    <xf numFmtId="0" fontId="6" fillId="2" borderId="5" xfId="0" applyFont="1" applyFill="1" applyBorder="1" applyAlignment="1">
      <alignment vertical="center"/>
    </xf>
    <xf numFmtId="0" fontId="6" fillId="6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top" wrapText="1"/>
    </xf>
    <xf numFmtId="0" fontId="6" fillId="2" borderId="5" xfId="0" applyFont="1" applyFill="1" applyBorder="1" applyAlignment="1">
      <alignment horizontal="left" vertical="center" wrapText="1"/>
    </xf>
    <xf numFmtId="0" fontId="24" fillId="6" borderId="44" xfId="0" applyFont="1" applyFill="1" applyBorder="1" applyAlignment="1">
      <alignment horizontal="center"/>
    </xf>
    <xf numFmtId="0" fontId="8" fillId="0" borderId="45" xfId="0" applyFont="1" applyBorder="1"/>
    <xf numFmtId="0" fontId="8" fillId="0" borderId="46" xfId="0" applyFont="1" applyBorder="1"/>
    <xf numFmtId="0" fontId="25" fillId="2" borderId="47" xfId="0" applyFont="1" applyFill="1" applyBorder="1" applyAlignment="1">
      <alignment horizontal="center"/>
    </xf>
    <xf numFmtId="0" fontId="8" fillId="0" borderId="42" xfId="0" applyFont="1" applyBorder="1"/>
    <xf numFmtId="0" fontId="8" fillId="0" borderId="48" xfId="0" applyFont="1" applyBorder="1"/>
    <xf numFmtId="0" fontId="6" fillId="0" borderId="0" xfId="0" applyFont="1" applyAlignment="1">
      <alignment horizontal="center"/>
    </xf>
    <xf numFmtId="0" fontId="25" fillId="2" borderId="47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6096000" cy="201930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28575</xdr:colOff>
      <xdr:row>9</xdr:row>
      <xdr:rowOff>180975</xdr:rowOff>
    </xdr:from>
    <xdr:ext cx="4533900" cy="4752975"/>
    <xdr:pic>
      <xdr:nvPicPr>
        <xdr:cNvPr id="3" name="image3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1076325</xdr:colOff>
      <xdr:row>42</xdr:row>
      <xdr:rowOff>0</xdr:rowOff>
    </xdr:from>
    <xdr:ext cx="6867525" cy="4705350"/>
    <xdr:pic>
      <xdr:nvPicPr>
        <xdr:cNvPr id="4" name="image5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92</xdr:row>
      <xdr:rowOff>85725</xdr:rowOff>
    </xdr:from>
    <xdr:ext cx="5429250" cy="1857375"/>
    <xdr:pic>
      <xdr:nvPicPr>
        <xdr:cNvPr id="5" name="image1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148</xdr:row>
      <xdr:rowOff>0</xdr:rowOff>
    </xdr:from>
    <xdr:ext cx="5362575" cy="1809750"/>
    <xdr:pic>
      <xdr:nvPicPr>
        <xdr:cNvPr id="6" name="image4.png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0153650" cy="6296025"/>
    <xdr:pic>
      <xdr:nvPicPr>
        <xdr:cNvPr id="2" name="image6.png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defaultColWidth="14.42578125" defaultRowHeight="15" customHeight="1"/>
  <cols>
    <col min="1" max="1" width="6.28515625" customWidth="1"/>
    <col min="2" max="2" width="8.7109375" customWidth="1"/>
    <col min="3" max="3" width="16.7109375" customWidth="1"/>
    <col min="4" max="4" width="18.85546875" customWidth="1"/>
    <col min="5" max="5" width="9.7109375" customWidth="1"/>
    <col min="6" max="6" width="57" customWidth="1"/>
    <col min="7" max="7" width="13.28515625" customWidth="1"/>
    <col min="8" max="8" width="30.85546875" customWidth="1"/>
    <col min="9" max="9" width="8.7109375" hidden="1" customWidth="1"/>
    <col min="10" max="14" width="12.42578125" hidden="1" customWidth="1"/>
    <col min="15" max="17" width="8.7109375" hidden="1" customWidth="1"/>
    <col min="18" max="24" width="8.7109375" customWidth="1"/>
    <col min="25" max="25" width="12.28515625" customWidth="1"/>
    <col min="26" max="26" width="8.7109375" customWidth="1"/>
  </cols>
  <sheetData>
    <row r="1" spans="1:16">
      <c r="D1" s="68"/>
      <c r="M1" s="69"/>
      <c r="N1" s="70"/>
      <c r="O1" s="71"/>
      <c r="P1" s="72"/>
    </row>
    <row r="2" spans="1:16" ht="19.5" customHeight="1">
      <c r="A2" s="344" t="s">
        <v>2</v>
      </c>
      <c r="B2" s="346" t="s">
        <v>3</v>
      </c>
      <c r="C2" s="339" t="s">
        <v>11</v>
      </c>
      <c r="D2" s="332" t="s">
        <v>1915</v>
      </c>
      <c r="E2" s="339" t="s">
        <v>7</v>
      </c>
      <c r="F2" s="339" t="s">
        <v>6</v>
      </c>
      <c r="G2" s="348" t="s">
        <v>10</v>
      </c>
      <c r="H2" s="339" t="s">
        <v>9</v>
      </c>
      <c r="I2" s="340" t="s">
        <v>1916</v>
      </c>
      <c r="J2" s="341"/>
      <c r="K2" s="342"/>
      <c r="L2" s="340" t="s">
        <v>1917</v>
      </c>
      <c r="M2" s="341"/>
      <c r="N2" s="341"/>
      <c r="O2" s="341"/>
      <c r="P2" s="343"/>
    </row>
    <row r="3" spans="1:16" ht="26.25" customHeight="1">
      <c r="A3" s="345"/>
      <c r="B3" s="347"/>
      <c r="C3" s="324"/>
      <c r="D3" s="324"/>
      <c r="E3" s="324"/>
      <c r="F3" s="324"/>
      <c r="G3" s="324"/>
      <c r="H3" s="324"/>
      <c r="I3" s="73" t="s">
        <v>12</v>
      </c>
      <c r="J3" s="73" t="s">
        <v>1918</v>
      </c>
      <c r="K3" s="74" t="s">
        <v>1919</v>
      </c>
      <c r="L3" s="73" t="s">
        <v>12</v>
      </c>
      <c r="M3" s="73" t="s">
        <v>1918</v>
      </c>
      <c r="N3" s="75" t="s">
        <v>1919</v>
      </c>
      <c r="O3" s="76" t="s">
        <v>1920</v>
      </c>
      <c r="P3" s="77" t="s">
        <v>1921</v>
      </c>
    </row>
    <row r="4" spans="1:16">
      <c r="A4" s="78">
        <v>1</v>
      </c>
      <c r="B4" s="79">
        <v>1000</v>
      </c>
      <c r="C4" s="335" t="s">
        <v>22</v>
      </c>
      <c r="D4" s="328" t="s">
        <v>1922</v>
      </c>
      <c r="E4" s="7" t="s">
        <v>20</v>
      </c>
      <c r="F4" s="7" t="s">
        <v>1923</v>
      </c>
      <c r="G4" s="7" t="s">
        <v>21</v>
      </c>
      <c r="H4" s="7"/>
      <c r="I4" s="80">
        <v>0.3125</v>
      </c>
      <c r="J4" s="80">
        <v>0.64583333333333337</v>
      </c>
      <c r="K4" s="80">
        <v>4.1666666666666664E-2</v>
      </c>
      <c r="L4" s="80">
        <v>0.3125</v>
      </c>
      <c r="M4" s="81">
        <v>0.58333333333333337</v>
      </c>
      <c r="N4" s="82">
        <v>4.1666666666666664E-2</v>
      </c>
      <c r="O4" s="83">
        <v>0.22916666666666666</v>
      </c>
      <c r="P4" s="84" t="s">
        <v>1924</v>
      </c>
    </row>
    <row r="5" spans="1:16">
      <c r="A5" s="78">
        <v>2</v>
      </c>
      <c r="B5" s="79">
        <v>1000</v>
      </c>
      <c r="C5" s="323"/>
      <c r="D5" s="323"/>
      <c r="E5" s="7" t="s">
        <v>28</v>
      </c>
      <c r="F5" s="7" t="s">
        <v>1925</v>
      </c>
      <c r="G5" s="7" t="s">
        <v>29</v>
      </c>
      <c r="H5" s="7"/>
      <c r="I5" s="80">
        <v>0.3125</v>
      </c>
      <c r="J5" s="80">
        <v>0.64583333333333337</v>
      </c>
      <c r="K5" s="80">
        <v>4.1666666666666664E-2</v>
      </c>
      <c r="L5" s="80">
        <v>0.3125</v>
      </c>
      <c r="M5" s="81">
        <v>0.58333333333333337</v>
      </c>
      <c r="N5" s="82">
        <v>4.1666666666666664E-2</v>
      </c>
      <c r="O5" s="83">
        <v>0.22916666666666666</v>
      </c>
      <c r="P5" s="84" t="s">
        <v>1924</v>
      </c>
    </row>
    <row r="6" spans="1:16" hidden="1">
      <c r="A6" s="78">
        <v>3</v>
      </c>
      <c r="B6" s="79">
        <v>1000</v>
      </c>
      <c r="C6" s="323"/>
      <c r="D6" s="324"/>
      <c r="E6" s="16" t="s">
        <v>32</v>
      </c>
      <c r="F6" s="16" t="s">
        <v>1926</v>
      </c>
      <c r="G6" s="16" t="s">
        <v>33</v>
      </c>
      <c r="H6" s="16"/>
      <c r="I6" s="85"/>
      <c r="J6" s="85"/>
      <c r="K6" s="85"/>
      <c r="L6" s="85"/>
      <c r="M6" s="85"/>
      <c r="N6" s="86"/>
      <c r="O6" s="87"/>
      <c r="P6" s="88"/>
    </row>
    <row r="7" spans="1:16">
      <c r="A7" s="78">
        <v>4</v>
      </c>
      <c r="B7" s="79">
        <v>1000</v>
      </c>
      <c r="C7" s="323"/>
      <c r="D7" s="327" t="s">
        <v>1927</v>
      </c>
      <c r="E7" s="7" t="s">
        <v>44</v>
      </c>
      <c r="F7" s="7" t="s">
        <v>43</v>
      </c>
      <c r="G7" s="6">
        <v>1111150005</v>
      </c>
      <c r="H7" s="7"/>
      <c r="I7" s="80">
        <v>0.3125</v>
      </c>
      <c r="J7" s="80">
        <v>0.64583333333333337</v>
      </c>
      <c r="K7" s="80">
        <v>4.1666666666666664E-2</v>
      </c>
      <c r="L7" s="80">
        <v>0.3125</v>
      </c>
      <c r="M7" s="81">
        <v>0.58333333333333337</v>
      </c>
      <c r="N7" s="82">
        <v>4.1666666666666664E-2</v>
      </c>
      <c r="O7" s="83">
        <v>0.22916666666666666</v>
      </c>
      <c r="P7" s="84" t="s">
        <v>1924</v>
      </c>
    </row>
    <row r="8" spans="1:16">
      <c r="A8" s="78">
        <v>5</v>
      </c>
      <c r="B8" s="79">
        <v>1000</v>
      </c>
      <c r="C8" s="324"/>
      <c r="D8" s="324"/>
      <c r="E8" s="7" t="s">
        <v>47</v>
      </c>
      <c r="F8" s="7" t="s">
        <v>46</v>
      </c>
      <c r="G8" s="6">
        <v>1111150007</v>
      </c>
      <c r="H8" s="7"/>
      <c r="I8" s="80">
        <v>0.3125</v>
      </c>
      <c r="J8" s="80">
        <v>0.64583333333333337</v>
      </c>
      <c r="K8" s="80">
        <v>4.1666666666666664E-2</v>
      </c>
      <c r="L8" s="80">
        <v>0.3125</v>
      </c>
      <c r="M8" s="81">
        <v>0.58333333333333337</v>
      </c>
      <c r="N8" s="82">
        <v>4.1666666666666664E-2</v>
      </c>
      <c r="O8" s="83">
        <v>0.22916666666666666</v>
      </c>
      <c r="P8" s="84" t="s">
        <v>1924</v>
      </c>
    </row>
    <row r="9" spans="1:16">
      <c r="A9" s="78">
        <v>6</v>
      </c>
      <c r="B9" s="79">
        <v>1000</v>
      </c>
      <c r="C9" s="329" t="s">
        <v>51</v>
      </c>
      <c r="D9" s="327" t="s">
        <v>51</v>
      </c>
      <c r="E9" s="7" t="s">
        <v>54</v>
      </c>
      <c r="F9" s="7" t="s">
        <v>53</v>
      </c>
      <c r="G9" s="7" t="s">
        <v>55</v>
      </c>
      <c r="H9" s="7"/>
      <c r="I9" s="80">
        <v>0.3125</v>
      </c>
      <c r="J9" s="80">
        <v>0.3125</v>
      </c>
      <c r="K9" s="7">
        <v>0</v>
      </c>
      <c r="L9" s="80">
        <v>0.3125</v>
      </c>
      <c r="M9" s="81">
        <v>0.3125</v>
      </c>
      <c r="N9" s="89">
        <v>0</v>
      </c>
      <c r="O9" s="90" t="s">
        <v>1928</v>
      </c>
      <c r="P9" s="84" t="s">
        <v>1924</v>
      </c>
    </row>
    <row r="10" spans="1:16">
      <c r="A10" s="78">
        <v>7</v>
      </c>
      <c r="B10" s="79">
        <v>1000</v>
      </c>
      <c r="C10" s="323"/>
      <c r="D10" s="323"/>
      <c r="E10" s="7" t="s">
        <v>59</v>
      </c>
      <c r="F10" s="7" t="s">
        <v>58</v>
      </c>
      <c r="G10" s="7" t="s">
        <v>55</v>
      </c>
      <c r="H10" s="7"/>
      <c r="I10" s="80">
        <v>0.3125</v>
      </c>
      <c r="J10" s="80">
        <v>0.3125</v>
      </c>
      <c r="K10" s="7">
        <v>0</v>
      </c>
      <c r="L10" s="80">
        <v>0.3125</v>
      </c>
      <c r="M10" s="81">
        <v>0.3125</v>
      </c>
      <c r="N10" s="89">
        <v>0</v>
      </c>
      <c r="O10" s="90" t="s">
        <v>1928</v>
      </c>
      <c r="P10" s="84" t="s">
        <v>1924</v>
      </c>
    </row>
    <row r="11" spans="1:16">
      <c r="A11" s="78">
        <v>8</v>
      </c>
      <c r="B11" s="79">
        <v>1000</v>
      </c>
      <c r="C11" s="323"/>
      <c r="D11" s="323"/>
      <c r="E11" s="7" t="s">
        <v>62</v>
      </c>
      <c r="F11" s="7" t="s">
        <v>61</v>
      </c>
      <c r="G11" s="7" t="s">
        <v>55</v>
      </c>
      <c r="H11" s="7"/>
      <c r="I11" s="80">
        <v>0.3125</v>
      </c>
      <c r="J11" s="80">
        <v>0.3125</v>
      </c>
      <c r="K11" s="7">
        <v>0</v>
      </c>
      <c r="L11" s="80">
        <v>0.3125</v>
      </c>
      <c r="M11" s="81">
        <v>0.3125</v>
      </c>
      <c r="N11" s="89">
        <v>0</v>
      </c>
      <c r="O11" s="90" t="s">
        <v>1928</v>
      </c>
      <c r="P11" s="84" t="s">
        <v>1924</v>
      </c>
    </row>
    <row r="12" spans="1:16">
      <c r="A12" s="78">
        <v>9</v>
      </c>
      <c r="B12" s="79">
        <v>1000</v>
      </c>
      <c r="C12" s="323"/>
      <c r="D12" s="323"/>
      <c r="E12" s="7" t="s">
        <v>65</v>
      </c>
      <c r="F12" s="7" t="s">
        <v>64</v>
      </c>
      <c r="G12" s="7" t="s">
        <v>55</v>
      </c>
      <c r="H12" s="7"/>
      <c r="I12" s="80">
        <v>0.3125</v>
      </c>
      <c r="J12" s="80">
        <v>0.3125</v>
      </c>
      <c r="K12" s="7">
        <v>0</v>
      </c>
      <c r="L12" s="80">
        <v>0.3125</v>
      </c>
      <c r="M12" s="81">
        <v>0.3125</v>
      </c>
      <c r="N12" s="89">
        <v>0</v>
      </c>
      <c r="O12" s="90" t="s">
        <v>1928</v>
      </c>
      <c r="P12" s="84" t="s">
        <v>1924</v>
      </c>
    </row>
    <row r="13" spans="1:16">
      <c r="A13" s="78">
        <v>10</v>
      </c>
      <c r="B13" s="79">
        <v>1000</v>
      </c>
      <c r="C13" s="323"/>
      <c r="D13" s="323"/>
      <c r="E13" s="7" t="s">
        <v>68</v>
      </c>
      <c r="F13" s="7" t="s">
        <v>67</v>
      </c>
      <c r="G13" s="7" t="s">
        <v>55</v>
      </c>
      <c r="H13" s="7"/>
      <c r="I13" s="80">
        <v>0.3125</v>
      </c>
      <c r="J13" s="80">
        <v>0.3125</v>
      </c>
      <c r="K13" s="7">
        <v>0</v>
      </c>
      <c r="L13" s="80">
        <v>0.3125</v>
      </c>
      <c r="M13" s="81">
        <v>0.3125</v>
      </c>
      <c r="N13" s="89">
        <v>0</v>
      </c>
      <c r="O13" s="90" t="s">
        <v>1928</v>
      </c>
      <c r="P13" s="84" t="s">
        <v>1924</v>
      </c>
    </row>
    <row r="14" spans="1:16">
      <c r="A14" s="78">
        <v>11</v>
      </c>
      <c r="B14" s="79">
        <v>1000</v>
      </c>
      <c r="C14" s="323"/>
      <c r="D14" s="323"/>
      <c r="E14" s="7" t="s">
        <v>71</v>
      </c>
      <c r="F14" s="7" t="s">
        <v>70</v>
      </c>
      <c r="G14" s="7" t="s">
        <v>55</v>
      </c>
      <c r="H14" s="7"/>
      <c r="I14" s="80">
        <v>0.3125</v>
      </c>
      <c r="J14" s="80">
        <v>0.3125</v>
      </c>
      <c r="K14" s="7">
        <v>0</v>
      </c>
      <c r="L14" s="80">
        <v>0.3125</v>
      </c>
      <c r="M14" s="81">
        <v>0.3125</v>
      </c>
      <c r="N14" s="89">
        <v>0</v>
      </c>
      <c r="O14" s="90" t="s">
        <v>1928</v>
      </c>
      <c r="P14" s="84" t="s">
        <v>1924</v>
      </c>
    </row>
    <row r="15" spans="1:16">
      <c r="A15" s="78">
        <v>12</v>
      </c>
      <c r="B15" s="79">
        <v>1000</v>
      </c>
      <c r="C15" s="323"/>
      <c r="D15" s="323"/>
      <c r="E15" s="7" t="s">
        <v>74</v>
      </c>
      <c r="F15" s="7" t="s">
        <v>73</v>
      </c>
      <c r="G15" s="7" t="s">
        <v>55</v>
      </c>
      <c r="H15" s="7"/>
      <c r="I15" s="80">
        <v>0.3125</v>
      </c>
      <c r="J15" s="80">
        <v>0.3125</v>
      </c>
      <c r="K15" s="7">
        <v>0</v>
      </c>
      <c r="L15" s="80">
        <v>0.3125</v>
      </c>
      <c r="M15" s="81">
        <v>0.3125</v>
      </c>
      <c r="N15" s="89">
        <v>0</v>
      </c>
      <c r="O15" s="90" t="s">
        <v>1928</v>
      </c>
      <c r="P15" s="84" t="s">
        <v>1924</v>
      </c>
    </row>
    <row r="16" spans="1:16">
      <c r="A16" s="78">
        <v>13</v>
      </c>
      <c r="B16" s="79">
        <v>1000</v>
      </c>
      <c r="C16" s="324"/>
      <c r="D16" s="324"/>
      <c r="E16" s="7" t="s">
        <v>77</v>
      </c>
      <c r="F16" s="7" t="s">
        <v>76</v>
      </c>
      <c r="G16" s="7" t="s">
        <v>55</v>
      </c>
      <c r="H16" s="7"/>
      <c r="I16" s="80">
        <v>0.3125</v>
      </c>
      <c r="J16" s="80">
        <v>0.3125</v>
      </c>
      <c r="K16" s="7">
        <v>0</v>
      </c>
      <c r="L16" s="80">
        <v>0.3125</v>
      </c>
      <c r="M16" s="81">
        <v>0.3125</v>
      </c>
      <c r="N16" s="89">
        <v>0</v>
      </c>
      <c r="O16" s="90" t="s">
        <v>1928</v>
      </c>
      <c r="P16" s="84" t="s">
        <v>1924</v>
      </c>
    </row>
    <row r="17" spans="1:26">
      <c r="A17" s="78">
        <v>14</v>
      </c>
      <c r="B17" s="79">
        <v>1000</v>
      </c>
      <c r="C17" s="329" t="s">
        <v>78</v>
      </c>
      <c r="D17" s="91" t="s">
        <v>1929</v>
      </c>
      <c r="E17" s="16" t="s">
        <v>81</v>
      </c>
      <c r="F17" s="16" t="s">
        <v>80</v>
      </c>
      <c r="G17" s="16" t="s">
        <v>82</v>
      </c>
      <c r="H17" s="16" t="s">
        <v>38</v>
      </c>
      <c r="I17" s="80">
        <v>0.3125</v>
      </c>
      <c r="J17" s="80">
        <v>0.97916666666666663</v>
      </c>
      <c r="K17" s="80">
        <v>8.3333333333333329E-2</v>
      </c>
      <c r="L17" s="80">
        <v>0.3125</v>
      </c>
      <c r="M17" s="81">
        <v>0.91666666666666663</v>
      </c>
      <c r="N17" s="82">
        <v>8.3333333333333329E-2</v>
      </c>
      <c r="O17" s="83">
        <v>0.52083333333333337</v>
      </c>
      <c r="P17" s="84" t="s">
        <v>1924</v>
      </c>
    </row>
    <row r="18" spans="1:26">
      <c r="A18" s="78">
        <v>15</v>
      </c>
      <c r="B18" s="79">
        <v>1000</v>
      </c>
      <c r="C18" s="323"/>
      <c r="D18" s="327" t="s">
        <v>78</v>
      </c>
      <c r="E18" s="7" t="s">
        <v>87</v>
      </c>
      <c r="F18" s="7" t="s">
        <v>86</v>
      </c>
      <c r="G18" s="7" t="s">
        <v>88</v>
      </c>
      <c r="H18" s="7"/>
      <c r="I18" s="80">
        <v>0.3125</v>
      </c>
      <c r="J18" s="80">
        <v>0.64583333333333337</v>
      </c>
      <c r="K18" s="80">
        <v>4.1666666666666664E-2</v>
      </c>
      <c r="L18" s="80">
        <v>0.3125</v>
      </c>
      <c r="M18" s="81">
        <v>0.64583333333333337</v>
      </c>
      <c r="N18" s="82">
        <v>4.1666666666666664E-2</v>
      </c>
      <c r="O18" s="83">
        <v>0.29166666666666669</v>
      </c>
      <c r="P18" s="84" t="s">
        <v>1924</v>
      </c>
    </row>
    <row r="19" spans="1:26">
      <c r="A19" s="78">
        <v>16</v>
      </c>
      <c r="B19" s="79">
        <v>1000</v>
      </c>
      <c r="C19" s="323"/>
      <c r="D19" s="323"/>
      <c r="E19" s="7" t="s">
        <v>91</v>
      </c>
      <c r="F19" s="7" t="s">
        <v>90</v>
      </c>
      <c r="G19" s="7" t="s">
        <v>88</v>
      </c>
      <c r="H19" s="7"/>
      <c r="I19" s="80">
        <v>0.3125</v>
      </c>
      <c r="J19" s="80">
        <v>0.97916666666666663</v>
      </c>
      <c r="K19" s="80">
        <v>8.3333333333333329E-2</v>
      </c>
      <c r="L19" s="80">
        <v>0.3125</v>
      </c>
      <c r="M19" s="81">
        <v>0.91666666666666663</v>
      </c>
      <c r="N19" s="82">
        <v>8.3333333333333329E-2</v>
      </c>
      <c r="O19" s="83">
        <v>0.52083333333333337</v>
      </c>
      <c r="P19" s="84" t="s">
        <v>1924</v>
      </c>
    </row>
    <row r="20" spans="1:26" hidden="1">
      <c r="A20" s="78">
        <v>17</v>
      </c>
      <c r="B20" s="79">
        <v>1000</v>
      </c>
      <c r="C20" s="323"/>
      <c r="D20" s="323"/>
      <c r="E20" s="16" t="s">
        <v>94</v>
      </c>
      <c r="F20" s="16" t="s">
        <v>93</v>
      </c>
      <c r="G20" s="16" t="s">
        <v>88</v>
      </c>
      <c r="H20" s="16" t="s">
        <v>38</v>
      </c>
      <c r="I20" s="92"/>
      <c r="J20" s="92"/>
      <c r="K20" s="92"/>
      <c r="L20" s="92"/>
      <c r="M20" s="92"/>
      <c r="N20" s="93"/>
      <c r="O20" s="87"/>
      <c r="P20" s="88"/>
    </row>
    <row r="21" spans="1:26" ht="15.75" customHeight="1">
      <c r="A21" s="78">
        <v>18</v>
      </c>
      <c r="B21" s="79">
        <v>1000</v>
      </c>
      <c r="C21" s="324"/>
      <c r="D21" s="324"/>
      <c r="E21" s="7" t="s">
        <v>97</v>
      </c>
      <c r="F21" s="7" t="s">
        <v>96</v>
      </c>
      <c r="G21" s="7" t="s">
        <v>98</v>
      </c>
      <c r="H21" s="7"/>
      <c r="I21" s="94">
        <v>0.3125</v>
      </c>
      <c r="J21" s="94">
        <v>0.64583333333333337</v>
      </c>
      <c r="K21" s="94">
        <v>4.1666666666666664E-2</v>
      </c>
      <c r="L21" s="94">
        <v>0.3125</v>
      </c>
      <c r="M21" s="95">
        <v>0.64583333333333337</v>
      </c>
      <c r="N21" s="96">
        <v>4.1666666666666664E-2</v>
      </c>
      <c r="O21" s="83">
        <v>0.29166666666666669</v>
      </c>
      <c r="P21" s="84" t="s">
        <v>1924</v>
      </c>
    </row>
    <row r="22" spans="1:26" ht="15.75" customHeight="1">
      <c r="A22" s="78">
        <v>20</v>
      </c>
      <c r="B22" s="79">
        <v>1000</v>
      </c>
      <c r="C22" s="333" t="s">
        <v>1930</v>
      </c>
      <c r="D22" s="327" t="s">
        <v>1931</v>
      </c>
      <c r="E22" s="21" t="s">
        <v>116</v>
      </c>
      <c r="F22" s="21" t="s">
        <v>115</v>
      </c>
      <c r="G22" s="322" t="s">
        <v>117</v>
      </c>
      <c r="H22" s="7"/>
      <c r="I22" s="80">
        <v>0.3125</v>
      </c>
      <c r="J22" s="80">
        <v>0.3125</v>
      </c>
      <c r="K22" s="80">
        <v>0.125</v>
      </c>
      <c r="L22" s="80">
        <v>0.3125</v>
      </c>
      <c r="M22" s="81">
        <v>0.3125</v>
      </c>
      <c r="N22" s="82">
        <v>0.125</v>
      </c>
      <c r="O22" s="83">
        <v>0.875</v>
      </c>
      <c r="P22" s="84" t="s">
        <v>1924</v>
      </c>
      <c r="Q22" s="336" t="s">
        <v>1932</v>
      </c>
      <c r="R22" s="337"/>
      <c r="S22" s="337"/>
    </row>
    <row r="23" spans="1:26" ht="15.75" customHeight="1">
      <c r="A23" s="78">
        <v>21</v>
      </c>
      <c r="B23" s="79">
        <v>1000</v>
      </c>
      <c r="C23" s="323"/>
      <c r="D23" s="324"/>
      <c r="E23" s="21" t="s">
        <v>120</v>
      </c>
      <c r="F23" s="21" t="s">
        <v>119</v>
      </c>
      <c r="G23" s="324"/>
      <c r="H23" s="7"/>
      <c r="I23" s="80">
        <v>0.3125</v>
      </c>
      <c r="J23" s="80">
        <v>0.3125</v>
      </c>
      <c r="K23" s="80">
        <v>0.125</v>
      </c>
      <c r="L23" s="80">
        <v>0.3125</v>
      </c>
      <c r="M23" s="81">
        <v>0.3125</v>
      </c>
      <c r="N23" s="82">
        <v>0.125</v>
      </c>
      <c r="O23" s="83">
        <v>0.875</v>
      </c>
      <c r="P23" s="84" t="s">
        <v>1924</v>
      </c>
      <c r="Q23" s="338"/>
      <c r="R23" s="337"/>
      <c r="S23" s="337"/>
    </row>
    <row r="24" spans="1:26" ht="15.75" customHeight="1">
      <c r="A24" s="78">
        <v>22</v>
      </c>
      <c r="B24" s="79">
        <v>1000</v>
      </c>
      <c r="C24" s="323"/>
      <c r="D24" s="330" t="s">
        <v>1933</v>
      </c>
      <c r="E24" s="21" t="s">
        <v>1934</v>
      </c>
      <c r="F24" s="21" t="s">
        <v>1935</v>
      </c>
      <c r="G24" s="97">
        <v>1111012002</v>
      </c>
      <c r="H24" s="98" t="s">
        <v>1</v>
      </c>
      <c r="I24" s="80">
        <v>0.3125</v>
      </c>
      <c r="J24" s="80">
        <v>0.97916666666666663</v>
      </c>
      <c r="K24" s="80">
        <v>8.3333333333333329E-2</v>
      </c>
      <c r="L24" s="80">
        <v>0.3125</v>
      </c>
      <c r="M24" s="81">
        <v>0.97916666666666663</v>
      </c>
      <c r="N24" s="82">
        <v>8.3333333333333329E-2</v>
      </c>
      <c r="O24" s="83">
        <v>0.58333333333333337</v>
      </c>
      <c r="P24" s="84" t="s">
        <v>1924</v>
      </c>
    </row>
    <row r="25" spans="1:26" ht="15.75" customHeight="1">
      <c r="A25" s="78">
        <v>22</v>
      </c>
      <c r="B25" s="79">
        <v>1000</v>
      </c>
      <c r="C25" s="323"/>
      <c r="D25" s="324"/>
      <c r="E25" s="21" t="s">
        <v>124</v>
      </c>
      <c r="F25" s="21" t="s">
        <v>123</v>
      </c>
      <c r="G25" s="9">
        <v>1111012001</v>
      </c>
      <c r="H25" s="7"/>
      <c r="I25" s="80">
        <v>0.3125</v>
      </c>
      <c r="J25" s="80">
        <v>0.97916666666666663</v>
      </c>
      <c r="K25" s="80">
        <v>8.3333333333333329E-2</v>
      </c>
      <c r="L25" s="80">
        <v>0.3125</v>
      </c>
      <c r="M25" s="81">
        <v>0.97916666666666663</v>
      </c>
      <c r="N25" s="82">
        <v>8.3333333333333329E-2</v>
      </c>
      <c r="O25" s="83">
        <v>0.58333333333333337</v>
      </c>
      <c r="P25" s="84" t="s">
        <v>1924</v>
      </c>
    </row>
    <row r="26" spans="1:26" ht="15.75" customHeight="1">
      <c r="A26" s="78">
        <v>23</v>
      </c>
      <c r="B26" s="79">
        <v>1000</v>
      </c>
      <c r="C26" s="323"/>
      <c r="D26" s="327" t="s">
        <v>1936</v>
      </c>
      <c r="E26" s="21" t="s">
        <v>129</v>
      </c>
      <c r="F26" s="21" t="s">
        <v>128</v>
      </c>
      <c r="G26" s="334" t="s">
        <v>125</v>
      </c>
      <c r="H26" s="7">
        <v>12</v>
      </c>
      <c r="I26" s="80">
        <v>0.3125</v>
      </c>
      <c r="J26" s="80">
        <v>0.97916666666666663</v>
      </c>
      <c r="K26" s="80">
        <v>8.3333333333333329E-2</v>
      </c>
      <c r="L26" s="80">
        <v>0.3125</v>
      </c>
      <c r="M26" s="81">
        <v>0.97916666666666663</v>
      </c>
      <c r="N26" s="82">
        <v>8.3333333333333329E-2</v>
      </c>
      <c r="O26" s="83">
        <v>0.58333333333333337</v>
      </c>
      <c r="P26" s="84" t="s">
        <v>1924</v>
      </c>
    </row>
    <row r="27" spans="1:26" ht="15.75" customHeight="1">
      <c r="A27" s="78">
        <v>24</v>
      </c>
      <c r="B27" s="79">
        <v>1000</v>
      </c>
      <c r="C27" s="323"/>
      <c r="D27" s="323"/>
      <c r="E27" s="21" t="s">
        <v>133</v>
      </c>
      <c r="F27" s="21" t="s">
        <v>132</v>
      </c>
      <c r="G27" s="323"/>
      <c r="H27" s="7">
        <v>16</v>
      </c>
      <c r="I27" s="80">
        <v>0.3125</v>
      </c>
      <c r="J27" s="80">
        <v>0.97916666666666663</v>
      </c>
      <c r="K27" s="80">
        <v>8.3333333333333329E-2</v>
      </c>
      <c r="L27" s="80">
        <v>0.3125</v>
      </c>
      <c r="M27" s="81">
        <v>0.97916666666666663</v>
      </c>
      <c r="N27" s="82">
        <v>8.3333333333333329E-2</v>
      </c>
      <c r="O27" s="83">
        <v>0.58333333333333337</v>
      </c>
      <c r="P27" s="84" t="s">
        <v>1924</v>
      </c>
    </row>
    <row r="28" spans="1:26" ht="15.75" customHeight="1">
      <c r="A28" s="99">
        <v>25</v>
      </c>
      <c r="B28" s="100">
        <v>1000</v>
      </c>
      <c r="C28" s="323"/>
      <c r="D28" s="323"/>
      <c r="E28" s="21" t="s">
        <v>137</v>
      </c>
      <c r="F28" s="21" t="s">
        <v>136</v>
      </c>
      <c r="G28" s="323"/>
      <c r="H28" s="98">
        <v>16</v>
      </c>
      <c r="I28" s="101">
        <v>0.3125</v>
      </c>
      <c r="J28" s="101">
        <v>0.97916666666666663</v>
      </c>
      <c r="K28" s="101">
        <v>8.3333333333333329E-2</v>
      </c>
      <c r="L28" s="101">
        <v>0.3125</v>
      </c>
      <c r="M28" s="101">
        <v>0.97916666666666663</v>
      </c>
      <c r="N28" s="102">
        <v>8.3333333333333329E-2</v>
      </c>
      <c r="O28" s="103">
        <v>0.58333333333333337</v>
      </c>
      <c r="P28" s="104" t="s">
        <v>1924</v>
      </c>
      <c r="Q28" s="105"/>
      <c r="R28" s="105" t="s">
        <v>1937</v>
      </c>
      <c r="S28" s="105"/>
      <c r="T28" s="105"/>
      <c r="U28" s="105"/>
      <c r="V28" s="105"/>
      <c r="W28" s="105"/>
      <c r="X28" s="105"/>
      <c r="Y28" s="105"/>
      <c r="Z28" s="105"/>
    </row>
    <row r="29" spans="1:26" ht="15.75" customHeight="1">
      <c r="A29" s="78">
        <v>26</v>
      </c>
      <c r="B29" s="79">
        <v>1000</v>
      </c>
      <c r="C29" s="323"/>
      <c r="D29" s="323"/>
      <c r="E29" s="21" t="s">
        <v>140</v>
      </c>
      <c r="F29" s="21" t="s">
        <v>139</v>
      </c>
      <c r="G29" s="323"/>
      <c r="H29" s="7">
        <v>14</v>
      </c>
      <c r="I29" s="80">
        <v>0.3125</v>
      </c>
      <c r="J29" s="80">
        <v>0.97916666666666663</v>
      </c>
      <c r="K29" s="80">
        <v>8.3333333333333329E-2</v>
      </c>
      <c r="L29" s="80">
        <v>0.3125</v>
      </c>
      <c r="M29" s="81">
        <v>0.97916666666666663</v>
      </c>
      <c r="N29" s="82">
        <v>8.3333333333333329E-2</v>
      </c>
      <c r="O29" s="83">
        <v>0.58333333333333337</v>
      </c>
      <c r="P29" s="84" t="s">
        <v>1924</v>
      </c>
    </row>
    <row r="30" spans="1:26" ht="15.75" customHeight="1">
      <c r="A30" s="78">
        <v>27</v>
      </c>
      <c r="B30" s="79">
        <v>1000</v>
      </c>
      <c r="C30" s="324"/>
      <c r="D30" s="324"/>
      <c r="E30" s="21" t="s">
        <v>143</v>
      </c>
      <c r="F30" s="21" t="s">
        <v>142</v>
      </c>
      <c r="G30" s="324"/>
      <c r="H30" s="7"/>
      <c r="I30" s="80">
        <v>0.3125</v>
      </c>
      <c r="J30" s="80">
        <v>0.97916666666666663</v>
      </c>
      <c r="K30" s="80">
        <v>8.3333333333333329E-2</v>
      </c>
      <c r="L30" s="80">
        <v>0.3125</v>
      </c>
      <c r="M30" s="81">
        <v>0.97916666666666663</v>
      </c>
      <c r="N30" s="82">
        <v>8.3333333333333329E-2</v>
      </c>
      <c r="O30" s="83">
        <v>0.58333333333333337</v>
      </c>
      <c r="P30" s="84" t="s">
        <v>1924</v>
      </c>
    </row>
    <row r="31" spans="1:26" ht="15" customHeight="1">
      <c r="A31" s="78">
        <v>28</v>
      </c>
      <c r="B31" s="79">
        <v>1000</v>
      </c>
      <c r="C31" s="326" t="s">
        <v>1938</v>
      </c>
      <c r="D31" s="327" t="s">
        <v>145</v>
      </c>
      <c r="E31" s="21" t="s">
        <v>148</v>
      </c>
      <c r="F31" s="21" t="s">
        <v>147</v>
      </c>
      <c r="G31" s="7" t="s">
        <v>149</v>
      </c>
      <c r="H31" s="7"/>
      <c r="I31" s="80">
        <v>0.3125</v>
      </c>
      <c r="J31" s="80">
        <v>0.97916666666666663</v>
      </c>
      <c r="K31" s="80">
        <v>8.3333333333333329E-2</v>
      </c>
      <c r="L31" s="80">
        <v>0.3125</v>
      </c>
      <c r="M31" s="81">
        <v>0.91666666666666663</v>
      </c>
      <c r="N31" s="82">
        <v>0.14583333333333334</v>
      </c>
      <c r="O31" s="83">
        <v>0.45833333333333331</v>
      </c>
      <c r="P31" s="84" t="s">
        <v>1924</v>
      </c>
    </row>
    <row r="32" spans="1:26" ht="15.75" customHeight="1">
      <c r="A32" s="78">
        <v>29</v>
      </c>
      <c r="B32" s="79">
        <v>1000</v>
      </c>
      <c r="C32" s="323"/>
      <c r="D32" s="323"/>
      <c r="E32" s="21" t="s">
        <v>154</v>
      </c>
      <c r="F32" s="21" t="s">
        <v>153</v>
      </c>
      <c r="G32" s="7" t="s">
        <v>149</v>
      </c>
      <c r="H32" s="7" t="s">
        <v>1939</v>
      </c>
      <c r="I32" s="80">
        <v>0.3125</v>
      </c>
      <c r="J32" s="80">
        <v>0.97916666666666663</v>
      </c>
      <c r="K32" s="80">
        <v>8.3333333333333329E-2</v>
      </c>
      <c r="L32" s="80">
        <v>0.3125</v>
      </c>
      <c r="M32" s="81">
        <v>0.91666666666666663</v>
      </c>
      <c r="N32" s="82">
        <v>0.14583333333333334</v>
      </c>
      <c r="O32" s="83">
        <v>0.45833333333333331</v>
      </c>
      <c r="P32" s="84" t="s">
        <v>1924</v>
      </c>
    </row>
    <row r="33" spans="1:16" ht="15.75" customHeight="1">
      <c r="A33" s="78">
        <v>30</v>
      </c>
      <c r="B33" s="79">
        <v>1000</v>
      </c>
      <c r="C33" s="323"/>
      <c r="D33" s="324"/>
      <c r="E33" s="21" t="s">
        <v>157</v>
      </c>
      <c r="F33" s="21" t="s">
        <v>156</v>
      </c>
      <c r="G33" s="7" t="s">
        <v>149</v>
      </c>
      <c r="H33" s="7"/>
      <c r="I33" s="80">
        <v>0.3125</v>
      </c>
      <c r="J33" s="80">
        <v>0.64583333333333337</v>
      </c>
      <c r="K33" s="80">
        <v>4.1666666666666664E-2</v>
      </c>
      <c r="L33" s="80">
        <v>0.3125</v>
      </c>
      <c r="M33" s="81">
        <v>0.58333333333333337</v>
      </c>
      <c r="N33" s="82">
        <v>4.1666666666666664E-2</v>
      </c>
      <c r="O33" s="83">
        <v>0.22916666666666666</v>
      </c>
      <c r="P33" s="84" t="s">
        <v>1924</v>
      </c>
    </row>
    <row r="34" spans="1:16" ht="15.75" customHeight="1">
      <c r="A34" s="78">
        <v>31</v>
      </c>
      <c r="B34" s="79">
        <v>1000</v>
      </c>
      <c r="C34" s="323"/>
      <c r="D34" s="327" t="s">
        <v>158</v>
      </c>
      <c r="E34" s="21" t="s">
        <v>161</v>
      </c>
      <c r="F34" s="21" t="s">
        <v>160</v>
      </c>
      <c r="G34" s="322">
        <v>1111023001</v>
      </c>
      <c r="H34" s="7"/>
      <c r="I34" s="80">
        <v>0.3125</v>
      </c>
      <c r="J34" s="80">
        <v>0.3125</v>
      </c>
      <c r="K34" s="80">
        <v>0.125</v>
      </c>
      <c r="L34" s="80">
        <v>0.3125</v>
      </c>
      <c r="M34" s="81">
        <v>0.25</v>
      </c>
      <c r="N34" s="82">
        <v>0.125</v>
      </c>
      <c r="O34" s="83">
        <v>0.8125</v>
      </c>
      <c r="P34" s="84" t="s">
        <v>1924</v>
      </c>
    </row>
    <row r="35" spans="1:16" ht="15.75" customHeight="1">
      <c r="A35" s="78">
        <v>32</v>
      </c>
      <c r="B35" s="79">
        <v>1000</v>
      </c>
      <c r="C35" s="323"/>
      <c r="D35" s="323"/>
      <c r="E35" s="21" t="s">
        <v>164</v>
      </c>
      <c r="F35" s="21" t="s">
        <v>163</v>
      </c>
      <c r="G35" s="323"/>
      <c r="H35" s="7"/>
      <c r="I35" s="80">
        <v>0.3125</v>
      </c>
      <c r="J35" s="80">
        <v>0.64583333333333337</v>
      </c>
      <c r="K35" s="80">
        <v>4.1666666666666664E-2</v>
      </c>
      <c r="L35" s="80">
        <v>0.3125</v>
      </c>
      <c r="M35" s="81">
        <v>0.58333333333333337</v>
      </c>
      <c r="N35" s="82">
        <v>4.1666666666666664E-2</v>
      </c>
      <c r="O35" s="83">
        <v>0.22916666666666666</v>
      </c>
      <c r="P35" s="84" t="s">
        <v>1924</v>
      </c>
    </row>
    <row r="36" spans="1:16" ht="15.75" customHeight="1">
      <c r="A36" s="78">
        <v>33</v>
      </c>
      <c r="B36" s="79">
        <v>1000</v>
      </c>
      <c r="C36" s="323"/>
      <c r="D36" s="324"/>
      <c r="E36" s="21" t="s">
        <v>167</v>
      </c>
      <c r="F36" s="21" t="s">
        <v>166</v>
      </c>
      <c r="G36" s="324"/>
      <c r="H36" s="7"/>
      <c r="I36" s="80">
        <v>0.3125</v>
      </c>
      <c r="J36" s="80">
        <v>0.64583333333333337</v>
      </c>
      <c r="K36" s="80">
        <v>4.1666666666666664E-2</v>
      </c>
      <c r="L36" s="80">
        <v>0.3125</v>
      </c>
      <c r="M36" s="81">
        <v>0.58333333333333337</v>
      </c>
      <c r="N36" s="82">
        <v>4.1666666666666664E-2</v>
      </c>
      <c r="O36" s="83">
        <v>0.22916666666666666</v>
      </c>
      <c r="P36" s="84" t="s">
        <v>1924</v>
      </c>
    </row>
    <row r="37" spans="1:16" ht="15.75" customHeight="1">
      <c r="A37" s="78">
        <v>34</v>
      </c>
      <c r="B37" s="79">
        <v>1000</v>
      </c>
      <c r="C37" s="323"/>
      <c r="D37" s="91" t="s">
        <v>168</v>
      </c>
      <c r="E37" s="21" t="s">
        <v>171</v>
      </c>
      <c r="F37" s="21" t="s">
        <v>170</v>
      </c>
      <c r="G37" s="19" t="s">
        <v>172</v>
      </c>
      <c r="H37" s="7"/>
      <c r="I37" s="80">
        <v>0.3125</v>
      </c>
      <c r="J37" s="80">
        <v>0.64583333333333337</v>
      </c>
      <c r="K37" s="80">
        <v>4.1666666666666664E-2</v>
      </c>
      <c r="L37" s="80">
        <v>0.3125</v>
      </c>
      <c r="M37" s="81">
        <v>0.58333333333333337</v>
      </c>
      <c r="N37" s="82">
        <v>4.1666666666666664E-2</v>
      </c>
      <c r="O37" s="83">
        <v>0.22916666666666666</v>
      </c>
      <c r="P37" s="84" t="s">
        <v>1924</v>
      </c>
    </row>
    <row r="38" spans="1:16" ht="15.75" customHeight="1">
      <c r="A38" s="78">
        <v>35</v>
      </c>
      <c r="B38" s="79">
        <v>1000</v>
      </c>
      <c r="C38" s="324"/>
      <c r="D38" s="91" t="s">
        <v>206</v>
      </c>
      <c r="E38" s="21" t="s">
        <v>209</v>
      </c>
      <c r="F38" s="21" t="s">
        <v>208</v>
      </c>
      <c r="G38" s="6">
        <v>1111025002</v>
      </c>
      <c r="H38" s="7"/>
      <c r="I38" s="80">
        <v>0.3125</v>
      </c>
      <c r="J38" s="80">
        <v>0.64583333333333337</v>
      </c>
      <c r="K38" s="80">
        <v>4.1666666666666664E-2</v>
      </c>
      <c r="L38" s="80">
        <v>0.3125</v>
      </c>
      <c r="M38" s="81">
        <v>0.58333333333333337</v>
      </c>
      <c r="N38" s="82">
        <v>4.1666666666666664E-2</v>
      </c>
      <c r="O38" s="83">
        <v>0.22916666666666666</v>
      </c>
      <c r="P38" s="84" t="s">
        <v>1924</v>
      </c>
    </row>
    <row r="39" spans="1:16" ht="15.75" customHeight="1">
      <c r="A39" s="78">
        <v>36</v>
      </c>
      <c r="B39" s="79">
        <v>1000</v>
      </c>
      <c r="C39" s="329" t="s">
        <v>173</v>
      </c>
      <c r="D39" s="327" t="s">
        <v>173</v>
      </c>
      <c r="E39" s="21" t="s">
        <v>176</v>
      </c>
      <c r="F39" s="21" t="s">
        <v>175</v>
      </c>
      <c r="G39" s="7" t="s">
        <v>177</v>
      </c>
      <c r="H39" s="7"/>
      <c r="I39" s="80">
        <v>0.3125</v>
      </c>
      <c r="J39" s="80">
        <v>0.97916666666666663</v>
      </c>
      <c r="K39" s="80">
        <v>8.3333333333333329E-2</v>
      </c>
      <c r="L39" s="80">
        <v>0.3125</v>
      </c>
      <c r="M39" s="81">
        <v>0.97916666666666663</v>
      </c>
      <c r="N39" s="82">
        <v>8.3333333333333329E-2</v>
      </c>
      <c r="O39" s="83">
        <v>0.58333333333333337</v>
      </c>
      <c r="P39" s="84" t="s">
        <v>1924</v>
      </c>
    </row>
    <row r="40" spans="1:16" ht="15.75" customHeight="1">
      <c r="A40" s="78">
        <v>37</v>
      </c>
      <c r="B40" s="79">
        <v>1000</v>
      </c>
      <c r="C40" s="323"/>
      <c r="D40" s="323"/>
      <c r="E40" s="21" t="s">
        <v>180</v>
      </c>
      <c r="F40" s="21" t="s">
        <v>179</v>
      </c>
      <c r="G40" s="7" t="s">
        <v>181</v>
      </c>
      <c r="H40" s="7"/>
      <c r="I40" s="80">
        <v>0.3125</v>
      </c>
      <c r="J40" s="80">
        <v>0.97916666666666663</v>
      </c>
      <c r="K40" s="80">
        <v>8.3333333333333329E-2</v>
      </c>
      <c r="L40" s="80">
        <v>0.3125</v>
      </c>
      <c r="M40" s="81">
        <v>0.97916666666666663</v>
      </c>
      <c r="N40" s="82">
        <v>8.3333333333333329E-2</v>
      </c>
      <c r="O40" s="83">
        <v>0.58333333333333337</v>
      </c>
      <c r="P40" s="84" t="s">
        <v>1924</v>
      </c>
    </row>
    <row r="41" spans="1:16" ht="15.75" customHeight="1">
      <c r="A41" s="78">
        <v>38</v>
      </c>
      <c r="B41" s="79">
        <v>1000</v>
      </c>
      <c r="C41" s="323"/>
      <c r="D41" s="323"/>
      <c r="E41" s="21" t="s">
        <v>184</v>
      </c>
      <c r="F41" s="21" t="s">
        <v>183</v>
      </c>
      <c r="G41" s="7" t="s">
        <v>185</v>
      </c>
      <c r="H41" s="7"/>
      <c r="I41" s="80">
        <v>0.3125</v>
      </c>
      <c r="J41" s="80">
        <v>0.97916666666666663</v>
      </c>
      <c r="K41" s="80">
        <v>8.3333333333333329E-2</v>
      </c>
      <c r="L41" s="80">
        <v>0.3125</v>
      </c>
      <c r="M41" s="81">
        <v>0.97916666666666663</v>
      </c>
      <c r="N41" s="82">
        <v>8.3333333333333329E-2</v>
      </c>
      <c r="O41" s="83">
        <v>0.58333333333333337</v>
      </c>
      <c r="P41" s="84" t="s">
        <v>1924</v>
      </c>
    </row>
    <row r="42" spans="1:16" ht="15.75" customHeight="1">
      <c r="A42" s="78">
        <v>39</v>
      </c>
      <c r="B42" s="79">
        <v>1000</v>
      </c>
      <c r="C42" s="323"/>
      <c r="D42" s="323"/>
      <c r="E42" s="21" t="s">
        <v>188</v>
      </c>
      <c r="F42" s="21" t="s">
        <v>187</v>
      </c>
      <c r="G42" s="7" t="s">
        <v>189</v>
      </c>
      <c r="H42" s="7"/>
      <c r="I42" s="80">
        <v>0.3125</v>
      </c>
      <c r="J42" s="101">
        <v>0.64583333333333337</v>
      </c>
      <c r="K42" s="80">
        <v>4.1666666666666664E-2</v>
      </c>
      <c r="L42" s="80">
        <v>0.3125</v>
      </c>
      <c r="M42" s="81">
        <v>0.64583333333333337</v>
      </c>
      <c r="N42" s="82">
        <v>4.1666666666666664E-2</v>
      </c>
      <c r="O42" s="83">
        <v>0.29166666666666669</v>
      </c>
      <c r="P42" s="84" t="s">
        <v>1924</v>
      </c>
    </row>
    <row r="43" spans="1:16" ht="15.75" customHeight="1">
      <c r="A43" s="78">
        <v>40</v>
      </c>
      <c r="B43" s="79">
        <v>1000</v>
      </c>
      <c r="C43" s="323"/>
      <c r="D43" s="323"/>
      <c r="E43" s="21" t="s">
        <v>192</v>
      </c>
      <c r="F43" s="21" t="s">
        <v>191</v>
      </c>
      <c r="G43" s="7" t="s">
        <v>193</v>
      </c>
      <c r="H43" s="7"/>
      <c r="I43" s="80">
        <v>0.3125</v>
      </c>
      <c r="J43" s="80">
        <v>0.64583333333333337</v>
      </c>
      <c r="K43" s="80">
        <v>4.1666666666666664E-2</v>
      </c>
      <c r="L43" s="80">
        <v>0.3125</v>
      </c>
      <c r="M43" s="81">
        <v>0.64583333333333337</v>
      </c>
      <c r="N43" s="82">
        <v>4.1666666666666664E-2</v>
      </c>
      <c r="O43" s="83">
        <v>0.29166666666666669</v>
      </c>
      <c r="P43" s="84" t="s">
        <v>1924</v>
      </c>
    </row>
    <row r="44" spans="1:16" ht="15.75" customHeight="1">
      <c r="A44" s="78">
        <v>41</v>
      </c>
      <c r="B44" s="79">
        <v>1000</v>
      </c>
      <c r="C44" s="323"/>
      <c r="D44" s="323"/>
      <c r="E44" s="21" t="s">
        <v>196</v>
      </c>
      <c r="F44" s="21" t="s">
        <v>195</v>
      </c>
      <c r="G44" s="7" t="s">
        <v>197</v>
      </c>
      <c r="H44" s="7"/>
      <c r="I44" s="80">
        <v>0.3125</v>
      </c>
      <c r="J44" s="80">
        <v>0.97916666666666663</v>
      </c>
      <c r="K44" s="80">
        <v>8.3333333333333329E-2</v>
      </c>
      <c r="L44" s="80">
        <v>0.3125</v>
      </c>
      <c r="M44" s="81">
        <v>0.97916666666666663</v>
      </c>
      <c r="N44" s="82">
        <v>8.3333333333333329E-2</v>
      </c>
      <c r="O44" s="83">
        <v>0.58333333333333337</v>
      </c>
      <c r="P44" s="84" t="s">
        <v>1924</v>
      </c>
    </row>
    <row r="45" spans="1:16" ht="15.75" customHeight="1">
      <c r="A45" s="78">
        <v>42</v>
      </c>
      <c r="B45" s="79">
        <v>1000</v>
      </c>
      <c r="C45" s="323"/>
      <c r="D45" s="323"/>
      <c r="E45" s="21" t="s">
        <v>200</v>
      </c>
      <c r="F45" s="21" t="s">
        <v>199</v>
      </c>
      <c r="G45" s="7" t="s">
        <v>201</v>
      </c>
      <c r="H45" s="7"/>
      <c r="I45" s="80">
        <v>0.3125</v>
      </c>
      <c r="J45" s="101">
        <v>0.64583333333333337</v>
      </c>
      <c r="K45" s="80">
        <v>4.1666666666666664E-2</v>
      </c>
      <c r="L45" s="80">
        <v>0.3125</v>
      </c>
      <c r="M45" s="81">
        <v>0.64583333333333337</v>
      </c>
      <c r="N45" s="82">
        <v>4.1666666666666664E-2</v>
      </c>
      <c r="O45" s="83">
        <v>0.29166666666666669</v>
      </c>
      <c r="P45" s="84" t="s">
        <v>1924</v>
      </c>
    </row>
    <row r="46" spans="1:16" ht="36.75" customHeight="1">
      <c r="A46" s="78">
        <v>43</v>
      </c>
      <c r="B46" s="79">
        <v>1000</v>
      </c>
      <c r="C46" s="324"/>
      <c r="D46" s="324"/>
      <c r="E46" s="21" t="s">
        <v>204</v>
      </c>
      <c r="F46" s="21" t="s">
        <v>203</v>
      </c>
      <c r="G46" s="7" t="s">
        <v>205</v>
      </c>
      <c r="H46" s="106" t="s">
        <v>1940</v>
      </c>
      <c r="I46" s="80">
        <v>0.3125</v>
      </c>
      <c r="J46" s="80">
        <v>0.97916666666666663</v>
      </c>
      <c r="K46" s="80">
        <v>8.3333333333333329E-2</v>
      </c>
      <c r="L46" s="80">
        <v>0.3125</v>
      </c>
      <c r="M46" s="107">
        <v>0.97916666666666663</v>
      </c>
      <c r="N46" s="82">
        <v>8.3333333333333329E-2</v>
      </c>
      <c r="O46" s="83">
        <v>0.58333333333333337</v>
      </c>
      <c r="P46" s="84" t="s">
        <v>1924</v>
      </c>
    </row>
    <row r="47" spans="1:16" ht="15.75" customHeight="1">
      <c r="A47" s="78">
        <v>44</v>
      </c>
      <c r="B47" s="79">
        <v>1000</v>
      </c>
      <c r="C47" s="329" t="s">
        <v>1941</v>
      </c>
      <c r="D47" s="327" t="s">
        <v>210</v>
      </c>
      <c r="E47" s="21" t="s">
        <v>213</v>
      </c>
      <c r="F47" s="21" t="s">
        <v>212</v>
      </c>
      <c r="G47" s="322" t="s">
        <v>214</v>
      </c>
      <c r="H47" s="7" t="s">
        <v>1942</v>
      </c>
      <c r="I47" s="80">
        <v>0.3125</v>
      </c>
      <c r="J47" s="80">
        <v>0.64583333333333337</v>
      </c>
      <c r="K47" s="80">
        <v>4.1666666666666664E-2</v>
      </c>
      <c r="L47" s="80">
        <v>0.3125</v>
      </c>
      <c r="M47" s="81">
        <v>0.58333333333333337</v>
      </c>
      <c r="N47" s="82">
        <v>4.1666666666666664E-2</v>
      </c>
      <c r="O47" s="83">
        <v>0.22916666666666666</v>
      </c>
      <c r="P47" s="84" t="s">
        <v>1924</v>
      </c>
    </row>
    <row r="48" spans="1:16" ht="15.75" customHeight="1">
      <c r="A48" s="78">
        <v>45</v>
      </c>
      <c r="B48" s="79">
        <v>1000</v>
      </c>
      <c r="C48" s="323"/>
      <c r="D48" s="323"/>
      <c r="E48" s="21" t="s">
        <v>219</v>
      </c>
      <c r="F48" s="21" t="s">
        <v>218</v>
      </c>
      <c r="G48" s="324"/>
      <c r="H48" s="7" t="s">
        <v>1942</v>
      </c>
      <c r="I48" s="80">
        <v>0.3125</v>
      </c>
      <c r="J48" s="80">
        <v>0.64583333333333337</v>
      </c>
      <c r="K48" s="80">
        <v>4.1666666666666664E-2</v>
      </c>
      <c r="L48" s="80">
        <v>0.3125</v>
      </c>
      <c r="M48" s="81">
        <v>0.58333333333333337</v>
      </c>
      <c r="N48" s="82">
        <v>4.1666666666666664E-2</v>
      </c>
      <c r="O48" s="83">
        <v>0.22916666666666666</v>
      </c>
      <c r="P48" s="84" t="s">
        <v>1924</v>
      </c>
    </row>
    <row r="49" spans="1:16" ht="15.75" customHeight="1">
      <c r="A49" s="78">
        <v>46</v>
      </c>
      <c r="B49" s="79">
        <v>1000</v>
      </c>
      <c r="C49" s="323"/>
      <c r="D49" s="323"/>
      <c r="E49" s="21" t="s">
        <v>222</v>
      </c>
      <c r="F49" s="21" t="s">
        <v>221</v>
      </c>
      <c r="G49" s="329" t="s">
        <v>223</v>
      </c>
      <c r="H49" s="7" t="s">
        <v>1942</v>
      </c>
      <c r="I49" s="80">
        <v>0.3125</v>
      </c>
      <c r="J49" s="80">
        <v>0.64583333333333337</v>
      </c>
      <c r="K49" s="80">
        <v>4.1666666666666664E-2</v>
      </c>
      <c r="L49" s="80">
        <v>0.3125</v>
      </c>
      <c r="M49" s="81">
        <v>0.58333333333333337</v>
      </c>
      <c r="N49" s="82">
        <v>4.1666666666666664E-2</v>
      </c>
      <c r="O49" s="83">
        <v>0.22916666666666666</v>
      </c>
      <c r="P49" s="84" t="s">
        <v>1924</v>
      </c>
    </row>
    <row r="50" spans="1:16" ht="15.75" customHeight="1">
      <c r="A50" s="78">
        <v>47</v>
      </c>
      <c r="B50" s="79">
        <v>1000</v>
      </c>
      <c r="C50" s="323"/>
      <c r="D50" s="324"/>
      <c r="E50" s="21" t="s">
        <v>226</v>
      </c>
      <c r="F50" s="21" t="s">
        <v>225</v>
      </c>
      <c r="G50" s="324"/>
      <c r="H50" s="7" t="s">
        <v>1942</v>
      </c>
      <c r="I50" s="80">
        <v>0.3125</v>
      </c>
      <c r="J50" s="80">
        <v>0.64583333333333337</v>
      </c>
      <c r="K50" s="80">
        <v>4.1666666666666664E-2</v>
      </c>
      <c r="L50" s="80">
        <v>0.3125</v>
      </c>
      <c r="M50" s="81">
        <v>0.58333333333333337</v>
      </c>
      <c r="N50" s="82">
        <v>4.1666666666666664E-2</v>
      </c>
      <c r="O50" s="83">
        <v>0.22916666666666666</v>
      </c>
      <c r="P50" s="84" t="s">
        <v>1924</v>
      </c>
    </row>
    <row r="51" spans="1:16" ht="15.75" customHeight="1">
      <c r="A51" s="78">
        <v>48</v>
      </c>
      <c r="B51" s="79">
        <v>1000</v>
      </c>
      <c r="C51" s="323"/>
      <c r="D51" s="327" t="s">
        <v>227</v>
      </c>
      <c r="E51" s="21" t="s">
        <v>230</v>
      </c>
      <c r="F51" s="21" t="s">
        <v>229</v>
      </c>
      <c r="G51" s="7" t="s">
        <v>231</v>
      </c>
      <c r="H51" s="7" t="s">
        <v>1942</v>
      </c>
      <c r="I51" s="80">
        <v>0.3125</v>
      </c>
      <c r="J51" s="80">
        <v>0.64583333333333337</v>
      </c>
      <c r="K51" s="80">
        <v>4.1666666666666664E-2</v>
      </c>
      <c r="L51" s="80">
        <v>0.3125</v>
      </c>
      <c r="M51" s="81">
        <v>0.58333333333333337</v>
      </c>
      <c r="N51" s="82">
        <v>4.1666666666666664E-2</v>
      </c>
      <c r="O51" s="83">
        <v>0.22916666666666666</v>
      </c>
      <c r="P51" s="84" t="s">
        <v>1924</v>
      </c>
    </row>
    <row r="52" spans="1:16" ht="15.75" customHeight="1">
      <c r="A52" s="78">
        <v>49</v>
      </c>
      <c r="B52" s="79">
        <v>1000</v>
      </c>
      <c r="C52" s="323"/>
      <c r="D52" s="323"/>
      <c r="E52" s="21" t="s">
        <v>234</v>
      </c>
      <c r="F52" s="21" t="s">
        <v>233</v>
      </c>
      <c r="G52" s="7" t="s">
        <v>235</v>
      </c>
      <c r="H52" s="7" t="s">
        <v>1942</v>
      </c>
      <c r="I52" s="80">
        <v>0.3125</v>
      </c>
      <c r="J52" s="80">
        <v>0.64583333333333337</v>
      </c>
      <c r="K52" s="80">
        <v>4.1666666666666664E-2</v>
      </c>
      <c r="L52" s="80">
        <v>0.3125</v>
      </c>
      <c r="M52" s="81">
        <v>0.58333333333333337</v>
      </c>
      <c r="N52" s="82">
        <v>4.1666666666666664E-2</v>
      </c>
      <c r="O52" s="83">
        <v>0.22916666666666666</v>
      </c>
      <c r="P52" s="84" t="s">
        <v>1924</v>
      </c>
    </row>
    <row r="53" spans="1:16" ht="15.75" customHeight="1">
      <c r="A53" s="78">
        <v>50</v>
      </c>
      <c r="B53" s="79">
        <v>1000</v>
      </c>
      <c r="C53" s="323"/>
      <c r="D53" s="323"/>
      <c r="E53" s="21" t="s">
        <v>239</v>
      </c>
      <c r="F53" s="21" t="s">
        <v>238</v>
      </c>
      <c r="G53" s="7" t="s">
        <v>235</v>
      </c>
      <c r="H53" s="7" t="s">
        <v>1942</v>
      </c>
      <c r="I53" s="80">
        <v>0.3125</v>
      </c>
      <c r="J53" s="80">
        <v>0.64583333333333337</v>
      </c>
      <c r="K53" s="80">
        <v>4.1666666666666664E-2</v>
      </c>
      <c r="L53" s="80">
        <v>0.3125</v>
      </c>
      <c r="M53" s="81">
        <v>0.58333333333333337</v>
      </c>
      <c r="N53" s="82">
        <v>4.1666666666666664E-2</v>
      </c>
      <c r="O53" s="83">
        <v>0.22916666666666666</v>
      </c>
      <c r="P53" s="84" t="s">
        <v>1924</v>
      </c>
    </row>
    <row r="54" spans="1:16" ht="15.75" customHeight="1">
      <c r="A54" s="78">
        <v>51</v>
      </c>
      <c r="B54" s="79">
        <v>1000</v>
      </c>
      <c r="C54" s="323"/>
      <c r="D54" s="323"/>
      <c r="E54" s="21" t="s">
        <v>242</v>
      </c>
      <c r="F54" s="21" t="s">
        <v>241</v>
      </c>
      <c r="G54" s="7" t="s">
        <v>243</v>
      </c>
      <c r="H54" s="7" t="s">
        <v>1942</v>
      </c>
      <c r="I54" s="80">
        <v>0.3125</v>
      </c>
      <c r="J54" s="80">
        <v>0.64583333333333337</v>
      </c>
      <c r="K54" s="80">
        <v>4.1666666666666664E-2</v>
      </c>
      <c r="L54" s="80">
        <v>0.3125</v>
      </c>
      <c r="M54" s="81">
        <v>0.58333333333333337</v>
      </c>
      <c r="N54" s="82">
        <v>4.1666666666666664E-2</v>
      </c>
      <c r="O54" s="83">
        <v>0.22916666666666666</v>
      </c>
      <c r="P54" s="84" t="s">
        <v>1924</v>
      </c>
    </row>
    <row r="55" spans="1:16" ht="15.75" customHeight="1">
      <c r="A55" s="78">
        <v>52</v>
      </c>
      <c r="B55" s="79">
        <v>1000</v>
      </c>
      <c r="C55" s="323"/>
      <c r="D55" s="324"/>
      <c r="E55" s="21" t="s">
        <v>246</v>
      </c>
      <c r="F55" s="21" t="s">
        <v>245</v>
      </c>
      <c r="G55" s="7" t="s">
        <v>243</v>
      </c>
      <c r="H55" s="7" t="s">
        <v>1942</v>
      </c>
      <c r="I55" s="80">
        <v>0.3125</v>
      </c>
      <c r="J55" s="80">
        <v>0.64583333333333337</v>
      </c>
      <c r="K55" s="80">
        <v>4.1666666666666664E-2</v>
      </c>
      <c r="L55" s="80">
        <v>0.3125</v>
      </c>
      <c r="M55" s="81">
        <v>0.58333333333333337</v>
      </c>
      <c r="N55" s="82">
        <v>4.1666666666666664E-2</v>
      </c>
      <c r="O55" s="83">
        <v>0.22916666666666666</v>
      </c>
      <c r="P55" s="84" t="s">
        <v>1924</v>
      </c>
    </row>
    <row r="56" spans="1:16" ht="15.75" customHeight="1">
      <c r="A56" s="78">
        <v>53</v>
      </c>
      <c r="B56" s="79">
        <v>1000</v>
      </c>
      <c r="C56" s="323"/>
      <c r="D56" s="327" t="s">
        <v>247</v>
      </c>
      <c r="E56" s="18" t="s">
        <v>250</v>
      </c>
      <c r="F56" s="23" t="s">
        <v>251</v>
      </c>
      <c r="G56" s="6">
        <v>1111034003</v>
      </c>
      <c r="H56" s="7"/>
      <c r="I56" s="80">
        <v>0.3125</v>
      </c>
      <c r="J56" s="80">
        <v>0.64583333333333337</v>
      </c>
      <c r="K56" s="80">
        <v>4.1666666666666664E-2</v>
      </c>
      <c r="L56" s="80">
        <v>0.3125</v>
      </c>
      <c r="M56" s="81">
        <v>0.58333333333333337</v>
      </c>
      <c r="N56" s="82">
        <v>4.1666666666666664E-2</v>
      </c>
      <c r="O56" s="83">
        <v>0.22916666666666666</v>
      </c>
      <c r="P56" s="84" t="s">
        <v>1924</v>
      </c>
    </row>
    <row r="57" spans="1:16" ht="15.75" customHeight="1">
      <c r="A57" s="78"/>
      <c r="B57" s="79"/>
      <c r="C57" s="323"/>
      <c r="D57" s="323"/>
      <c r="E57" s="18" t="s">
        <v>255</v>
      </c>
      <c r="F57" s="23" t="s">
        <v>256</v>
      </c>
      <c r="G57" s="6">
        <v>1111034001</v>
      </c>
      <c r="H57" s="7"/>
      <c r="I57" s="80"/>
      <c r="J57" s="80"/>
      <c r="K57" s="80"/>
      <c r="L57" s="80"/>
      <c r="M57" s="81"/>
      <c r="N57" s="82"/>
      <c r="O57" s="83"/>
      <c r="P57" s="84"/>
    </row>
    <row r="58" spans="1:16" ht="15.75" customHeight="1">
      <c r="A58" s="78">
        <v>54</v>
      </c>
      <c r="B58" s="79">
        <v>1000</v>
      </c>
      <c r="C58" s="323"/>
      <c r="D58" s="324"/>
      <c r="E58" s="18" t="s">
        <v>257</v>
      </c>
      <c r="F58" s="23" t="s">
        <v>258</v>
      </c>
      <c r="G58" s="7">
        <v>1111034002</v>
      </c>
      <c r="H58" s="7"/>
      <c r="I58" s="80">
        <v>0.3125</v>
      </c>
      <c r="J58" s="80">
        <v>0.64583333333333337</v>
      </c>
      <c r="K58" s="80">
        <v>4.1666666666666664E-2</v>
      </c>
      <c r="L58" s="80">
        <v>0.3125</v>
      </c>
      <c r="M58" s="81">
        <v>0.58333333333333337</v>
      </c>
      <c r="N58" s="82">
        <v>4.1666666666666664E-2</v>
      </c>
      <c r="O58" s="83">
        <v>0.22916666666666666</v>
      </c>
      <c r="P58" s="84" t="s">
        <v>1924</v>
      </c>
    </row>
    <row r="59" spans="1:16" ht="15.75" customHeight="1">
      <c r="A59" s="78">
        <v>55</v>
      </c>
      <c r="B59" s="79">
        <v>1000</v>
      </c>
      <c r="C59" s="323"/>
      <c r="D59" s="327" t="s">
        <v>215</v>
      </c>
      <c r="E59" s="7" t="s">
        <v>261</v>
      </c>
      <c r="F59" s="7" t="s">
        <v>260</v>
      </c>
      <c r="G59" s="7" t="s">
        <v>262</v>
      </c>
      <c r="H59" s="21" t="s">
        <v>1943</v>
      </c>
      <c r="I59" s="80">
        <v>0.3125</v>
      </c>
      <c r="J59" s="80">
        <v>0.64583333333333337</v>
      </c>
      <c r="K59" s="80">
        <v>4.1666666666666664E-2</v>
      </c>
      <c r="L59" s="80">
        <v>0.3125</v>
      </c>
      <c r="M59" s="81">
        <v>0.58333333333333337</v>
      </c>
      <c r="N59" s="82">
        <v>4.1666666666666664E-2</v>
      </c>
      <c r="O59" s="83">
        <v>0.22916666666666666</v>
      </c>
      <c r="P59" s="84" t="s">
        <v>1924</v>
      </c>
    </row>
    <row r="60" spans="1:16" ht="15.75" customHeight="1">
      <c r="A60" s="78">
        <v>56</v>
      </c>
      <c r="B60" s="79">
        <v>1000</v>
      </c>
      <c r="C60" s="323"/>
      <c r="D60" s="323"/>
      <c r="E60" s="7" t="s">
        <v>265</v>
      </c>
      <c r="F60" s="7" t="s">
        <v>264</v>
      </c>
      <c r="G60" s="7" t="s">
        <v>266</v>
      </c>
      <c r="H60" s="7"/>
      <c r="I60" s="80">
        <v>0.3125</v>
      </c>
      <c r="J60" s="80">
        <v>0.64583333333333337</v>
      </c>
      <c r="K60" s="80">
        <v>4.1666666666666664E-2</v>
      </c>
      <c r="L60" s="80">
        <v>0.3125</v>
      </c>
      <c r="M60" s="81">
        <v>0.58333333333333337</v>
      </c>
      <c r="N60" s="82">
        <v>4.1666666666666664E-2</v>
      </c>
      <c r="O60" s="83">
        <v>0.22916666666666666</v>
      </c>
      <c r="P60" s="84" t="s">
        <v>1924</v>
      </c>
    </row>
    <row r="61" spans="1:16" ht="15.75" customHeight="1">
      <c r="A61" s="78">
        <v>57</v>
      </c>
      <c r="B61" s="79">
        <v>1000</v>
      </c>
      <c r="C61" s="323"/>
      <c r="D61" s="323"/>
      <c r="E61" s="7" t="s">
        <v>269</v>
      </c>
      <c r="F61" s="7" t="s">
        <v>268</v>
      </c>
      <c r="G61" s="7" t="s">
        <v>270</v>
      </c>
      <c r="H61" s="7"/>
      <c r="I61" s="80">
        <v>0.3125</v>
      </c>
      <c r="J61" s="80">
        <v>0.64583333333333337</v>
      </c>
      <c r="K61" s="80">
        <v>4.1666666666666664E-2</v>
      </c>
      <c r="L61" s="80">
        <v>0.3125</v>
      </c>
      <c r="M61" s="81">
        <v>0.58333333333333337</v>
      </c>
      <c r="N61" s="82">
        <v>4.1666666666666664E-2</v>
      </c>
      <c r="O61" s="83">
        <v>0.22916666666666666</v>
      </c>
      <c r="P61" s="84" t="s">
        <v>1924</v>
      </c>
    </row>
    <row r="62" spans="1:16" ht="15.75" customHeight="1">
      <c r="A62" s="78">
        <v>58</v>
      </c>
      <c r="B62" s="79">
        <v>1000</v>
      </c>
      <c r="C62" s="323"/>
      <c r="D62" s="323"/>
      <c r="E62" s="7" t="s">
        <v>273</v>
      </c>
      <c r="F62" s="7" t="s">
        <v>272</v>
      </c>
      <c r="G62" s="7" t="s">
        <v>274</v>
      </c>
      <c r="H62" s="7"/>
      <c r="I62" s="80">
        <v>0.3125</v>
      </c>
      <c r="J62" s="80">
        <v>0.64583333333333337</v>
      </c>
      <c r="K62" s="80">
        <v>4.1666666666666664E-2</v>
      </c>
      <c r="L62" s="80">
        <v>0.3125</v>
      </c>
      <c r="M62" s="81">
        <v>0.58333333333333337</v>
      </c>
      <c r="N62" s="82">
        <v>4.1666666666666664E-2</v>
      </c>
      <c r="O62" s="83">
        <v>0.22916666666666666</v>
      </c>
      <c r="P62" s="84" t="s">
        <v>1924</v>
      </c>
    </row>
    <row r="63" spans="1:16" ht="15.75" customHeight="1">
      <c r="A63" s="78">
        <v>59</v>
      </c>
      <c r="B63" s="79">
        <v>1000</v>
      </c>
      <c r="C63" s="323"/>
      <c r="D63" s="323"/>
      <c r="E63" s="7" t="s">
        <v>277</v>
      </c>
      <c r="F63" s="7" t="s">
        <v>276</v>
      </c>
      <c r="G63" s="7" t="s">
        <v>278</v>
      </c>
      <c r="H63" s="7"/>
      <c r="I63" s="80">
        <v>0.3125</v>
      </c>
      <c r="J63" s="80">
        <v>0.64583333333333337</v>
      </c>
      <c r="K63" s="80">
        <v>4.1666666666666664E-2</v>
      </c>
      <c r="L63" s="80">
        <v>0.3125</v>
      </c>
      <c r="M63" s="81">
        <v>0.58333333333333337</v>
      </c>
      <c r="N63" s="82">
        <v>4.1666666666666664E-2</v>
      </c>
      <c r="O63" s="83">
        <v>0.22916666666666666</v>
      </c>
      <c r="P63" s="84" t="s">
        <v>1924</v>
      </c>
    </row>
    <row r="64" spans="1:16" ht="15.75" customHeight="1">
      <c r="A64" s="78">
        <v>60</v>
      </c>
      <c r="B64" s="79">
        <v>1000</v>
      </c>
      <c r="C64" s="323"/>
      <c r="D64" s="323"/>
      <c r="E64" s="7" t="s">
        <v>281</v>
      </c>
      <c r="F64" s="7" t="s">
        <v>280</v>
      </c>
      <c r="G64" s="7" t="s">
        <v>282</v>
      </c>
      <c r="H64" s="7"/>
      <c r="I64" s="80">
        <v>0.3125</v>
      </c>
      <c r="J64" s="80">
        <v>0.64583333333333337</v>
      </c>
      <c r="K64" s="80">
        <v>4.1666666666666664E-2</v>
      </c>
      <c r="L64" s="80">
        <v>0.3125</v>
      </c>
      <c r="M64" s="81">
        <v>0.58333333333333337</v>
      </c>
      <c r="N64" s="82">
        <v>4.1666666666666664E-2</v>
      </c>
      <c r="O64" s="83">
        <v>0.22916666666666666</v>
      </c>
      <c r="P64" s="84" t="s">
        <v>1924</v>
      </c>
    </row>
    <row r="65" spans="1:16" ht="15.75" customHeight="1">
      <c r="A65" s="78">
        <v>61</v>
      </c>
      <c r="B65" s="79">
        <v>1000</v>
      </c>
      <c r="C65" s="323"/>
      <c r="D65" s="323"/>
      <c r="E65" s="7" t="s">
        <v>285</v>
      </c>
      <c r="F65" s="7" t="s">
        <v>284</v>
      </c>
      <c r="G65" s="7" t="s">
        <v>270</v>
      </c>
      <c r="H65" s="7"/>
      <c r="I65" s="80">
        <v>0.3125</v>
      </c>
      <c r="J65" s="80">
        <v>0.64583333333333337</v>
      </c>
      <c r="K65" s="80">
        <v>4.1666666666666664E-2</v>
      </c>
      <c r="L65" s="80">
        <v>0.3125</v>
      </c>
      <c r="M65" s="81">
        <v>0.58333333333333337</v>
      </c>
      <c r="N65" s="82">
        <v>4.1666666666666664E-2</v>
      </c>
      <c r="O65" s="83">
        <v>0.22916666666666666</v>
      </c>
      <c r="P65" s="84" t="s">
        <v>1924</v>
      </c>
    </row>
    <row r="66" spans="1:16" ht="15.75" customHeight="1">
      <c r="A66" s="78">
        <v>62</v>
      </c>
      <c r="B66" s="79">
        <v>1000</v>
      </c>
      <c r="C66" s="323"/>
      <c r="D66" s="323"/>
      <c r="E66" s="7" t="s">
        <v>288</v>
      </c>
      <c r="F66" s="7" t="s">
        <v>287</v>
      </c>
      <c r="G66" s="7" t="s">
        <v>289</v>
      </c>
      <c r="H66" s="7"/>
      <c r="I66" s="80">
        <v>0.3125</v>
      </c>
      <c r="J66" s="80">
        <v>0.64583333333333337</v>
      </c>
      <c r="K66" s="80">
        <v>4.1666666666666664E-2</v>
      </c>
      <c r="L66" s="80">
        <v>0.3125</v>
      </c>
      <c r="M66" s="81">
        <v>0.58333333333333337</v>
      </c>
      <c r="N66" s="82">
        <v>4.1666666666666664E-2</v>
      </c>
      <c r="O66" s="83">
        <v>0.22916666666666666</v>
      </c>
      <c r="P66" s="84" t="s">
        <v>1924</v>
      </c>
    </row>
    <row r="67" spans="1:16" ht="15.75" customHeight="1">
      <c r="A67" s="78">
        <v>63</v>
      </c>
      <c r="B67" s="79">
        <v>1000</v>
      </c>
      <c r="C67" s="323"/>
      <c r="D67" s="323"/>
      <c r="E67" s="7" t="s">
        <v>292</v>
      </c>
      <c r="F67" s="7" t="s">
        <v>291</v>
      </c>
      <c r="G67" s="7" t="s">
        <v>293</v>
      </c>
      <c r="H67" s="7"/>
      <c r="I67" s="80">
        <v>0.3125</v>
      </c>
      <c r="J67" s="80">
        <v>0.64583333333333337</v>
      </c>
      <c r="K67" s="80">
        <v>4.1666666666666664E-2</v>
      </c>
      <c r="L67" s="80">
        <v>0.3125</v>
      </c>
      <c r="M67" s="81">
        <v>0.58333333333333337</v>
      </c>
      <c r="N67" s="82">
        <v>4.1666666666666664E-2</v>
      </c>
      <c r="O67" s="83">
        <v>0.22916666666666666</v>
      </c>
      <c r="P67" s="84" t="s">
        <v>1924</v>
      </c>
    </row>
    <row r="68" spans="1:16" ht="15.75" customHeight="1">
      <c r="A68" s="78">
        <v>64</v>
      </c>
      <c r="B68" s="79">
        <v>1000</v>
      </c>
      <c r="C68" s="323"/>
      <c r="D68" s="323"/>
      <c r="E68" s="7" t="s">
        <v>300</v>
      </c>
      <c r="F68" s="7" t="s">
        <v>301</v>
      </c>
      <c r="G68" s="7" t="s">
        <v>302</v>
      </c>
      <c r="H68" s="21" t="s">
        <v>1944</v>
      </c>
      <c r="I68" s="80">
        <v>0.3125</v>
      </c>
      <c r="J68" s="80">
        <v>0.64583333333333337</v>
      </c>
      <c r="K68" s="80">
        <v>4.1666666666666664E-2</v>
      </c>
      <c r="L68" s="80">
        <v>0.3125</v>
      </c>
      <c r="M68" s="81">
        <v>0.58333333333333337</v>
      </c>
      <c r="N68" s="82">
        <v>4.1666666666666664E-2</v>
      </c>
      <c r="O68" s="83">
        <v>0.22916666666666666</v>
      </c>
      <c r="P68" s="84" t="s">
        <v>1924</v>
      </c>
    </row>
    <row r="69" spans="1:16" ht="15.75" customHeight="1">
      <c r="A69" s="78">
        <v>65</v>
      </c>
      <c r="B69" s="79">
        <v>1000</v>
      </c>
      <c r="C69" s="324"/>
      <c r="D69" s="324"/>
      <c r="E69" s="7" t="s">
        <v>305</v>
      </c>
      <c r="F69" s="7" t="s">
        <v>304</v>
      </c>
      <c r="G69" s="7" t="s">
        <v>306</v>
      </c>
      <c r="H69" s="7"/>
      <c r="I69" s="80">
        <v>0.3125</v>
      </c>
      <c r="J69" s="80">
        <v>0.64583333333333337</v>
      </c>
      <c r="K69" s="80">
        <v>4.1666666666666664E-2</v>
      </c>
      <c r="L69" s="80">
        <v>0.3125</v>
      </c>
      <c r="M69" s="81">
        <v>0.58333333333333337</v>
      </c>
      <c r="N69" s="82">
        <v>4.1666666666666664E-2</v>
      </c>
      <c r="O69" s="83">
        <v>0.22916666666666666</v>
      </c>
      <c r="P69" s="84" t="s">
        <v>1924</v>
      </c>
    </row>
    <row r="70" spans="1:16" ht="15.75" customHeight="1">
      <c r="A70" s="78">
        <v>66</v>
      </c>
      <c r="B70" s="79">
        <v>2000</v>
      </c>
      <c r="C70" s="326" t="s">
        <v>1945</v>
      </c>
      <c r="D70" s="327" t="s">
        <v>307</v>
      </c>
      <c r="E70" s="21" t="s">
        <v>310</v>
      </c>
      <c r="F70" s="21" t="s">
        <v>309</v>
      </c>
      <c r="G70" s="21" t="s">
        <v>311</v>
      </c>
      <c r="H70" s="7" t="s">
        <v>1946</v>
      </c>
      <c r="I70" s="80">
        <v>0.3125</v>
      </c>
      <c r="J70" s="80">
        <v>0.3125</v>
      </c>
      <c r="K70" s="80">
        <v>0.125</v>
      </c>
      <c r="L70" s="80">
        <v>0.3125</v>
      </c>
      <c r="M70" s="81">
        <v>0.3125</v>
      </c>
      <c r="N70" s="82">
        <v>0.125</v>
      </c>
      <c r="O70" s="83">
        <v>0.875</v>
      </c>
      <c r="P70" s="84" t="s">
        <v>1924</v>
      </c>
    </row>
    <row r="71" spans="1:16" ht="15.75" customHeight="1">
      <c r="A71" s="78">
        <v>67</v>
      </c>
      <c r="B71" s="79">
        <v>2000</v>
      </c>
      <c r="C71" s="323"/>
      <c r="D71" s="323"/>
      <c r="E71" s="21" t="s">
        <v>316</v>
      </c>
      <c r="F71" s="21" t="s">
        <v>315</v>
      </c>
      <c r="G71" s="21" t="s">
        <v>317</v>
      </c>
      <c r="H71" s="7" t="s">
        <v>1946</v>
      </c>
      <c r="I71" s="80">
        <v>0.3125</v>
      </c>
      <c r="J71" s="80">
        <v>0.3125</v>
      </c>
      <c r="K71" s="80">
        <v>0.125</v>
      </c>
      <c r="L71" s="80">
        <v>0.3125</v>
      </c>
      <c r="M71" s="81">
        <v>0.3125</v>
      </c>
      <c r="N71" s="82">
        <v>0.125</v>
      </c>
      <c r="O71" s="83">
        <v>0.875</v>
      </c>
      <c r="P71" s="84" t="s">
        <v>1924</v>
      </c>
    </row>
    <row r="72" spans="1:16" ht="15.75" customHeight="1">
      <c r="A72" s="78">
        <v>68</v>
      </c>
      <c r="B72" s="79">
        <v>2000</v>
      </c>
      <c r="C72" s="323"/>
      <c r="D72" s="324"/>
      <c r="E72" s="21" t="s">
        <v>320</v>
      </c>
      <c r="F72" s="21" t="s">
        <v>1947</v>
      </c>
      <c r="G72" s="21" t="s">
        <v>321</v>
      </c>
      <c r="H72" s="7" t="s">
        <v>1946</v>
      </c>
      <c r="I72" s="80">
        <v>0.3125</v>
      </c>
      <c r="J72" s="80">
        <v>0.3125</v>
      </c>
      <c r="K72" s="80">
        <v>0.125</v>
      </c>
      <c r="L72" s="80">
        <v>0.3125</v>
      </c>
      <c r="M72" s="81">
        <v>0.3125</v>
      </c>
      <c r="N72" s="82">
        <v>0.125</v>
      </c>
      <c r="O72" s="83">
        <v>0.875</v>
      </c>
      <c r="P72" s="84" t="s">
        <v>1924</v>
      </c>
    </row>
    <row r="73" spans="1:16" ht="15.75" customHeight="1">
      <c r="A73" s="78">
        <v>69</v>
      </c>
      <c r="B73" s="79">
        <v>2000</v>
      </c>
      <c r="C73" s="323"/>
      <c r="D73" s="327" t="s">
        <v>322</v>
      </c>
      <c r="E73" s="21" t="s">
        <v>325</v>
      </c>
      <c r="F73" s="21" t="s">
        <v>324</v>
      </c>
      <c r="G73" s="21" t="s">
        <v>326</v>
      </c>
      <c r="H73" s="7" t="s">
        <v>1946</v>
      </c>
      <c r="I73" s="80">
        <v>0.3125</v>
      </c>
      <c r="J73" s="80">
        <v>0.3125</v>
      </c>
      <c r="K73" s="80">
        <v>0.125</v>
      </c>
      <c r="L73" s="80">
        <v>0.3125</v>
      </c>
      <c r="M73" s="81">
        <v>0.3125</v>
      </c>
      <c r="N73" s="82">
        <v>0.125</v>
      </c>
      <c r="O73" s="83">
        <v>0.875</v>
      </c>
      <c r="P73" s="84" t="s">
        <v>1924</v>
      </c>
    </row>
    <row r="74" spans="1:16" ht="15.75" customHeight="1">
      <c r="A74" s="78">
        <v>70</v>
      </c>
      <c r="B74" s="79">
        <v>2000</v>
      </c>
      <c r="C74" s="323"/>
      <c r="D74" s="323"/>
      <c r="E74" s="21" t="s">
        <v>329</v>
      </c>
      <c r="F74" s="21" t="s">
        <v>328</v>
      </c>
      <c r="G74" s="21" t="s">
        <v>330</v>
      </c>
      <c r="H74" s="7" t="s">
        <v>1946</v>
      </c>
      <c r="I74" s="80">
        <v>0.3125</v>
      </c>
      <c r="J74" s="80">
        <v>0.97916666666666663</v>
      </c>
      <c r="K74" s="80">
        <v>8.3333333333333329E-2</v>
      </c>
      <c r="L74" s="80">
        <v>0.3125</v>
      </c>
      <c r="M74" s="81">
        <v>0.97916666666666663</v>
      </c>
      <c r="N74" s="82">
        <v>8.3333333333333329E-2</v>
      </c>
      <c r="O74" s="83">
        <v>0.58333333333333337</v>
      </c>
      <c r="P74" s="84" t="s">
        <v>1924</v>
      </c>
    </row>
    <row r="75" spans="1:16" ht="15.75" customHeight="1">
      <c r="A75" s="78">
        <v>71</v>
      </c>
      <c r="B75" s="79">
        <v>2000</v>
      </c>
      <c r="C75" s="323"/>
      <c r="D75" s="323"/>
      <c r="E75" s="21" t="s">
        <v>333</v>
      </c>
      <c r="F75" s="21" t="s">
        <v>332</v>
      </c>
      <c r="G75" s="21" t="s">
        <v>334</v>
      </c>
      <c r="H75" s="7" t="s">
        <v>1946</v>
      </c>
      <c r="I75" s="80">
        <v>0.3125</v>
      </c>
      <c r="J75" s="80">
        <v>0.97916666666666663</v>
      </c>
      <c r="K75" s="80">
        <v>8.3333333333333329E-2</v>
      </c>
      <c r="L75" s="80">
        <v>0.3125</v>
      </c>
      <c r="M75" s="81">
        <v>0.97916666666666663</v>
      </c>
      <c r="N75" s="82">
        <v>8.3333333333333329E-2</v>
      </c>
      <c r="O75" s="83">
        <v>0.58333333333333337</v>
      </c>
      <c r="P75" s="84" t="s">
        <v>1924</v>
      </c>
    </row>
    <row r="76" spans="1:16" ht="15.75" customHeight="1">
      <c r="A76" s="78">
        <v>72</v>
      </c>
      <c r="B76" s="79">
        <v>2000</v>
      </c>
      <c r="C76" s="323"/>
      <c r="D76" s="324"/>
      <c r="E76" s="41" t="s">
        <v>337</v>
      </c>
      <c r="F76" s="41" t="s">
        <v>1948</v>
      </c>
      <c r="G76" s="41" t="s">
        <v>321</v>
      </c>
      <c r="H76" s="7" t="s">
        <v>1946</v>
      </c>
      <c r="I76" s="80">
        <v>0.3125</v>
      </c>
      <c r="J76" s="80">
        <v>0.3125</v>
      </c>
      <c r="K76" s="80">
        <v>0.125</v>
      </c>
      <c r="L76" s="80">
        <v>0.3125</v>
      </c>
      <c r="M76" s="81">
        <v>0.3125</v>
      </c>
      <c r="N76" s="82">
        <v>0.125</v>
      </c>
      <c r="O76" s="83">
        <v>0.875</v>
      </c>
      <c r="P76" s="84" t="s">
        <v>1924</v>
      </c>
    </row>
    <row r="77" spans="1:16" ht="15.75" customHeight="1">
      <c r="A77" s="78">
        <v>73</v>
      </c>
      <c r="B77" s="79">
        <v>2000</v>
      </c>
      <c r="C77" s="323"/>
      <c r="D77" s="327" t="s">
        <v>339</v>
      </c>
      <c r="E77" s="21" t="s">
        <v>342</v>
      </c>
      <c r="F77" s="21" t="s">
        <v>341</v>
      </c>
      <c r="G77" s="21" t="s">
        <v>343</v>
      </c>
      <c r="H77" s="7" t="s">
        <v>1946</v>
      </c>
      <c r="I77" s="80">
        <v>0.3125</v>
      </c>
      <c r="J77" s="80">
        <v>0.97916666666666663</v>
      </c>
      <c r="K77" s="80">
        <v>8.3333333333333329E-2</v>
      </c>
      <c r="L77" s="80">
        <v>0.3125</v>
      </c>
      <c r="M77" s="81">
        <v>0.97916666666666663</v>
      </c>
      <c r="N77" s="82">
        <v>8.3333333333333329E-2</v>
      </c>
      <c r="O77" s="83">
        <v>0.58333333333333337</v>
      </c>
      <c r="P77" s="84" t="s">
        <v>1924</v>
      </c>
    </row>
    <row r="78" spans="1:16" ht="15.75" customHeight="1">
      <c r="A78" s="78">
        <v>74</v>
      </c>
      <c r="B78" s="79">
        <v>2000</v>
      </c>
      <c r="C78" s="323"/>
      <c r="D78" s="323"/>
      <c r="E78" s="21" t="s">
        <v>346</v>
      </c>
      <c r="F78" s="21" t="s">
        <v>345</v>
      </c>
      <c r="G78" s="21" t="s">
        <v>347</v>
      </c>
      <c r="H78" s="7" t="s">
        <v>1946</v>
      </c>
      <c r="I78" s="80">
        <v>0.3125</v>
      </c>
      <c r="J78" s="80">
        <v>0.3125</v>
      </c>
      <c r="K78" s="80">
        <v>0.125</v>
      </c>
      <c r="L78" s="80">
        <v>0.3125</v>
      </c>
      <c r="M78" s="81">
        <v>0.3125</v>
      </c>
      <c r="N78" s="82">
        <v>0.125</v>
      </c>
      <c r="O78" s="83">
        <v>0.875</v>
      </c>
      <c r="P78" s="84" t="s">
        <v>1924</v>
      </c>
    </row>
    <row r="79" spans="1:16" ht="15.75" customHeight="1">
      <c r="A79" s="78">
        <v>75</v>
      </c>
      <c r="B79" s="79">
        <v>2000</v>
      </c>
      <c r="C79" s="323"/>
      <c r="D79" s="324"/>
      <c r="E79" s="16" t="s">
        <v>350</v>
      </c>
      <c r="F79" s="16" t="s">
        <v>1949</v>
      </c>
      <c r="G79" s="16" t="s">
        <v>351</v>
      </c>
      <c r="H79" s="16" t="s">
        <v>1950</v>
      </c>
      <c r="I79" s="80">
        <v>0.3125</v>
      </c>
      <c r="J79" s="80">
        <v>0.97916666666666663</v>
      </c>
      <c r="K79" s="80">
        <v>8.3333333333333329E-2</v>
      </c>
      <c r="L79" s="80">
        <v>0.3125</v>
      </c>
      <c r="M79" s="81">
        <v>0.97916666666666663</v>
      </c>
      <c r="N79" s="82">
        <v>8.3333333333333329E-2</v>
      </c>
      <c r="O79" s="83">
        <v>0.58333333333333337</v>
      </c>
      <c r="P79" s="84" t="s">
        <v>1924</v>
      </c>
    </row>
    <row r="80" spans="1:16" ht="15.75" customHeight="1">
      <c r="A80" s="78">
        <v>76</v>
      </c>
      <c r="B80" s="79">
        <v>2000</v>
      </c>
      <c r="C80" s="323"/>
      <c r="D80" s="327" t="s">
        <v>352</v>
      </c>
      <c r="E80" s="21" t="s">
        <v>355</v>
      </c>
      <c r="F80" s="21" t="s">
        <v>354</v>
      </c>
      <c r="G80" s="22">
        <v>1111041401</v>
      </c>
      <c r="H80" s="7" t="s">
        <v>1946</v>
      </c>
      <c r="I80" s="80">
        <v>0.3125</v>
      </c>
      <c r="J80" s="80">
        <v>0.3125</v>
      </c>
      <c r="K80" s="80">
        <v>0.125</v>
      </c>
      <c r="L80" s="80">
        <v>0.3125</v>
      </c>
      <c r="M80" s="81">
        <v>0.3125</v>
      </c>
      <c r="N80" s="82">
        <v>0.125</v>
      </c>
      <c r="O80" s="83">
        <v>0.875</v>
      </c>
      <c r="P80" s="84" t="s">
        <v>1924</v>
      </c>
    </row>
    <row r="81" spans="1:16" ht="15.75" customHeight="1">
      <c r="A81" s="78">
        <v>76</v>
      </c>
      <c r="B81" s="79">
        <v>2000</v>
      </c>
      <c r="C81" s="323"/>
      <c r="D81" s="324"/>
      <c r="E81" s="21" t="s">
        <v>1951</v>
      </c>
      <c r="F81" s="21" t="s">
        <v>1952</v>
      </c>
      <c r="G81" s="22">
        <v>1111041402</v>
      </c>
      <c r="H81" s="7" t="s">
        <v>1946</v>
      </c>
      <c r="I81" s="80">
        <v>0.3125</v>
      </c>
      <c r="J81" s="80">
        <v>0.3125</v>
      </c>
      <c r="K81" s="80">
        <v>0.125</v>
      </c>
      <c r="L81" s="80">
        <v>0.3125</v>
      </c>
      <c r="M81" s="81">
        <v>0.3125</v>
      </c>
      <c r="N81" s="82">
        <v>0.125</v>
      </c>
      <c r="O81" s="83">
        <v>0.875</v>
      </c>
      <c r="P81" s="84" t="s">
        <v>1924</v>
      </c>
    </row>
    <row r="82" spans="1:16" ht="15.75" customHeight="1">
      <c r="A82" s="78">
        <v>77</v>
      </c>
      <c r="B82" s="79">
        <v>2000</v>
      </c>
      <c r="C82" s="323"/>
      <c r="D82" s="327" t="s">
        <v>356</v>
      </c>
      <c r="E82" s="98" t="s">
        <v>359</v>
      </c>
      <c r="F82" s="98" t="s">
        <v>1953</v>
      </c>
      <c r="G82" s="98" t="s">
        <v>360</v>
      </c>
      <c r="H82" s="98"/>
      <c r="I82" s="80">
        <v>0.3125</v>
      </c>
      <c r="J82" s="80">
        <v>0.95833333333333337</v>
      </c>
      <c r="K82" s="80">
        <v>8.3333333333333329E-2</v>
      </c>
      <c r="L82" s="80">
        <v>0.3125</v>
      </c>
      <c r="M82" s="81">
        <v>0.97916666666666663</v>
      </c>
      <c r="N82" s="82">
        <v>8.3333333333333329E-2</v>
      </c>
      <c r="O82" s="83">
        <v>0.58333333333333337</v>
      </c>
      <c r="P82" s="84" t="s">
        <v>1924</v>
      </c>
    </row>
    <row r="83" spans="1:16" ht="15.75" customHeight="1">
      <c r="A83" s="78">
        <v>78</v>
      </c>
      <c r="B83" s="79">
        <v>2000</v>
      </c>
      <c r="C83" s="323"/>
      <c r="D83" s="323"/>
      <c r="E83" s="16" t="s">
        <v>363</v>
      </c>
      <c r="F83" s="16" t="s">
        <v>362</v>
      </c>
      <c r="G83" s="16" t="s">
        <v>364</v>
      </c>
      <c r="H83" s="16" t="s">
        <v>38</v>
      </c>
      <c r="I83" s="80">
        <v>0.3125</v>
      </c>
      <c r="J83" s="80">
        <v>0.3125</v>
      </c>
      <c r="K83" s="80">
        <v>0.125</v>
      </c>
      <c r="L83" s="80">
        <v>0.3125</v>
      </c>
      <c r="M83" s="81">
        <v>0.3125</v>
      </c>
      <c r="N83" s="82">
        <v>0.125</v>
      </c>
      <c r="O83" s="83">
        <v>0.875</v>
      </c>
      <c r="P83" s="84" t="s">
        <v>1924</v>
      </c>
    </row>
    <row r="84" spans="1:16" ht="15.75" customHeight="1">
      <c r="A84" s="78">
        <v>79</v>
      </c>
      <c r="B84" s="79">
        <v>2000</v>
      </c>
      <c r="C84" s="323"/>
      <c r="D84" s="323"/>
      <c r="E84" s="98" t="s">
        <v>367</v>
      </c>
      <c r="F84" s="98" t="s">
        <v>1954</v>
      </c>
      <c r="G84" s="98" t="s">
        <v>368</v>
      </c>
      <c r="H84" s="98" t="s">
        <v>1950</v>
      </c>
      <c r="I84" s="80">
        <v>0.3125</v>
      </c>
      <c r="J84" s="80">
        <v>0.97916666666666663</v>
      </c>
      <c r="K84" s="80">
        <v>8.3333333333333329E-2</v>
      </c>
      <c r="L84" s="80">
        <v>0.3125</v>
      </c>
      <c r="M84" s="81">
        <v>0.97916666666666663</v>
      </c>
      <c r="N84" s="82">
        <v>8.3333333333333329E-2</v>
      </c>
      <c r="O84" s="83">
        <v>0.58333333333333337</v>
      </c>
      <c r="P84" s="84" t="s">
        <v>1924</v>
      </c>
    </row>
    <row r="85" spans="1:16" ht="15.75" customHeight="1">
      <c r="A85" s="78">
        <v>80</v>
      </c>
      <c r="B85" s="79">
        <v>2000</v>
      </c>
      <c r="C85" s="323"/>
      <c r="D85" s="323"/>
      <c r="E85" s="7" t="s">
        <v>371</v>
      </c>
      <c r="F85" s="7" t="s">
        <v>370</v>
      </c>
      <c r="G85" s="7" t="s">
        <v>372</v>
      </c>
      <c r="H85" s="7"/>
      <c r="I85" s="80">
        <v>0.3125</v>
      </c>
      <c r="J85" s="80">
        <v>0.97916666666666663</v>
      </c>
      <c r="K85" s="80">
        <v>8.3333333333333329E-2</v>
      </c>
      <c r="L85" s="80">
        <v>0.3125</v>
      </c>
      <c r="M85" s="81">
        <v>0.97916666666666663</v>
      </c>
      <c r="N85" s="82">
        <v>8.3333333333333329E-2</v>
      </c>
      <c r="O85" s="83">
        <v>0.58333333333333337</v>
      </c>
      <c r="P85" s="84" t="s">
        <v>1924</v>
      </c>
    </row>
    <row r="86" spans="1:16" ht="15.75" customHeight="1">
      <c r="A86" s="78">
        <v>81</v>
      </c>
      <c r="B86" s="79">
        <v>2000</v>
      </c>
      <c r="C86" s="323"/>
      <c r="D86" s="323"/>
      <c r="E86" s="7" t="s">
        <v>376</v>
      </c>
      <c r="F86" s="7" t="s">
        <v>375</v>
      </c>
      <c r="G86" s="7" t="s">
        <v>377</v>
      </c>
      <c r="H86" s="7"/>
      <c r="I86" s="80">
        <v>0.3125</v>
      </c>
      <c r="J86" s="80">
        <v>0.97916666666666663</v>
      </c>
      <c r="K86" s="80">
        <v>8.3333333333333329E-2</v>
      </c>
      <c r="L86" s="80">
        <v>0.3125</v>
      </c>
      <c r="M86" s="81">
        <v>0.97916666666666663</v>
      </c>
      <c r="N86" s="82">
        <v>8.3333333333333329E-2</v>
      </c>
      <c r="O86" s="83">
        <v>0.58333333333333337</v>
      </c>
      <c r="P86" s="84" t="s">
        <v>1924</v>
      </c>
    </row>
    <row r="87" spans="1:16" ht="15.75" customHeight="1">
      <c r="A87" s="78">
        <v>82</v>
      </c>
      <c r="B87" s="79">
        <v>2000</v>
      </c>
      <c r="C87" s="323"/>
      <c r="D87" s="324"/>
      <c r="E87" s="7" t="s">
        <v>380</v>
      </c>
      <c r="F87" s="7" t="s">
        <v>379</v>
      </c>
      <c r="G87" s="7" t="s">
        <v>381</v>
      </c>
      <c r="H87" s="7"/>
      <c r="I87" s="80">
        <v>0.3125</v>
      </c>
      <c r="J87" s="80">
        <v>0.97916666666666663</v>
      </c>
      <c r="K87" s="80">
        <v>8.3333333333333329E-2</v>
      </c>
      <c r="L87" s="80">
        <v>0.3125</v>
      </c>
      <c r="M87" s="81">
        <v>0.97916666666666663</v>
      </c>
      <c r="N87" s="82">
        <v>8.3333333333333329E-2</v>
      </c>
      <c r="O87" s="83">
        <v>0.58333333333333337</v>
      </c>
      <c r="P87" s="84" t="s">
        <v>1924</v>
      </c>
    </row>
    <row r="88" spans="1:16" ht="15.75" customHeight="1">
      <c r="A88" s="78">
        <v>83</v>
      </c>
      <c r="B88" s="79">
        <v>2000</v>
      </c>
      <c r="C88" s="324"/>
      <c r="D88" s="91" t="s">
        <v>382</v>
      </c>
      <c r="E88" s="98" t="s">
        <v>385</v>
      </c>
      <c r="F88" s="98" t="s">
        <v>1955</v>
      </c>
      <c r="G88" s="108">
        <v>1111043001</v>
      </c>
      <c r="H88" s="98" t="s">
        <v>1</v>
      </c>
      <c r="I88" s="80">
        <v>0.3125</v>
      </c>
      <c r="J88" s="80">
        <v>0.97916666666666663</v>
      </c>
      <c r="K88" s="80">
        <v>8.3333333333333329E-2</v>
      </c>
      <c r="L88" s="80">
        <v>0.3125</v>
      </c>
      <c r="M88" s="81">
        <v>0.97916666666666663</v>
      </c>
      <c r="N88" s="82">
        <v>8.3333333333333329E-2</v>
      </c>
      <c r="O88" s="83">
        <v>0.58333333333333337</v>
      </c>
      <c r="P88" s="84" t="s">
        <v>1924</v>
      </c>
    </row>
    <row r="89" spans="1:16" ht="15.75" customHeight="1">
      <c r="A89" s="78">
        <v>84</v>
      </c>
      <c r="B89" s="79">
        <v>2000</v>
      </c>
      <c r="C89" s="329" t="s">
        <v>391</v>
      </c>
      <c r="D89" s="328" t="s">
        <v>386</v>
      </c>
      <c r="E89" s="21" t="s">
        <v>389</v>
      </c>
      <c r="F89" s="21" t="s">
        <v>388</v>
      </c>
      <c r="G89" s="21" t="s">
        <v>390</v>
      </c>
      <c r="H89" s="7" t="s">
        <v>1946</v>
      </c>
      <c r="I89" s="80">
        <v>0.3125</v>
      </c>
      <c r="J89" s="80">
        <v>0.97916666666666663</v>
      </c>
      <c r="K89" s="80">
        <v>8.3333333333333329E-2</v>
      </c>
      <c r="L89" s="80">
        <v>0.3125</v>
      </c>
      <c r="M89" s="81">
        <v>0.97916666666666663</v>
      </c>
      <c r="N89" s="82">
        <v>8.3333333333333329E-2</v>
      </c>
      <c r="O89" s="83">
        <v>0.58333333333333337</v>
      </c>
      <c r="P89" s="84" t="s">
        <v>1924</v>
      </c>
    </row>
    <row r="90" spans="1:16" ht="15.75" customHeight="1">
      <c r="A90" s="78">
        <v>85</v>
      </c>
      <c r="B90" s="79">
        <v>2000</v>
      </c>
      <c r="C90" s="323"/>
      <c r="D90" s="323"/>
      <c r="E90" s="21" t="s">
        <v>395</v>
      </c>
      <c r="F90" s="21" t="s">
        <v>394</v>
      </c>
      <c r="G90" s="21" t="s">
        <v>396</v>
      </c>
      <c r="H90" s="7" t="s">
        <v>1946</v>
      </c>
      <c r="I90" s="80">
        <v>0.3125</v>
      </c>
      <c r="J90" s="80">
        <v>0.97916666666666663</v>
      </c>
      <c r="K90" s="80">
        <v>8.3333333333333329E-2</v>
      </c>
      <c r="L90" s="80">
        <v>0.3125</v>
      </c>
      <c r="M90" s="81">
        <v>0.97916666666666663</v>
      </c>
      <c r="N90" s="82">
        <v>8.3333333333333329E-2</v>
      </c>
      <c r="O90" s="83">
        <v>0.58333333333333337</v>
      </c>
      <c r="P90" s="84" t="s">
        <v>1924</v>
      </c>
    </row>
    <row r="91" spans="1:16" ht="15.75" customHeight="1">
      <c r="A91" s="78">
        <v>86</v>
      </c>
      <c r="B91" s="79">
        <v>2000</v>
      </c>
      <c r="C91" s="323"/>
      <c r="D91" s="323"/>
      <c r="E91" s="21" t="s">
        <v>399</v>
      </c>
      <c r="F91" s="21" t="s">
        <v>398</v>
      </c>
      <c r="G91" s="21" t="s">
        <v>400</v>
      </c>
      <c r="H91" s="7" t="s">
        <v>1946</v>
      </c>
      <c r="I91" s="80">
        <v>0.3125</v>
      </c>
      <c r="J91" s="80">
        <v>0.97916666666666663</v>
      </c>
      <c r="K91" s="80">
        <v>8.3333333333333329E-2</v>
      </c>
      <c r="L91" s="80">
        <v>0.3125</v>
      </c>
      <c r="M91" s="81">
        <v>0.97916666666666663</v>
      </c>
      <c r="N91" s="82">
        <v>8.3333333333333329E-2</v>
      </c>
      <c r="O91" s="83">
        <v>0.58333333333333337</v>
      </c>
      <c r="P91" s="84" t="s">
        <v>1924</v>
      </c>
    </row>
    <row r="92" spans="1:16" ht="15.75" customHeight="1">
      <c r="A92" s="78">
        <v>87</v>
      </c>
      <c r="B92" s="79">
        <v>2000</v>
      </c>
      <c r="C92" s="323"/>
      <c r="D92" s="323"/>
      <c r="E92" s="21" t="s">
        <v>403</v>
      </c>
      <c r="F92" s="21" t="s">
        <v>402</v>
      </c>
      <c r="G92" s="21" t="s">
        <v>404</v>
      </c>
      <c r="H92" s="7" t="s">
        <v>1946</v>
      </c>
      <c r="I92" s="80">
        <v>0.3125</v>
      </c>
      <c r="J92" s="80">
        <v>0.97916666666666663</v>
      </c>
      <c r="K92" s="80">
        <v>8.3333333333333329E-2</v>
      </c>
      <c r="L92" s="80">
        <v>0.3125</v>
      </c>
      <c r="M92" s="81">
        <v>0.97916666666666663</v>
      </c>
      <c r="N92" s="82">
        <v>8.3333333333333329E-2</v>
      </c>
      <c r="O92" s="83">
        <v>0.58333333333333337</v>
      </c>
      <c r="P92" s="84" t="s">
        <v>1924</v>
      </c>
    </row>
    <row r="93" spans="1:16" ht="15.75" customHeight="1">
      <c r="A93" s="78">
        <v>88</v>
      </c>
      <c r="B93" s="79">
        <v>2000</v>
      </c>
      <c r="C93" s="323"/>
      <c r="D93" s="323"/>
      <c r="E93" s="21" t="s">
        <v>407</v>
      </c>
      <c r="F93" s="21" t="s">
        <v>406</v>
      </c>
      <c r="G93" s="21" t="s">
        <v>408</v>
      </c>
      <c r="H93" s="7" t="s">
        <v>1946</v>
      </c>
      <c r="I93" s="80">
        <v>0.3125</v>
      </c>
      <c r="J93" s="80">
        <v>0.97916666666666663</v>
      </c>
      <c r="K93" s="80">
        <v>8.3333333333333329E-2</v>
      </c>
      <c r="L93" s="80">
        <v>0.3125</v>
      </c>
      <c r="M93" s="81">
        <v>0.97916666666666663</v>
      </c>
      <c r="N93" s="82">
        <v>8.3333333333333329E-2</v>
      </c>
      <c r="O93" s="83">
        <v>0.58333333333333337</v>
      </c>
      <c r="P93" s="84" t="s">
        <v>1924</v>
      </c>
    </row>
    <row r="94" spans="1:16" ht="15.75" customHeight="1">
      <c r="A94" s="78">
        <v>89</v>
      </c>
      <c r="B94" s="79">
        <v>2000</v>
      </c>
      <c r="C94" s="323"/>
      <c r="D94" s="323"/>
      <c r="E94" s="21" t="s">
        <v>411</v>
      </c>
      <c r="F94" s="21" t="s">
        <v>410</v>
      </c>
      <c r="G94" s="21" t="s">
        <v>412</v>
      </c>
      <c r="H94" s="7" t="s">
        <v>1946</v>
      </c>
      <c r="I94" s="80">
        <v>0.3125</v>
      </c>
      <c r="J94" s="80">
        <v>0.97916666666666663</v>
      </c>
      <c r="K94" s="80">
        <v>8.3333333333333329E-2</v>
      </c>
      <c r="L94" s="80">
        <v>0.3125</v>
      </c>
      <c r="M94" s="81">
        <v>0.97916666666666663</v>
      </c>
      <c r="N94" s="82">
        <v>8.3333333333333329E-2</v>
      </c>
      <c r="O94" s="83">
        <v>0.58333333333333337</v>
      </c>
      <c r="P94" s="84" t="s">
        <v>1924</v>
      </c>
    </row>
    <row r="95" spans="1:16" ht="15.75" customHeight="1">
      <c r="A95" s="78">
        <v>90</v>
      </c>
      <c r="B95" s="79">
        <v>2000</v>
      </c>
      <c r="C95" s="323"/>
      <c r="D95" s="323"/>
      <c r="E95" s="21" t="s">
        <v>415</v>
      </c>
      <c r="F95" s="21" t="s">
        <v>414</v>
      </c>
      <c r="G95" s="21" t="s">
        <v>416</v>
      </c>
      <c r="H95" s="7" t="s">
        <v>1946</v>
      </c>
      <c r="I95" s="80">
        <v>0.3125</v>
      </c>
      <c r="J95" s="80">
        <v>0.97916666666666663</v>
      </c>
      <c r="K95" s="80">
        <v>8.3333333333333329E-2</v>
      </c>
      <c r="L95" s="80">
        <v>0.3125</v>
      </c>
      <c r="M95" s="81">
        <v>0.97916666666666663</v>
      </c>
      <c r="N95" s="82">
        <v>8.3333333333333329E-2</v>
      </c>
      <c r="O95" s="83">
        <v>0.58333333333333337</v>
      </c>
      <c r="P95" s="84" t="s">
        <v>1924</v>
      </c>
    </row>
    <row r="96" spans="1:16" ht="15.75" customHeight="1">
      <c r="A96" s="78">
        <v>91</v>
      </c>
      <c r="B96" s="79">
        <v>2000</v>
      </c>
      <c r="C96" s="323"/>
      <c r="D96" s="324"/>
      <c r="E96" s="21" t="s">
        <v>419</v>
      </c>
      <c r="F96" s="21" t="s">
        <v>418</v>
      </c>
      <c r="G96" s="22">
        <v>1111081008</v>
      </c>
      <c r="H96" s="7" t="s">
        <v>1946</v>
      </c>
      <c r="I96" s="80">
        <v>0.3125</v>
      </c>
      <c r="J96" s="80">
        <v>0.97916666666666663</v>
      </c>
      <c r="K96" s="80">
        <v>8.3333333333333329E-2</v>
      </c>
      <c r="L96" s="80">
        <v>0.3125</v>
      </c>
      <c r="M96" s="81">
        <v>0.97916666666666663</v>
      </c>
      <c r="N96" s="82">
        <v>8.3333333333333329E-2</v>
      </c>
      <c r="O96" s="83">
        <v>0.58333333333333337</v>
      </c>
      <c r="P96" s="84" t="s">
        <v>1924</v>
      </c>
    </row>
    <row r="97" spans="1:16" ht="15.75" customHeight="1">
      <c r="A97" s="78">
        <v>92</v>
      </c>
      <c r="B97" s="79">
        <v>2000</v>
      </c>
      <c r="C97" s="323"/>
      <c r="D97" s="327" t="s">
        <v>356</v>
      </c>
      <c r="E97" s="7" t="s">
        <v>422</v>
      </c>
      <c r="F97" s="7" t="s">
        <v>421</v>
      </c>
      <c r="G97" s="6">
        <v>1111082501</v>
      </c>
      <c r="H97" s="7"/>
      <c r="I97" s="80">
        <v>0.3125</v>
      </c>
      <c r="J97" s="80">
        <v>0.97916666666666663</v>
      </c>
      <c r="K97" s="80">
        <v>8.3333333333333329E-2</v>
      </c>
      <c r="L97" s="80">
        <v>0.3125</v>
      </c>
      <c r="M97" s="81">
        <v>0.91666666666666663</v>
      </c>
      <c r="N97" s="82">
        <v>0.14583333333333334</v>
      </c>
      <c r="O97" s="83">
        <v>0.45833333333333331</v>
      </c>
      <c r="P97" s="84" t="s">
        <v>1924</v>
      </c>
    </row>
    <row r="98" spans="1:16" ht="15.75" customHeight="1">
      <c r="A98" s="78">
        <v>93</v>
      </c>
      <c r="B98" s="79">
        <v>2000</v>
      </c>
      <c r="C98" s="323"/>
      <c r="D98" s="323"/>
      <c r="E98" s="7" t="s">
        <v>426</v>
      </c>
      <c r="F98" s="7" t="s">
        <v>427</v>
      </c>
      <c r="G98" s="6">
        <v>1111082504</v>
      </c>
      <c r="H98" s="7"/>
      <c r="I98" s="80">
        <v>0.3125</v>
      </c>
      <c r="J98" s="80">
        <v>0.64583333333333337</v>
      </c>
      <c r="K98" s="80">
        <v>4.1666666666666664E-2</v>
      </c>
      <c r="L98" s="80">
        <v>0.3125</v>
      </c>
      <c r="M98" s="81">
        <v>0.58333333333333337</v>
      </c>
      <c r="N98" s="82">
        <v>4.1666666666666664E-2</v>
      </c>
      <c r="O98" s="83">
        <v>0.22916666666666666</v>
      </c>
      <c r="P98" s="84" t="s">
        <v>1924</v>
      </c>
    </row>
    <row r="99" spans="1:16" ht="15.75" customHeight="1">
      <c r="A99" s="78">
        <v>94</v>
      </c>
      <c r="B99" s="79">
        <v>2000</v>
      </c>
      <c r="C99" s="323"/>
      <c r="D99" s="323"/>
      <c r="E99" s="7" t="s">
        <v>430</v>
      </c>
      <c r="F99" s="7" t="s">
        <v>431</v>
      </c>
      <c r="G99" s="6">
        <v>1111082503</v>
      </c>
      <c r="H99" s="7"/>
      <c r="I99" s="80">
        <v>0.3125</v>
      </c>
      <c r="J99" s="80">
        <v>0.64583333333333337</v>
      </c>
      <c r="K99" s="80">
        <v>4.1666666666666664E-2</v>
      </c>
      <c r="L99" s="80">
        <v>0.3125</v>
      </c>
      <c r="M99" s="81">
        <v>0.58333333333333337</v>
      </c>
      <c r="N99" s="82">
        <v>4.1666666666666664E-2</v>
      </c>
      <c r="O99" s="83">
        <v>0.22916666666666666</v>
      </c>
      <c r="P99" s="84" t="s">
        <v>1924</v>
      </c>
    </row>
    <row r="100" spans="1:16" ht="15.75" customHeight="1">
      <c r="A100" s="78">
        <v>95</v>
      </c>
      <c r="B100" s="79">
        <v>2000</v>
      </c>
      <c r="C100" s="323"/>
      <c r="D100" s="323"/>
      <c r="E100" s="7" t="s">
        <v>434</v>
      </c>
      <c r="F100" s="7" t="s">
        <v>433</v>
      </c>
      <c r="G100" s="6">
        <v>1111082401</v>
      </c>
      <c r="H100" s="7"/>
      <c r="I100" s="80">
        <v>0.3125</v>
      </c>
      <c r="J100" s="80">
        <v>0.97916666666666663</v>
      </c>
      <c r="K100" s="80">
        <v>8.3333333333333329E-2</v>
      </c>
      <c r="L100" s="80">
        <v>0.3125</v>
      </c>
      <c r="M100" s="81">
        <v>0.91666666666666663</v>
      </c>
      <c r="N100" s="82">
        <v>0.14583333333333334</v>
      </c>
      <c r="O100" s="83">
        <v>0.45833333333333331</v>
      </c>
      <c r="P100" s="84" t="s">
        <v>1924</v>
      </c>
    </row>
    <row r="101" spans="1:16" ht="15.75" customHeight="1">
      <c r="A101" s="78">
        <v>96</v>
      </c>
      <c r="B101" s="79">
        <v>2000</v>
      </c>
      <c r="C101" s="323"/>
      <c r="D101" s="323"/>
      <c r="E101" s="7" t="s">
        <v>437</v>
      </c>
      <c r="F101" s="7" t="s">
        <v>438</v>
      </c>
      <c r="G101" s="6">
        <v>1111082404</v>
      </c>
      <c r="H101" s="7"/>
      <c r="I101" s="80">
        <v>0.3125</v>
      </c>
      <c r="J101" s="80">
        <v>0.64583333333333337</v>
      </c>
      <c r="K101" s="80">
        <v>4.1666666666666664E-2</v>
      </c>
      <c r="L101" s="80">
        <v>0.3125</v>
      </c>
      <c r="M101" s="81">
        <v>0.58333333333333337</v>
      </c>
      <c r="N101" s="82">
        <v>4.1666666666666664E-2</v>
      </c>
      <c r="O101" s="83">
        <v>0.22916666666666666</v>
      </c>
      <c r="P101" s="84" t="s">
        <v>1924</v>
      </c>
    </row>
    <row r="102" spans="1:16" ht="15.75" customHeight="1">
      <c r="A102" s="78">
        <v>97</v>
      </c>
      <c r="B102" s="79">
        <v>2000</v>
      </c>
      <c r="C102" s="323"/>
      <c r="D102" s="323"/>
      <c r="E102" s="7" t="s">
        <v>441</v>
      </c>
      <c r="F102" s="7" t="s">
        <v>440</v>
      </c>
      <c r="G102" s="6">
        <v>1111082403</v>
      </c>
      <c r="H102" s="7"/>
      <c r="I102" s="80">
        <v>0.3125</v>
      </c>
      <c r="J102" s="80">
        <v>0.64583333333333337</v>
      </c>
      <c r="K102" s="80">
        <v>4.1666666666666664E-2</v>
      </c>
      <c r="L102" s="80">
        <v>0.3125</v>
      </c>
      <c r="M102" s="81">
        <v>0.58333333333333337</v>
      </c>
      <c r="N102" s="82">
        <v>4.1666666666666664E-2</v>
      </c>
      <c r="O102" s="83">
        <v>0.22916666666666666</v>
      </c>
      <c r="P102" s="84" t="s">
        <v>1924</v>
      </c>
    </row>
    <row r="103" spans="1:16" ht="15.75" customHeight="1">
      <c r="A103" s="78">
        <v>98</v>
      </c>
      <c r="B103" s="79">
        <v>2000</v>
      </c>
      <c r="C103" s="323"/>
      <c r="D103" s="323"/>
      <c r="E103" s="7" t="s">
        <v>442</v>
      </c>
      <c r="F103" s="7" t="s">
        <v>443</v>
      </c>
      <c r="G103" s="6">
        <v>1111082505</v>
      </c>
      <c r="H103" s="7"/>
      <c r="I103" s="80">
        <v>0.3125</v>
      </c>
      <c r="J103" s="80">
        <v>0.64583333333333337</v>
      </c>
      <c r="K103" s="80">
        <v>4.1666666666666664E-2</v>
      </c>
      <c r="L103" s="80">
        <v>0.3125</v>
      </c>
      <c r="M103" s="81">
        <v>0.58333333333333337</v>
      </c>
      <c r="N103" s="82">
        <v>4.1666666666666664E-2</v>
      </c>
      <c r="O103" s="83">
        <v>0.22916666666666666</v>
      </c>
      <c r="P103" s="84" t="s">
        <v>1924</v>
      </c>
    </row>
    <row r="104" spans="1:16" ht="15.75" customHeight="1">
      <c r="A104" s="78">
        <v>99</v>
      </c>
      <c r="B104" s="79">
        <v>2000</v>
      </c>
      <c r="C104" s="323"/>
      <c r="D104" s="323"/>
      <c r="E104" s="7" t="s">
        <v>444</v>
      </c>
      <c r="F104" s="7" t="s">
        <v>445</v>
      </c>
      <c r="G104" s="6">
        <v>1111082506</v>
      </c>
      <c r="H104" s="7"/>
      <c r="I104" s="80">
        <v>0.3125</v>
      </c>
      <c r="J104" s="80">
        <v>0.64583333333333337</v>
      </c>
      <c r="K104" s="80">
        <v>4.1666666666666664E-2</v>
      </c>
      <c r="L104" s="80">
        <v>0.3125</v>
      </c>
      <c r="M104" s="81">
        <v>0.58333333333333337</v>
      </c>
      <c r="N104" s="82">
        <v>4.1666666666666664E-2</v>
      </c>
      <c r="O104" s="83">
        <v>0.22916666666666666</v>
      </c>
      <c r="P104" s="84" t="s">
        <v>1924</v>
      </c>
    </row>
    <row r="105" spans="1:16" ht="15.75" customHeight="1">
      <c r="A105" s="78">
        <v>100</v>
      </c>
      <c r="B105" s="79">
        <v>2000</v>
      </c>
      <c r="C105" s="323"/>
      <c r="D105" s="323"/>
      <c r="E105" s="7" t="s">
        <v>446</v>
      </c>
      <c r="F105" s="7" t="s">
        <v>447</v>
      </c>
      <c r="G105" s="6">
        <v>1111082507</v>
      </c>
      <c r="H105" s="7"/>
      <c r="I105" s="80">
        <v>0.3125</v>
      </c>
      <c r="J105" s="80">
        <v>0.64583333333333337</v>
      </c>
      <c r="K105" s="80">
        <v>4.1666666666666664E-2</v>
      </c>
      <c r="L105" s="80">
        <v>0.3125</v>
      </c>
      <c r="M105" s="81">
        <v>0.58333333333333337</v>
      </c>
      <c r="N105" s="82">
        <v>4.1666666666666664E-2</v>
      </c>
      <c r="O105" s="83">
        <v>0.22916666666666666</v>
      </c>
      <c r="P105" s="84" t="s">
        <v>1924</v>
      </c>
    </row>
    <row r="106" spans="1:16" ht="15.75" customHeight="1">
      <c r="A106" s="78">
        <v>101</v>
      </c>
      <c r="B106" s="79">
        <v>2000</v>
      </c>
      <c r="C106" s="324"/>
      <c r="D106" s="324"/>
      <c r="E106" s="7" t="s">
        <v>448</v>
      </c>
      <c r="F106" s="7" t="s">
        <v>449</v>
      </c>
      <c r="G106" s="6">
        <v>1111082405</v>
      </c>
      <c r="H106" s="7"/>
      <c r="I106" s="80">
        <v>0.3125</v>
      </c>
      <c r="J106" s="80">
        <v>0.64583333333333337</v>
      </c>
      <c r="K106" s="80">
        <v>4.1666666666666664E-2</v>
      </c>
      <c r="L106" s="80">
        <v>0.3125</v>
      </c>
      <c r="M106" s="81">
        <v>0.58333333333333337</v>
      </c>
      <c r="N106" s="82">
        <v>4.1666666666666664E-2</v>
      </c>
      <c r="O106" s="83">
        <v>0.22916666666666666</v>
      </c>
      <c r="P106" s="84" t="s">
        <v>1924</v>
      </c>
    </row>
    <row r="107" spans="1:16" ht="15.75" customHeight="1">
      <c r="A107" s="78">
        <v>102</v>
      </c>
      <c r="B107" s="79">
        <v>2000</v>
      </c>
      <c r="C107" s="329" t="s">
        <v>450</v>
      </c>
      <c r="D107" s="327" t="s">
        <v>1956</v>
      </c>
      <c r="E107" s="7" t="s">
        <v>453</v>
      </c>
      <c r="F107" s="7" t="s">
        <v>1957</v>
      </c>
      <c r="G107" s="6">
        <v>1111110001</v>
      </c>
      <c r="H107" s="7"/>
      <c r="I107" s="80">
        <v>0.3125</v>
      </c>
      <c r="J107" s="80">
        <v>0.64583333333333337</v>
      </c>
      <c r="K107" s="80">
        <v>4.1666666666666664E-2</v>
      </c>
      <c r="L107" s="80">
        <v>0.3125</v>
      </c>
      <c r="M107" s="81">
        <v>0.58333333333333337</v>
      </c>
      <c r="N107" s="82">
        <v>4.1666666666666664E-2</v>
      </c>
      <c r="O107" s="83">
        <v>0.22916666666666666</v>
      </c>
      <c r="P107" s="84" t="s">
        <v>1924</v>
      </c>
    </row>
    <row r="108" spans="1:16" ht="15.75" customHeight="1">
      <c r="A108" s="78"/>
      <c r="B108" s="79"/>
      <c r="C108" s="323"/>
      <c r="D108" s="324"/>
      <c r="E108" s="7" t="s">
        <v>1958</v>
      </c>
      <c r="F108" s="7" t="s">
        <v>1959</v>
      </c>
      <c r="G108" s="6">
        <v>1111110001</v>
      </c>
      <c r="H108" s="7"/>
      <c r="I108" s="80"/>
      <c r="J108" s="80"/>
      <c r="K108" s="80"/>
      <c r="L108" s="80"/>
      <c r="M108" s="81"/>
      <c r="N108" s="82"/>
      <c r="O108" s="83"/>
      <c r="P108" s="84"/>
    </row>
    <row r="109" spans="1:16" ht="15.75" customHeight="1">
      <c r="A109" s="78">
        <v>103</v>
      </c>
      <c r="B109" s="79">
        <v>2000</v>
      </c>
      <c r="C109" s="324"/>
      <c r="D109" s="27" t="s">
        <v>450</v>
      </c>
      <c r="E109" s="7" t="s">
        <v>457</v>
      </c>
      <c r="F109" s="7" t="s">
        <v>456</v>
      </c>
      <c r="G109" s="6" t="s">
        <v>458</v>
      </c>
      <c r="H109" s="7"/>
      <c r="I109" s="80">
        <v>0.3125</v>
      </c>
      <c r="J109" s="80">
        <v>0.64583333333333337</v>
      </c>
      <c r="K109" s="80">
        <v>4.1666666666666664E-2</v>
      </c>
      <c r="L109" s="80">
        <v>0.3125</v>
      </c>
      <c r="M109" s="81">
        <v>0.58333333333333337</v>
      </c>
      <c r="N109" s="82">
        <v>4.1666666666666664E-2</v>
      </c>
      <c r="O109" s="83">
        <v>0.22916666666666666</v>
      </c>
      <c r="P109" s="84" t="s">
        <v>1924</v>
      </c>
    </row>
    <row r="110" spans="1:16" ht="15.75" customHeight="1">
      <c r="A110" s="78">
        <v>104</v>
      </c>
      <c r="B110" s="79">
        <v>2000</v>
      </c>
      <c r="C110" s="329" t="s">
        <v>1960</v>
      </c>
      <c r="D110" s="327" t="s">
        <v>168</v>
      </c>
      <c r="E110" s="21" t="s">
        <v>461</v>
      </c>
      <c r="F110" s="21" t="s">
        <v>460</v>
      </c>
      <c r="G110" s="22" t="s">
        <v>462</v>
      </c>
      <c r="H110" s="7" t="s">
        <v>1946</v>
      </c>
      <c r="I110" s="80">
        <v>0.3125</v>
      </c>
      <c r="J110" s="80">
        <v>0.64583333333333337</v>
      </c>
      <c r="K110" s="80">
        <v>4.1666666666666664E-2</v>
      </c>
      <c r="L110" s="80">
        <v>0.3125</v>
      </c>
      <c r="M110" s="81">
        <v>0.58333333333333337</v>
      </c>
      <c r="N110" s="82">
        <v>4.1666666666666664E-2</v>
      </c>
      <c r="O110" s="83">
        <v>0.22916666666666666</v>
      </c>
      <c r="P110" s="84" t="s">
        <v>1924</v>
      </c>
    </row>
    <row r="111" spans="1:16" ht="15.75" customHeight="1">
      <c r="A111" s="78">
        <v>105</v>
      </c>
      <c r="B111" s="79">
        <v>2000</v>
      </c>
      <c r="C111" s="323"/>
      <c r="D111" s="323"/>
      <c r="E111" s="21" t="s">
        <v>468</v>
      </c>
      <c r="F111" s="21" t="s">
        <v>467</v>
      </c>
      <c r="G111" s="22">
        <v>1111071002</v>
      </c>
      <c r="H111" s="7" t="s">
        <v>1946</v>
      </c>
      <c r="I111" s="80">
        <v>0.3125</v>
      </c>
      <c r="J111" s="80">
        <v>0.97916666666666663</v>
      </c>
      <c r="K111" s="80">
        <v>8.3333333333333329E-2</v>
      </c>
      <c r="L111" s="80">
        <v>0.3125</v>
      </c>
      <c r="M111" s="81">
        <v>0.97916666666666663</v>
      </c>
      <c r="N111" s="82">
        <v>8.3333333333333329E-2</v>
      </c>
      <c r="O111" s="83">
        <v>0.58333333333333337</v>
      </c>
      <c r="P111" s="84" t="s">
        <v>1924</v>
      </c>
    </row>
    <row r="112" spans="1:16" ht="15.75" customHeight="1">
      <c r="A112" s="78">
        <v>106</v>
      </c>
      <c r="B112" s="79">
        <v>2000</v>
      </c>
      <c r="C112" s="323"/>
      <c r="D112" s="324"/>
      <c r="E112" s="21" t="s">
        <v>472</v>
      </c>
      <c r="F112" s="21" t="s">
        <v>471</v>
      </c>
      <c r="G112" s="22" t="s">
        <v>473</v>
      </c>
      <c r="H112" s="7" t="s">
        <v>1946</v>
      </c>
      <c r="I112" s="80">
        <v>0.3125</v>
      </c>
      <c r="J112" s="80">
        <v>0.97916666666666663</v>
      </c>
      <c r="K112" s="80">
        <v>8.3333333333333329E-2</v>
      </c>
      <c r="L112" s="80">
        <v>0.3125</v>
      </c>
      <c r="M112" s="81">
        <v>0.97916666666666663</v>
      </c>
      <c r="N112" s="82">
        <v>8.3333333333333329E-2</v>
      </c>
      <c r="O112" s="83">
        <v>0.58333333333333337</v>
      </c>
      <c r="P112" s="84" t="s">
        <v>1924</v>
      </c>
    </row>
    <row r="113" spans="1:16" ht="15.75" customHeight="1">
      <c r="A113" s="78">
        <v>107</v>
      </c>
      <c r="B113" s="79">
        <v>2000</v>
      </c>
      <c r="C113" s="323"/>
      <c r="D113" s="91" t="s">
        <v>465</v>
      </c>
      <c r="E113" s="21" t="s">
        <v>476</v>
      </c>
      <c r="F113" s="21" t="s">
        <v>475</v>
      </c>
      <c r="G113" s="22" t="s">
        <v>477</v>
      </c>
      <c r="H113" s="7" t="s">
        <v>1946</v>
      </c>
      <c r="I113" s="80">
        <v>0.3125</v>
      </c>
      <c r="J113" s="80">
        <v>0.64583333333333337</v>
      </c>
      <c r="K113" s="80">
        <v>4.1666666666666664E-2</v>
      </c>
      <c r="L113" s="80">
        <v>0.3125</v>
      </c>
      <c r="M113" s="81">
        <v>0.58333333333333337</v>
      </c>
      <c r="N113" s="82">
        <v>4.1666666666666664E-2</v>
      </c>
      <c r="O113" s="83">
        <v>0.22916666666666666</v>
      </c>
      <c r="P113" s="84" t="s">
        <v>1924</v>
      </c>
    </row>
    <row r="114" spans="1:16" ht="15.75" customHeight="1">
      <c r="A114" s="78">
        <v>108</v>
      </c>
      <c r="B114" s="79">
        <v>2000</v>
      </c>
      <c r="C114" s="323"/>
      <c r="D114" s="327" t="s">
        <v>356</v>
      </c>
      <c r="E114" s="7" t="s">
        <v>480</v>
      </c>
      <c r="F114" s="7" t="s">
        <v>479</v>
      </c>
      <c r="G114" s="6" t="s">
        <v>481</v>
      </c>
      <c r="H114" s="7"/>
      <c r="I114" s="80">
        <v>0.3125</v>
      </c>
      <c r="J114" s="80">
        <v>0.64583333333333337</v>
      </c>
      <c r="K114" s="80">
        <v>4.1666666666666664E-2</v>
      </c>
      <c r="L114" s="80">
        <v>0.3125</v>
      </c>
      <c r="M114" s="81">
        <v>0.58333333333333337</v>
      </c>
      <c r="N114" s="82">
        <v>4.1666666666666664E-2</v>
      </c>
      <c r="O114" s="83">
        <v>0.22916666666666666</v>
      </c>
      <c r="P114" s="84" t="s">
        <v>1924</v>
      </c>
    </row>
    <row r="115" spans="1:16" ht="15.75" customHeight="1">
      <c r="A115" s="78">
        <v>109</v>
      </c>
      <c r="B115" s="79">
        <v>2000</v>
      </c>
      <c r="C115" s="323"/>
      <c r="D115" s="323"/>
      <c r="E115" s="7" t="s">
        <v>484</v>
      </c>
      <c r="F115" s="7" t="s">
        <v>485</v>
      </c>
      <c r="G115" s="6">
        <v>1111073002</v>
      </c>
      <c r="H115" s="7"/>
      <c r="I115" s="80">
        <v>0.3125</v>
      </c>
      <c r="J115" s="80">
        <v>0.64583333333333337</v>
      </c>
      <c r="K115" s="80">
        <v>4.1666666666666664E-2</v>
      </c>
      <c r="L115" s="80">
        <v>0.3125</v>
      </c>
      <c r="M115" s="81">
        <v>0.58333333333333337</v>
      </c>
      <c r="N115" s="82">
        <v>4.1666666666666664E-2</v>
      </c>
      <c r="O115" s="83">
        <v>0.22916666666666666</v>
      </c>
      <c r="P115" s="84" t="s">
        <v>1924</v>
      </c>
    </row>
    <row r="116" spans="1:16" ht="15.75" customHeight="1">
      <c r="A116" s="78">
        <v>110</v>
      </c>
      <c r="B116" s="79">
        <v>2000</v>
      </c>
      <c r="C116" s="324"/>
      <c r="D116" s="324"/>
      <c r="E116" s="7" t="s">
        <v>487</v>
      </c>
      <c r="F116" s="7" t="s">
        <v>488</v>
      </c>
      <c r="G116" s="6">
        <v>1111073003</v>
      </c>
      <c r="H116" s="7"/>
      <c r="I116" s="80">
        <v>0.3125</v>
      </c>
      <c r="J116" s="80">
        <v>0.64583333333333337</v>
      </c>
      <c r="K116" s="80">
        <v>4.1666666666666664E-2</v>
      </c>
      <c r="L116" s="80">
        <v>0.3125</v>
      </c>
      <c r="M116" s="81">
        <v>0.58333333333333337</v>
      </c>
      <c r="N116" s="82">
        <v>4.1666666666666664E-2</v>
      </c>
      <c r="O116" s="83">
        <v>0.22916666666666666</v>
      </c>
      <c r="P116" s="84" t="s">
        <v>1924</v>
      </c>
    </row>
    <row r="117" spans="1:16" ht="15.75" customHeight="1">
      <c r="A117" s="78">
        <v>111</v>
      </c>
      <c r="B117" s="79">
        <v>2000</v>
      </c>
      <c r="C117" s="326" t="s">
        <v>494</v>
      </c>
      <c r="D117" s="327" t="s">
        <v>489</v>
      </c>
      <c r="E117" s="21" t="s">
        <v>492</v>
      </c>
      <c r="F117" s="21" t="s">
        <v>491</v>
      </c>
      <c r="G117" s="22" t="s">
        <v>493</v>
      </c>
      <c r="H117" s="7" t="s">
        <v>1946</v>
      </c>
      <c r="I117" s="80">
        <v>0.3125</v>
      </c>
      <c r="J117" s="80">
        <v>0.64583333333333337</v>
      </c>
      <c r="K117" s="80">
        <v>4.1666666666666664E-2</v>
      </c>
      <c r="L117" s="80">
        <v>0.3125</v>
      </c>
      <c r="M117" s="81">
        <v>0.58333333333333337</v>
      </c>
      <c r="N117" s="82">
        <v>4.1666666666666664E-2</v>
      </c>
      <c r="O117" s="83">
        <v>0.22916666666666666</v>
      </c>
      <c r="P117" s="84" t="s">
        <v>1924</v>
      </c>
    </row>
    <row r="118" spans="1:16" ht="15.75" customHeight="1">
      <c r="A118" s="78">
        <v>112</v>
      </c>
      <c r="B118" s="79">
        <v>2000</v>
      </c>
      <c r="C118" s="323"/>
      <c r="D118" s="323"/>
      <c r="E118" s="21" t="s">
        <v>498</v>
      </c>
      <c r="F118" s="21" t="s">
        <v>497</v>
      </c>
      <c r="G118" s="22" t="s">
        <v>499</v>
      </c>
      <c r="H118" s="7" t="s">
        <v>1946</v>
      </c>
      <c r="I118" s="80">
        <v>0.3125</v>
      </c>
      <c r="J118" s="80">
        <v>0.64583333333333337</v>
      </c>
      <c r="K118" s="80">
        <v>4.1666666666666664E-2</v>
      </c>
      <c r="L118" s="80">
        <v>0.3125</v>
      </c>
      <c r="M118" s="81">
        <v>0.58333333333333337</v>
      </c>
      <c r="N118" s="82">
        <v>4.1666666666666664E-2</v>
      </c>
      <c r="O118" s="83">
        <v>0.22916666666666666</v>
      </c>
      <c r="P118" s="84" t="s">
        <v>1924</v>
      </c>
    </row>
    <row r="119" spans="1:16" ht="15.75" customHeight="1">
      <c r="A119" s="78">
        <v>113</v>
      </c>
      <c r="B119" s="79">
        <v>2000</v>
      </c>
      <c r="C119" s="323"/>
      <c r="D119" s="323"/>
      <c r="E119" s="21" t="s">
        <v>502</v>
      </c>
      <c r="F119" s="21" t="s">
        <v>501</v>
      </c>
      <c r="G119" s="21" t="s">
        <v>503</v>
      </c>
      <c r="H119" s="7" t="s">
        <v>1946</v>
      </c>
      <c r="I119" s="80">
        <v>0.3125</v>
      </c>
      <c r="J119" s="80">
        <v>0.64583333333333337</v>
      </c>
      <c r="K119" s="80">
        <v>4.1666666666666664E-2</v>
      </c>
      <c r="L119" s="80">
        <v>0.3125</v>
      </c>
      <c r="M119" s="81">
        <v>0.58333333333333337</v>
      </c>
      <c r="N119" s="82">
        <v>4.1666666666666664E-2</v>
      </c>
      <c r="O119" s="83">
        <v>0.22916666666666666</v>
      </c>
      <c r="P119" s="84" t="s">
        <v>1924</v>
      </c>
    </row>
    <row r="120" spans="1:16" ht="15.75" customHeight="1">
      <c r="A120" s="78">
        <v>114</v>
      </c>
      <c r="B120" s="79">
        <v>2000</v>
      </c>
      <c r="C120" s="323"/>
      <c r="D120" s="323"/>
      <c r="E120" s="21" t="s">
        <v>506</v>
      </c>
      <c r="F120" s="21" t="s">
        <v>505</v>
      </c>
      <c r="G120" s="21" t="s">
        <v>507</v>
      </c>
      <c r="H120" s="7" t="s">
        <v>1946</v>
      </c>
      <c r="I120" s="80">
        <v>0.3125</v>
      </c>
      <c r="J120" s="80">
        <v>0.64583333333333337</v>
      </c>
      <c r="K120" s="80">
        <v>4.1666666666666664E-2</v>
      </c>
      <c r="L120" s="80">
        <v>0.3125</v>
      </c>
      <c r="M120" s="81">
        <v>0.58333333333333337</v>
      </c>
      <c r="N120" s="82">
        <v>4.1666666666666664E-2</v>
      </c>
      <c r="O120" s="83">
        <v>0.22916666666666666</v>
      </c>
      <c r="P120" s="84" t="s">
        <v>1924</v>
      </c>
    </row>
    <row r="121" spans="1:16" ht="15.75" customHeight="1">
      <c r="A121" s="78">
        <v>115</v>
      </c>
      <c r="B121" s="79">
        <v>2000</v>
      </c>
      <c r="C121" s="323"/>
      <c r="D121" s="323"/>
      <c r="E121" s="21" t="s">
        <v>510</v>
      </c>
      <c r="F121" s="21" t="s">
        <v>509</v>
      </c>
      <c r="G121" s="21" t="s">
        <v>511</v>
      </c>
      <c r="H121" s="7" t="s">
        <v>1946</v>
      </c>
      <c r="I121" s="80">
        <v>0.3125</v>
      </c>
      <c r="J121" s="80">
        <v>0.64583333333333337</v>
      </c>
      <c r="K121" s="80">
        <v>4.1666666666666664E-2</v>
      </c>
      <c r="L121" s="80">
        <v>0.3125</v>
      </c>
      <c r="M121" s="81">
        <v>0.58333333333333337</v>
      </c>
      <c r="N121" s="82">
        <v>4.1666666666666664E-2</v>
      </c>
      <c r="O121" s="83">
        <v>0.22916666666666666</v>
      </c>
      <c r="P121" s="84" t="s">
        <v>1924</v>
      </c>
    </row>
    <row r="122" spans="1:16" ht="15.75" customHeight="1">
      <c r="A122" s="78">
        <v>116</v>
      </c>
      <c r="B122" s="79">
        <v>2000</v>
      </c>
      <c r="C122" s="323"/>
      <c r="D122" s="323"/>
      <c r="E122" s="21" t="s">
        <v>514</v>
      </c>
      <c r="F122" s="21" t="s">
        <v>513</v>
      </c>
      <c r="G122" s="21" t="s">
        <v>515</v>
      </c>
      <c r="H122" s="7" t="s">
        <v>1946</v>
      </c>
      <c r="I122" s="80">
        <v>0.3125</v>
      </c>
      <c r="J122" s="80">
        <v>0.64583333333333337</v>
      </c>
      <c r="K122" s="80">
        <v>4.1666666666666664E-2</v>
      </c>
      <c r="L122" s="80">
        <v>0.3125</v>
      </c>
      <c r="M122" s="81">
        <v>0.58333333333333337</v>
      </c>
      <c r="N122" s="82">
        <v>4.1666666666666664E-2</v>
      </c>
      <c r="O122" s="83">
        <v>0.22916666666666666</v>
      </c>
      <c r="P122" s="84" t="s">
        <v>1924</v>
      </c>
    </row>
    <row r="123" spans="1:16" ht="15.75" customHeight="1">
      <c r="A123" s="78">
        <v>117</v>
      </c>
      <c r="B123" s="79">
        <v>2000</v>
      </c>
      <c r="C123" s="323"/>
      <c r="D123" s="323"/>
      <c r="E123" s="21" t="s">
        <v>518</v>
      </c>
      <c r="F123" s="21" t="s">
        <v>517</v>
      </c>
      <c r="G123" s="21" t="s">
        <v>519</v>
      </c>
      <c r="H123" s="7" t="s">
        <v>1946</v>
      </c>
      <c r="I123" s="80">
        <v>0.3125</v>
      </c>
      <c r="J123" s="80">
        <v>0.97916666666666663</v>
      </c>
      <c r="K123" s="80">
        <v>8.3333333333333329E-2</v>
      </c>
      <c r="L123" s="80">
        <v>0.3125</v>
      </c>
      <c r="M123" s="81">
        <v>0.85416666666666663</v>
      </c>
      <c r="N123" s="82">
        <v>8.3333333333333329E-2</v>
      </c>
      <c r="O123" s="83">
        <v>0.45833333333333331</v>
      </c>
      <c r="P123" s="84" t="s">
        <v>1924</v>
      </c>
    </row>
    <row r="124" spans="1:16" ht="15.75" customHeight="1">
      <c r="A124" s="78">
        <v>118</v>
      </c>
      <c r="B124" s="79">
        <v>2000</v>
      </c>
      <c r="C124" s="323"/>
      <c r="D124" s="324"/>
      <c r="E124" s="21" t="s">
        <v>522</v>
      </c>
      <c r="F124" s="21" t="s">
        <v>521</v>
      </c>
      <c r="G124" s="21" t="s">
        <v>523</v>
      </c>
      <c r="H124" s="7" t="s">
        <v>1946</v>
      </c>
      <c r="I124" s="80">
        <v>0.3125</v>
      </c>
      <c r="J124" s="80">
        <v>0.64583333333333337</v>
      </c>
      <c r="K124" s="80">
        <v>4.1666666666666664E-2</v>
      </c>
      <c r="L124" s="80">
        <v>0.3125</v>
      </c>
      <c r="M124" s="81">
        <v>0.58333333333333337</v>
      </c>
      <c r="N124" s="82">
        <v>4.1666666666666664E-2</v>
      </c>
      <c r="O124" s="83">
        <v>0.22916666666666666</v>
      </c>
      <c r="P124" s="84" t="s">
        <v>1924</v>
      </c>
    </row>
    <row r="125" spans="1:16" ht="15.75" customHeight="1">
      <c r="A125" s="78">
        <v>119</v>
      </c>
      <c r="B125" s="79">
        <v>2000</v>
      </c>
      <c r="C125" s="323"/>
      <c r="D125" s="327" t="s">
        <v>524</v>
      </c>
      <c r="E125" s="21" t="s">
        <v>527</v>
      </c>
      <c r="F125" s="21" t="s">
        <v>526</v>
      </c>
      <c r="G125" s="21" t="s">
        <v>528</v>
      </c>
      <c r="H125" s="7" t="s">
        <v>1946</v>
      </c>
      <c r="I125" s="80">
        <v>0.3125</v>
      </c>
      <c r="J125" s="80">
        <v>0.97916666666666663</v>
      </c>
      <c r="K125" s="80">
        <v>8.3333333333333329E-2</v>
      </c>
      <c r="L125" s="80">
        <v>0.3125</v>
      </c>
      <c r="M125" s="81">
        <v>0.97916666666666663</v>
      </c>
      <c r="N125" s="82">
        <v>8.3333333333333329E-2</v>
      </c>
      <c r="O125" s="83">
        <v>0.58333333333333337</v>
      </c>
      <c r="P125" s="84" t="s">
        <v>1924</v>
      </c>
    </row>
    <row r="126" spans="1:16" ht="15.75" customHeight="1">
      <c r="A126" s="78">
        <v>120</v>
      </c>
      <c r="B126" s="79">
        <v>2000</v>
      </c>
      <c r="C126" s="323"/>
      <c r="D126" s="323"/>
      <c r="E126" s="21" t="s">
        <v>532</v>
      </c>
      <c r="F126" s="21" t="s">
        <v>531</v>
      </c>
      <c r="G126" s="21" t="s">
        <v>533</v>
      </c>
      <c r="H126" s="7" t="s">
        <v>1946</v>
      </c>
      <c r="I126" s="80">
        <v>0.3125</v>
      </c>
      <c r="J126" s="80">
        <v>0.97916666666666663</v>
      </c>
      <c r="K126" s="80">
        <v>8.3333333333333329E-2</v>
      </c>
      <c r="L126" s="80">
        <v>0.3125</v>
      </c>
      <c r="M126" s="81">
        <v>0.97916666666666663</v>
      </c>
      <c r="N126" s="82">
        <v>8.3333333333333329E-2</v>
      </c>
      <c r="O126" s="83">
        <v>0.58333333333333337</v>
      </c>
      <c r="P126" s="84" t="s">
        <v>1924</v>
      </c>
    </row>
    <row r="127" spans="1:16" ht="15.75" customHeight="1">
      <c r="A127" s="78">
        <v>121</v>
      </c>
      <c r="B127" s="79">
        <v>2000</v>
      </c>
      <c r="C127" s="323"/>
      <c r="D127" s="323"/>
      <c r="E127" s="21" t="s">
        <v>536</v>
      </c>
      <c r="F127" s="21" t="s">
        <v>535</v>
      </c>
      <c r="G127" s="98">
        <v>1111052008</v>
      </c>
      <c r="H127" s="7" t="s">
        <v>1946</v>
      </c>
      <c r="I127" s="80">
        <v>0.3125</v>
      </c>
      <c r="J127" s="80">
        <v>0.64583333333333337</v>
      </c>
      <c r="K127" s="80">
        <v>4.1666666666666664E-2</v>
      </c>
      <c r="L127" s="80">
        <v>0.3125</v>
      </c>
      <c r="M127" s="81">
        <v>0.64583333333333337</v>
      </c>
      <c r="N127" s="82">
        <v>4.1666666666666664E-2</v>
      </c>
      <c r="O127" s="83">
        <v>0.29166666666666669</v>
      </c>
      <c r="P127" s="84" t="s">
        <v>1924</v>
      </c>
    </row>
    <row r="128" spans="1:16" ht="15.75" customHeight="1">
      <c r="A128" s="78">
        <v>122</v>
      </c>
      <c r="B128" s="79">
        <v>2000</v>
      </c>
      <c r="C128" s="323"/>
      <c r="D128" s="323"/>
      <c r="E128" s="21" t="s">
        <v>540</v>
      </c>
      <c r="F128" s="21" t="s">
        <v>539</v>
      </c>
      <c r="G128" s="98">
        <v>1111052006</v>
      </c>
      <c r="H128" s="7" t="s">
        <v>1946</v>
      </c>
      <c r="I128" s="80">
        <v>0.3125</v>
      </c>
      <c r="J128" s="80">
        <v>0.64583333333333337</v>
      </c>
      <c r="K128" s="80">
        <v>4.1666666666666664E-2</v>
      </c>
      <c r="L128" s="80">
        <v>0.3125</v>
      </c>
      <c r="M128" s="81">
        <v>0.64583333333333337</v>
      </c>
      <c r="N128" s="82">
        <v>4.1666666666666664E-2</v>
      </c>
      <c r="O128" s="83">
        <v>0.29166666666666669</v>
      </c>
      <c r="P128" s="84" t="s">
        <v>1924</v>
      </c>
    </row>
    <row r="129" spans="1:16" ht="15.75" customHeight="1">
      <c r="A129" s="78">
        <v>123</v>
      </c>
      <c r="B129" s="79">
        <v>2000</v>
      </c>
      <c r="C129" s="323"/>
      <c r="D129" s="323"/>
      <c r="E129" s="21" t="s">
        <v>544</v>
      </c>
      <c r="F129" s="21" t="s">
        <v>543</v>
      </c>
      <c r="G129" s="98">
        <v>1111052004</v>
      </c>
      <c r="H129" s="7" t="s">
        <v>1946</v>
      </c>
      <c r="I129" s="80">
        <v>0.3125</v>
      </c>
      <c r="J129" s="109">
        <v>0.64583333333333337</v>
      </c>
      <c r="K129" s="80">
        <v>4.1666666666666664E-2</v>
      </c>
      <c r="L129" s="80">
        <v>0.3125</v>
      </c>
      <c r="M129" s="81">
        <v>0.64583333333333337</v>
      </c>
      <c r="N129" s="82">
        <v>4.1666666666666664E-2</v>
      </c>
      <c r="O129" s="83">
        <v>0.29166666666666669</v>
      </c>
      <c r="P129" s="84" t="s">
        <v>1924</v>
      </c>
    </row>
    <row r="130" spans="1:16" ht="15.75" customHeight="1">
      <c r="A130" s="78">
        <v>124</v>
      </c>
      <c r="B130" s="79">
        <v>2000</v>
      </c>
      <c r="C130" s="323"/>
      <c r="D130" s="323"/>
      <c r="E130" s="21" t="s">
        <v>548</v>
      </c>
      <c r="F130" s="21" t="s">
        <v>547</v>
      </c>
      <c r="G130" s="98">
        <v>1111052007</v>
      </c>
      <c r="H130" s="7" t="s">
        <v>1946</v>
      </c>
      <c r="I130" s="80">
        <v>0.3125</v>
      </c>
      <c r="J130" s="109">
        <v>0.97916666666666663</v>
      </c>
      <c r="K130" s="80">
        <v>8.3333333333333329E-2</v>
      </c>
      <c r="L130" s="80">
        <v>0.3125</v>
      </c>
      <c r="M130" s="81">
        <v>0.97916666666666663</v>
      </c>
      <c r="N130" s="82">
        <v>8.3333333333333329E-2</v>
      </c>
      <c r="O130" s="83">
        <v>0.58333333333333337</v>
      </c>
      <c r="P130" s="84" t="s">
        <v>1924</v>
      </c>
    </row>
    <row r="131" spans="1:16" ht="15.75" customHeight="1">
      <c r="A131" s="78">
        <v>125</v>
      </c>
      <c r="B131" s="79">
        <v>2000</v>
      </c>
      <c r="C131" s="323"/>
      <c r="D131" s="323"/>
      <c r="E131" s="21" t="s">
        <v>552</v>
      </c>
      <c r="F131" s="21" t="s">
        <v>551</v>
      </c>
      <c r="G131" s="98">
        <v>1111052005</v>
      </c>
      <c r="H131" s="7" t="s">
        <v>1946</v>
      </c>
      <c r="I131" s="80">
        <v>0.3125</v>
      </c>
      <c r="J131" s="109">
        <v>0.97916666666666663</v>
      </c>
      <c r="K131" s="80">
        <v>8.3333333333333329E-2</v>
      </c>
      <c r="L131" s="80">
        <v>0.3125</v>
      </c>
      <c r="M131" s="81">
        <v>0.97916666666666663</v>
      </c>
      <c r="N131" s="82">
        <v>8.3333333333333329E-2</v>
      </c>
      <c r="O131" s="83">
        <v>0.58333333333333337</v>
      </c>
      <c r="P131" s="84" t="s">
        <v>1924</v>
      </c>
    </row>
    <row r="132" spans="1:16" ht="15.75" customHeight="1">
      <c r="A132" s="78">
        <v>126</v>
      </c>
      <c r="B132" s="79">
        <v>2000</v>
      </c>
      <c r="C132" s="323"/>
      <c r="D132" s="323"/>
      <c r="E132" s="21" t="s">
        <v>556</v>
      </c>
      <c r="F132" s="21" t="s">
        <v>555</v>
      </c>
      <c r="G132" s="98">
        <v>1111052009</v>
      </c>
      <c r="H132" s="7" t="s">
        <v>1946</v>
      </c>
      <c r="I132" s="80">
        <v>0.3125</v>
      </c>
      <c r="J132" s="109">
        <v>0.97916666666666663</v>
      </c>
      <c r="K132" s="80">
        <v>8.3333333333333329E-2</v>
      </c>
      <c r="L132" s="80">
        <v>0.3125</v>
      </c>
      <c r="M132" s="81">
        <v>0.97916666666666663</v>
      </c>
      <c r="N132" s="82">
        <v>8.3333333333333329E-2</v>
      </c>
      <c r="O132" s="83">
        <v>0.58333333333333337</v>
      </c>
      <c r="P132" s="84" t="s">
        <v>1924</v>
      </c>
    </row>
    <row r="133" spans="1:16" ht="15.75" customHeight="1">
      <c r="A133" s="78">
        <v>127</v>
      </c>
      <c r="B133" s="79">
        <v>2000</v>
      </c>
      <c r="C133" s="323"/>
      <c r="D133" s="324"/>
      <c r="E133" s="21" t="s">
        <v>560</v>
      </c>
      <c r="F133" s="21" t="s">
        <v>559</v>
      </c>
      <c r="G133" s="98">
        <v>1111052003</v>
      </c>
      <c r="H133" s="7" t="s">
        <v>1946</v>
      </c>
      <c r="I133" s="80">
        <v>0.3125</v>
      </c>
      <c r="J133" s="80">
        <v>0.97916666666666663</v>
      </c>
      <c r="K133" s="80">
        <v>8.3333333333333329E-2</v>
      </c>
      <c r="L133" s="80">
        <v>0.3125</v>
      </c>
      <c r="M133" s="81">
        <v>0.97916666666666663</v>
      </c>
      <c r="N133" s="82">
        <v>8.3333333333333329E-2</v>
      </c>
      <c r="O133" s="83">
        <v>0.58333333333333337</v>
      </c>
      <c r="P133" s="84" t="s">
        <v>1924</v>
      </c>
    </row>
    <row r="134" spans="1:16" ht="15.75" customHeight="1">
      <c r="A134" s="78">
        <v>128</v>
      </c>
      <c r="B134" s="79">
        <v>2000</v>
      </c>
      <c r="C134" s="323"/>
      <c r="D134" s="327" t="s">
        <v>566</v>
      </c>
      <c r="E134" s="18" t="s">
        <v>569</v>
      </c>
      <c r="F134" s="19" t="s">
        <v>570</v>
      </c>
      <c r="G134" s="19" t="s">
        <v>571</v>
      </c>
      <c r="H134" s="27"/>
      <c r="I134" s="80">
        <v>0.3125</v>
      </c>
      <c r="J134" s="80">
        <v>0.64583333333333337</v>
      </c>
      <c r="K134" s="80">
        <v>4.1666666666666664E-2</v>
      </c>
      <c r="L134" s="80">
        <v>0.3125</v>
      </c>
      <c r="M134" s="81">
        <v>0.64583333333333337</v>
      </c>
      <c r="N134" s="82">
        <v>4.1666666666666664E-2</v>
      </c>
      <c r="O134" s="83">
        <v>0.29166666666666669</v>
      </c>
      <c r="P134" s="84" t="s">
        <v>1924</v>
      </c>
    </row>
    <row r="135" spans="1:16" ht="15.75" customHeight="1">
      <c r="A135" s="78">
        <v>129</v>
      </c>
      <c r="B135" s="79">
        <v>2000</v>
      </c>
      <c r="C135" s="323"/>
      <c r="D135" s="323"/>
      <c r="E135" s="18" t="s">
        <v>574</v>
      </c>
      <c r="F135" s="19" t="s">
        <v>575</v>
      </c>
      <c r="G135" s="19" t="s">
        <v>576</v>
      </c>
      <c r="H135" s="27"/>
      <c r="I135" s="80">
        <v>0.3125</v>
      </c>
      <c r="J135" s="80">
        <v>0.64583333333333337</v>
      </c>
      <c r="K135" s="80">
        <v>4.1666666666666664E-2</v>
      </c>
      <c r="L135" s="80">
        <v>0.3125</v>
      </c>
      <c r="M135" s="81">
        <v>0.64583333333333337</v>
      </c>
      <c r="N135" s="82">
        <v>4.1666666666666664E-2</v>
      </c>
      <c r="O135" s="83">
        <v>0.29166666666666669</v>
      </c>
      <c r="P135" s="84" t="s">
        <v>1924</v>
      </c>
    </row>
    <row r="136" spans="1:16" ht="15.75" customHeight="1">
      <c r="A136" s="78">
        <v>130</v>
      </c>
      <c r="B136" s="79">
        <v>2000</v>
      </c>
      <c r="C136" s="323"/>
      <c r="D136" s="323"/>
      <c r="E136" s="18" t="s">
        <v>579</v>
      </c>
      <c r="F136" s="19" t="s">
        <v>580</v>
      </c>
      <c r="G136" s="19">
        <v>1111053004</v>
      </c>
      <c r="H136" s="27"/>
      <c r="I136" s="80">
        <v>0.3125</v>
      </c>
      <c r="J136" s="80">
        <v>0.64583333333333337</v>
      </c>
      <c r="K136" s="80">
        <v>4.1666666666666664E-2</v>
      </c>
      <c r="L136" s="80">
        <v>0.3125</v>
      </c>
      <c r="M136" s="81">
        <v>0.64583333333333337</v>
      </c>
      <c r="N136" s="82">
        <v>4.1666666666666664E-2</v>
      </c>
      <c r="O136" s="83">
        <v>0.29166666666666669</v>
      </c>
      <c r="P136" s="84" t="s">
        <v>1924</v>
      </c>
    </row>
    <row r="137" spans="1:16" ht="15.75" customHeight="1">
      <c r="A137" s="78">
        <v>131</v>
      </c>
      <c r="B137" s="79">
        <v>2000</v>
      </c>
      <c r="C137" s="323"/>
      <c r="D137" s="323"/>
      <c r="E137" s="60" t="s">
        <v>581</v>
      </c>
      <c r="F137" s="21" t="s">
        <v>1901</v>
      </c>
      <c r="G137" s="21">
        <v>1111053004</v>
      </c>
      <c r="H137" s="330" t="s">
        <v>1961</v>
      </c>
      <c r="I137" s="80">
        <v>0.3125</v>
      </c>
      <c r="J137" s="80">
        <v>0.64583333333333337</v>
      </c>
      <c r="K137" s="80">
        <v>4.1666666666666664E-2</v>
      </c>
      <c r="L137" s="80">
        <v>0.3125</v>
      </c>
      <c r="M137" s="81">
        <v>0.64583333333333337</v>
      </c>
      <c r="N137" s="82">
        <v>4.1666666666666664E-2</v>
      </c>
      <c r="O137" s="83">
        <v>0.29166666666666669</v>
      </c>
      <c r="P137" s="84" t="s">
        <v>1924</v>
      </c>
    </row>
    <row r="138" spans="1:16" ht="15.75" customHeight="1">
      <c r="A138" s="78">
        <v>132</v>
      </c>
      <c r="B138" s="79">
        <v>2000</v>
      </c>
      <c r="C138" s="323"/>
      <c r="D138" s="323"/>
      <c r="E138" s="60" t="s">
        <v>582</v>
      </c>
      <c r="F138" s="21" t="s">
        <v>1902</v>
      </c>
      <c r="G138" s="21">
        <v>1111053005</v>
      </c>
      <c r="H138" s="323"/>
      <c r="I138" s="80">
        <v>0.3125</v>
      </c>
      <c r="J138" s="80">
        <v>0.64583333333333337</v>
      </c>
      <c r="K138" s="80">
        <v>4.1666666666666664E-2</v>
      </c>
      <c r="L138" s="80">
        <v>0.3125</v>
      </c>
      <c r="M138" s="81">
        <v>0.64583333333333337</v>
      </c>
      <c r="N138" s="82">
        <v>4.1666666666666664E-2</v>
      </c>
      <c r="O138" s="83">
        <v>0.29166666666666669</v>
      </c>
      <c r="P138" s="84" t="s">
        <v>1924</v>
      </c>
    </row>
    <row r="139" spans="1:16" ht="15.75" customHeight="1">
      <c r="A139" s="78">
        <v>133</v>
      </c>
      <c r="B139" s="79">
        <v>2000</v>
      </c>
      <c r="C139" s="323"/>
      <c r="D139" s="323"/>
      <c r="E139" s="60" t="s">
        <v>583</v>
      </c>
      <c r="F139" s="21" t="s">
        <v>1903</v>
      </c>
      <c r="G139" s="21">
        <v>1111053006</v>
      </c>
      <c r="H139" s="323"/>
      <c r="I139" s="80">
        <v>0.3125</v>
      </c>
      <c r="J139" s="80">
        <v>0.64583333333333337</v>
      </c>
      <c r="K139" s="80">
        <v>4.1666666666666664E-2</v>
      </c>
      <c r="L139" s="80">
        <v>0.3125</v>
      </c>
      <c r="M139" s="81">
        <v>0.64583333333333337</v>
      </c>
      <c r="N139" s="82">
        <v>4.1666666666666664E-2</v>
      </c>
      <c r="O139" s="83">
        <v>0.29166666666666669</v>
      </c>
      <c r="P139" s="84" t="s">
        <v>1924</v>
      </c>
    </row>
    <row r="140" spans="1:16" ht="15.75" customHeight="1">
      <c r="A140" s="78">
        <v>134</v>
      </c>
      <c r="B140" s="79">
        <v>2000</v>
      </c>
      <c r="C140" s="323"/>
      <c r="D140" s="324"/>
      <c r="E140" s="60" t="s">
        <v>584</v>
      </c>
      <c r="F140" s="21" t="s">
        <v>1904</v>
      </c>
      <c r="G140" s="21">
        <v>1111053007</v>
      </c>
      <c r="H140" s="324"/>
      <c r="I140" s="80">
        <v>0.3125</v>
      </c>
      <c r="J140" s="80">
        <v>0.64583333333333337</v>
      </c>
      <c r="K140" s="80">
        <v>4.1666666666666664E-2</v>
      </c>
      <c r="L140" s="80">
        <v>0.3125</v>
      </c>
      <c r="M140" s="81">
        <v>0.64583333333333337</v>
      </c>
      <c r="N140" s="82">
        <v>4.1666666666666664E-2</v>
      </c>
      <c r="O140" s="83">
        <v>0.29166666666666669</v>
      </c>
      <c r="P140" s="84" t="s">
        <v>1924</v>
      </c>
    </row>
    <row r="141" spans="1:16" ht="15.75" customHeight="1">
      <c r="A141" s="78">
        <v>135</v>
      </c>
      <c r="B141" s="79">
        <v>2000</v>
      </c>
      <c r="C141" s="323"/>
      <c r="D141" s="327" t="s">
        <v>1927</v>
      </c>
      <c r="E141" s="18" t="s">
        <v>588</v>
      </c>
      <c r="F141" s="19" t="s">
        <v>589</v>
      </c>
      <c r="G141" s="27">
        <v>1111054001</v>
      </c>
      <c r="H141" s="27"/>
      <c r="I141" s="80">
        <v>0.3125</v>
      </c>
      <c r="J141" s="80">
        <v>0.64583333333333337</v>
      </c>
      <c r="K141" s="80">
        <v>4.1666666666666664E-2</v>
      </c>
      <c r="L141" s="80">
        <v>0.3125</v>
      </c>
      <c r="M141" s="81">
        <v>0.64583333333333337</v>
      </c>
      <c r="N141" s="82">
        <v>4.1666666666666664E-2</v>
      </c>
      <c r="O141" s="83">
        <v>0.29166666666666669</v>
      </c>
      <c r="P141" s="84" t="s">
        <v>1924</v>
      </c>
    </row>
    <row r="142" spans="1:16" ht="15.75" customHeight="1">
      <c r="A142" s="78">
        <v>136</v>
      </c>
      <c r="B142" s="79">
        <v>2000</v>
      </c>
      <c r="C142" s="323"/>
      <c r="D142" s="323"/>
      <c r="E142" s="15" t="s">
        <v>592</v>
      </c>
      <c r="F142" s="16" t="s">
        <v>593</v>
      </c>
      <c r="G142" s="28" t="s">
        <v>38</v>
      </c>
      <c r="H142" s="7"/>
      <c r="I142" s="80">
        <v>0.3125</v>
      </c>
      <c r="J142" s="80">
        <v>0.64583333333333337</v>
      </c>
      <c r="K142" s="80">
        <v>4.1666666666666664E-2</v>
      </c>
      <c r="L142" s="80">
        <v>0.3125</v>
      </c>
      <c r="M142" s="81">
        <v>0.64583333333333337</v>
      </c>
      <c r="N142" s="82">
        <v>4.1666666666666664E-2</v>
      </c>
      <c r="O142" s="83">
        <v>0.29166666666666669</v>
      </c>
      <c r="P142" s="84" t="s">
        <v>1924</v>
      </c>
    </row>
    <row r="143" spans="1:16" ht="15.75" customHeight="1">
      <c r="A143" s="78">
        <v>137</v>
      </c>
      <c r="B143" s="79">
        <v>2000</v>
      </c>
      <c r="C143" s="323"/>
      <c r="D143" s="323"/>
      <c r="E143" s="15" t="s">
        <v>596</v>
      </c>
      <c r="F143" s="16" t="s">
        <v>597</v>
      </c>
      <c r="G143" s="28" t="s">
        <v>38</v>
      </c>
      <c r="H143" s="7"/>
      <c r="I143" s="80">
        <v>0.3125</v>
      </c>
      <c r="J143" s="80">
        <v>0.64583333333333337</v>
      </c>
      <c r="K143" s="80">
        <v>4.1666666666666664E-2</v>
      </c>
      <c r="L143" s="80">
        <v>0.3125</v>
      </c>
      <c r="M143" s="81">
        <v>0.64583333333333337</v>
      </c>
      <c r="N143" s="82">
        <v>4.1666666666666664E-2</v>
      </c>
      <c r="O143" s="83">
        <v>0.29166666666666669</v>
      </c>
      <c r="P143" s="84" t="s">
        <v>1924</v>
      </c>
    </row>
    <row r="144" spans="1:16" ht="15.75" customHeight="1">
      <c r="A144" s="78">
        <v>138</v>
      </c>
      <c r="B144" s="79">
        <v>2000</v>
      </c>
      <c r="C144" s="323"/>
      <c r="D144" s="323"/>
      <c r="E144" s="15" t="s">
        <v>600</v>
      </c>
      <c r="F144" s="16" t="s">
        <v>601</v>
      </c>
      <c r="G144" s="28">
        <v>1111055002</v>
      </c>
      <c r="H144" s="7"/>
      <c r="I144" s="80">
        <v>0.3125</v>
      </c>
      <c r="J144" s="80">
        <v>0.64583333333333337</v>
      </c>
      <c r="K144" s="80">
        <v>4.1666666666666664E-2</v>
      </c>
      <c r="L144" s="80">
        <v>0.3125</v>
      </c>
      <c r="M144" s="81">
        <v>0.64583333333333337</v>
      </c>
      <c r="N144" s="82">
        <v>4.1666666666666664E-2</v>
      </c>
      <c r="O144" s="83">
        <v>0.29166666666666669</v>
      </c>
      <c r="P144" s="84" t="s">
        <v>1924</v>
      </c>
    </row>
    <row r="145" spans="1:16" ht="15.75" customHeight="1">
      <c r="A145" s="78">
        <v>139</v>
      </c>
      <c r="B145" s="79">
        <v>2000</v>
      </c>
      <c r="C145" s="323"/>
      <c r="D145" s="323"/>
      <c r="E145" s="60" t="s">
        <v>602</v>
      </c>
      <c r="F145" s="21" t="s">
        <v>1905</v>
      </c>
      <c r="G145" s="22">
        <v>1111054101</v>
      </c>
      <c r="H145" s="322" t="s">
        <v>1961</v>
      </c>
      <c r="I145" s="80">
        <v>0.3125</v>
      </c>
      <c r="J145" s="80">
        <v>0.64583333333333337</v>
      </c>
      <c r="K145" s="80">
        <v>4.1666666666666664E-2</v>
      </c>
      <c r="L145" s="80">
        <v>0.3125</v>
      </c>
      <c r="M145" s="81">
        <v>0.64583333333333337</v>
      </c>
      <c r="N145" s="82">
        <v>4.1666666666666664E-2</v>
      </c>
      <c r="O145" s="83">
        <v>0.29166666666666669</v>
      </c>
      <c r="P145" s="84" t="s">
        <v>1924</v>
      </c>
    </row>
    <row r="146" spans="1:16" ht="15.75" customHeight="1">
      <c r="A146" s="78">
        <v>140</v>
      </c>
      <c r="B146" s="79">
        <v>2000</v>
      </c>
      <c r="C146" s="323"/>
      <c r="D146" s="323"/>
      <c r="E146" s="60" t="s">
        <v>603</v>
      </c>
      <c r="F146" s="21" t="s">
        <v>1906</v>
      </c>
      <c r="G146" s="22">
        <v>1111054102</v>
      </c>
      <c r="H146" s="323"/>
      <c r="I146" s="80">
        <v>0.3125</v>
      </c>
      <c r="J146" s="80">
        <v>0.64583333333333337</v>
      </c>
      <c r="K146" s="80">
        <v>4.1666666666666664E-2</v>
      </c>
      <c r="L146" s="80">
        <v>0.3125</v>
      </c>
      <c r="M146" s="81">
        <v>0.64583333333333337</v>
      </c>
      <c r="N146" s="82">
        <v>4.1666666666666664E-2</v>
      </c>
      <c r="O146" s="83">
        <v>0.29166666666666669</v>
      </c>
      <c r="P146" s="84" t="s">
        <v>1924</v>
      </c>
    </row>
    <row r="147" spans="1:16" ht="15.75" customHeight="1">
      <c r="A147" s="78">
        <v>141</v>
      </c>
      <c r="B147" s="79">
        <v>2000</v>
      </c>
      <c r="C147" s="323"/>
      <c r="D147" s="323"/>
      <c r="E147" s="60" t="s">
        <v>604</v>
      </c>
      <c r="F147" s="21" t="s">
        <v>1962</v>
      </c>
      <c r="G147" s="22">
        <v>1111054103</v>
      </c>
      <c r="H147" s="323"/>
      <c r="I147" s="80">
        <v>0.3125</v>
      </c>
      <c r="J147" s="80">
        <v>0.64583333333333337</v>
      </c>
      <c r="K147" s="80">
        <v>4.1666666666666664E-2</v>
      </c>
      <c r="L147" s="80">
        <v>0.3125</v>
      </c>
      <c r="M147" s="81">
        <v>0.64583333333333337</v>
      </c>
      <c r="N147" s="82">
        <v>4.1666666666666664E-2</v>
      </c>
      <c r="O147" s="83">
        <v>0.29166666666666669</v>
      </c>
      <c r="P147" s="84" t="s">
        <v>1924</v>
      </c>
    </row>
    <row r="148" spans="1:16" ht="15.75" customHeight="1">
      <c r="A148" s="78">
        <v>142</v>
      </c>
      <c r="B148" s="79">
        <v>2000</v>
      </c>
      <c r="C148" s="323"/>
      <c r="D148" s="323"/>
      <c r="E148" s="60" t="s">
        <v>605</v>
      </c>
      <c r="F148" s="21" t="s">
        <v>1908</v>
      </c>
      <c r="G148" s="22">
        <v>1111054104</v>
      </c>
      <c r="H148" s="323"/>
      <c r="I148" s="80">
        <v>0.3125</v>
      </c>
      <c r="J148" s="80">
        <v>0.64583333333333337</v>
      </c>
      <c r="K148" s="80">
        <v>4.1666666666666664E-2</v>
      </c>
      <c r="L148" s="80">
        <v>0.3125</v>
      </c>
      <c r="M148" s="81">
        <v>0.64583333333333337</v>
      </c>
      <c r="N148" s="82">
        <v>4.1666666666666664E-2</v>
      </c>
      <c r="O148" s="83">
        <v>0.29166666666666669</v>
      </c>
      <c r="P148" s="84" t="s">
        <v>1924</v>
      </c>
    </row>
    <row r="149" spans="1:16" ht="15.75" customHeight="1">
      <c r="A149" s="78">
        <v>143</v>
      </c>
      <c r="B149" s="79">
        <v>2000</v>
      </c>
      <c r="C149" s="323"/>
      <c r="D149" s="323"/>
      <c r="E149" s="60" t="s">
        <v>606</v>
      </c>
      <c r="F149" s="21" t="s">
        <v>1909</v>
      </c>
      <c r="G149" s="22">
        <v>1111054201</v>
      </c>
      <c r="H149" s="323"/>
      <c r="I149" s="80">
        <v>0.3125</v>
      </c>
      <c r="J149" s="80">
        <v>0.64583333333333337</v>
      </c>
      <c r="K149" s="80">
        <v>4.1666666666666664E-2</v>
      </c>
      <c r="L149" s="80">
        <v>0.3125</v>
      </c>
      <c r="M149" s="81">
        <v>0.64583333333333337</v>
      </c>
      <c r="N149" s="82">
        <v>4.1666666666666664E-2</v>
      </c>
      <c r="O149" s="83">
        <v>0.29166666666666669</v>
      </c>
      <c r="P149" s="84" t="s">
        <v>1924</v>
      </c>
    </row>
    <row r="150" spans="1:16" ht="15.75" customHeight="1">
      <c r="A150" s="78">
        <v>144</v>
      </c>
      <c r="B150" s="79">
        <v>2000</v>
      </c>
      <c r="C150" s="323"/>
      <c r="D150" s="323"/>
      <c r="E150" s="60" t="s">
        <v>607</v>
      </c>
      <c r="F150" s="21" t="s">
        <v>1963</v>
      </c>
      <c r="G150" s="22">
        <v>1111054202</v>
      </c>
      <c r="H150" s="323"/>
      <c r="I150" s="80">
        <v>0.3125</v>
      </c>
      <c r="J150" s="80">
        <v>0.64583333333333337</v>
      </c>
      <c r="K150" s="80">
        <v>4.1666666666666664E-2</v>
      </c>
      <c r="L150" s="80">
        <v>0.3125</v>
      </c>
      <c r="M150" s="81">
        <v>0.64583333333333337</v>
      </c>
      <c r="N150" s="82">
        <v>4.1666666666666664E-2</v>
      </c>
      <c r="O150" s="83">
        <v>0.29166666666666669</v>
      </c>
      <c r="P150" s="84" t="s">
        <v>1924</v>
      </c>
    </row>
    <row r="151" spans="1:16" ht="15.75" customHeight="1">
      <c r="A151" s="78">
        <v>145</v>
      </c>
      <c r="B151" s="79">
        <v>2000</v>
      </c>
      <c r="C151" s="323"/>
      <c r="D151" s="323"/>
      <c r="E151" s="60" t="s">
        <v>608</v>
      </c>
      <c r="F151" s="21" t="s">
        <v>1964</v>
      </c>
      <c r="G151" s="22">
        <v>1111054203</v>
      </c>
      <c r="H151" s="323"/>
      <c r="I151" s="80"/>
      <c r="J151" s="80"/>
      <c r="K151" s="80"/>
      <c r="L151" s="80"/>
      <c r="M151" s="81"/>
      <c r="N151" s="82"/>
      <c r="O151" s="83"/>
      <c r="P151" s="84"/>
    </row>
    <row r="152" spans="1:16" ht="15.75" customHeight="1">
      <c r="A152" s="78">
        <v>146</v>
      </c>
      <c r="B152" s="79">
        <v>2000</v>
      </c>
      <c r="C152" s="323"/>
      <c r="D152" s="323"/>
      <c r="E152" s="60" t="s">
        <v>609</v>
      </c>
      <c r="F152" s="21" t="s">
        <v>1912</v>
      </c>
      <c r="G152" s="22">
        <v>1111054204</v>
      </c>
      <c r="H152" s="324"/>
      <c r="I152" s="80"/>
      <c r="J152" s="80"/>
      <c r="K152" s="80"/>
      <c r="L152" s="80"/>
      <c r="M152" s="81"/>
      <c r="N152" s="82"/>
      <c r="O152" s="83"/>
      <c r="P152" s="84"/>
    </row>
    <row r="153" spans="1:16" ht="15.75" customHeight="1">
      <c r="A153" s="78">
        <v>147</v>
      </c>
      <c r="B153" s="79">
        <v>2000</v>
      </c>
      <c r="C153" s="323"/>
      <c r="D153" s="323"/>
      <c r="E153" s="18" t="s">
        <v>610</v>
      </c>
      <c r="F153" s="7" t="s">
        <v>611</v>
      </c>
      <c r="G153" s="6">
        <v>1111055003</v>
      </c>
      <c r="H153" s="7"/>
      <c r="I153" s="80"/>
      <c r="J153" s="80"/>
      <c r="K153" s="80"/>
      <c r="L153" s="80"/>
      <c r="M153" s="81"/>
      <c r="N153" s="82"/>
      <c r="O153" s="83"/>
      <c r="P153" s="84"/>
    </row>
    <row r="154" spans="1:16" ht="15.75" customHeight="1">
      <c r="A154" s="78">
        <v>148</v>
      </c>
      <c r="B154" s="79">
        <v>2000</v>
      </c>
      <c r="C154" s="324"/>
      <c r="D154" s="324"/>
      <c r="E154" s="15" t="s">
        <v>612</v>
      </c>
      <c r="F154" s="16" t="s">
        <v>613</v>
      </c>
      <c r="G154" s="28">
        <v>1111055004</v>
      </c>
      <c r="H154" s="7"/>
      <c r="I154" s="80">
        <v>0.3125</v>
      </c>
      <c r="J154" s="80">
        <v>0.64583333333333337</v>
      </c>
      <c r="K154" s="80">
        <v>4.1666666666666664E-2</v>
      </c>
      <c r="L154" s="80">
        <v>0.3125</v>
      </c>
      <c r="M154" s="81">
        <v>0.64583333333333337</v>
      </c>
      <c r="N154" s="82">
        <v>4.1666666666666664E-2</v>
      </c>
      <c r="O154" s="83">
        <v>0.29166666666666669</v>
      </c>
      <c r="P154" s="84" t="s">
        <v>1924</v>
      </c>
    </row>
    <row r="155" spans="1:16" ht="15.75" customHeight="1">
      <c r="A155" s="78">
        <v>149</v>
      </c>
      <c r="B155" s="79">
        <v>2000</v>
      </c>
      <c r="C155" s="326" t="s">
        <v>1965</v>
      </c>
      <c r="D155" s="327" t="s">
        <v>614</v>
      </c>
      <c r="E155" s="21" t="s">
        <v>617</v>
      </c>
      <c r="F155" s="21" t="s">
        <v>616</v>
      </c>
      <c r="G155" s="21" t="s">
        <v>618</v>
      </c>
      <c r="H155" s="7" t="s">
        <v>1946</v>
      </c>
      <c r="I155" s="80">
        <v>0.3125</v>
      </c>
      <c r="J155" s="80">
        <v>0.64583333333333337</v>
      </c>
      <c r="K155" s="80">
        <v>4.1666666666666664E-2</v>
      </c>
      <c r="L155" s="80">
        <v>0.3125</v>
      </c>
      <c r="M155" s="81">
        <v>0.58333333333333337</v>
      </c>
      <c r="N155" s="82">
        <v>4.1666666666666664E-2</v>
      </c>
      <c r="O155" s="83">
        <v>0.22916666666666666</v>
      </c>
      <c r="P155" s="84" t="s">
        <v>1924</v>
      </c>
    </row>
    <row r="156" spans="1:16" ht="15.75" customHeight="1">
      <c r="A156" s="78">
        <v>150</v>
      </c>
      <c r="B156" s="79">
        <v>2000</v>
      </c>
      <c r="C156" s="323"/>
      <c r="D156" s="324"/>
      <c r="E156" s="21" t="s">
        <v>623</v>
      </c>
      <c r="F156" s="21" t="s">
        <v>622</v>
      </c>
      <c r="G156" s="21" t="s">
        <v>624</v>
      </c>
      <c r="H156" s="7" t="s">
        <v>1946</v>
      </c>
      <c r="I156" s="80">
        <v>0.3125</v>
      </c>
      <c r="J156" s="80">
        <v>0.64583333333333337</v>
      </c>
      <c r="K156" s="80">
        <v>4.1666666666666664E-2</v>
      </c>
      <c r="L156" s="80">
        <v>0.3125</v>
      </c>
      <c r="M156" s="81">
        <v>0.58333333333333337</v>
      </c>
      <c r="N156" s="82">
        <v>4.1666666666666664E-2</v>
      </c>
      <c r="O156" s="83">
        <v>0.22916666666666666</v>
      </c>
      <c r="P156" s="84" t="s">
        <v>1924</v>
      </c>
    </row>
    <row r="157" spans="1:16" ht="15.75" customHeight="1">
      <c r="A157" s="78">
        <v>151</v>
      </c>
      <c r="B157" s="79">
        <v>2000</v>
      </c>
      <c r="C157" s="323"/>
      <c r="D157" s="327" t="s">
        <v>625</v>
      </c>
      <c r="E157" s="21" t="s">
        <v>628</v>
      </c>
      <c r="F157" s="21" t="s">
        <v>627</v>
      </c>
      <c r="G157" s="21" t="s">
        <v>629</v>
      </c>
      <c r="H157" s="7" t="s">
        <v>1946</v>
      </c>
      <c r="I157" s="80">
        <v>0.3125</v>
      </c>
      <c r="J157" s="80">
        <v>0.64583333333333337</v>
      </c>
      <c r="K157" s="80">
        <v>4.1666666666666664E-2</v>
      </c>
      <c r="L157" s="80">
        <v>0.3125</v>
      </c>
      <c r="M157" s="81">
        <v>0.58333333333333337</v>
      </c>
      <c r="N157" s="82">
        <v>4.1666666666666664E-2</v>
      </c>
      <c r="O157" s="83">
        <v>0.22916666666666666</v>
      </c>
      <c r="P157" s="84" t="s">
        <v>1924</v>
      </c>
    </row>
    <row r="158" spans="1:16" ht="15.75" customHeight="1">
      <c r="A158" s="78">
        <v>152</v>
      </c>
      <c r="B158" s="79">
        <v>2000</v>
      </c>
      <c r="C158" s="323"/>
      <c r="D158" s="323"/>
      <c r="E158" s="21" t="s">
        <v>632</v>
      </c>
      <c r="F158" s="21" t="s">
        <v>631</v>
      </c>
      <c r="G158" s="21" t="s">
        <v>633</v>
      </c>
      <c r="H158" s="7" t="s">
        <v>1946</v>
      </c>
      <c r="I158" s="80">
        <v>0.3125</v>
      </c>
      <c r="J158" s="80">
        <v>0.64583333333333337</v>
      </c>
      <c r="K158" s="80">
        <v>4.1666666666666664E-2</v>
      </c>
      <c r="L158" s="80">
        <v>0.3125</v>
      </c>
      <c r="M158" s="81">
        <v>0.58333333333333337</v>
      </c>
      <c r="N158" s="82">
        <v>4.1666666666666664E-2</v>
      </c>
      <c r="O158" s="83">
        <v>0.22916666666666666</v>
      </c>
      <c r="P158" s="84" t="s">
        <v>1924</v>
      </c>
    </row>
    <row r="159" spans="1:16" ht="15.75" customHeight="1">
      <c r="A159" s="78">
        <v>153</v>
      </c>
      <c r="B159" s="79">
        <v>2000</v>
      </c>
      <c r="C159" s="323"/>
      <c r="D159" s="323"/>
      <c r="E159" s="21" t="s">
        <v>636</v>
      </c>
      <c r="F159" s="21" t="s">
        <v>635</v>
      </c>
      <c r="G159" s="21" t="s">
        <v>637</v>
      </c>
      <c r="H159" s="7" t="s">
        <v>1946</v>
      </c>
      <c r="I159" s="80">
        <v>0.3125</v>
      </c>
      <c r="J159" s="80">
        <v>0.64583333333333337</v>
      </c>
      <c r="K159" s="80">
        <v>4.1666666666666664E-2</v>
      </c>
      <c r="L159" s="80">
        <v>0.3125</v>
      </c>
      <c r="M159" s="81">
        <v>0.58333333333333337</v>
      </c>
      <c r="N159" s="82">
        <v>4.1666666666666664E-2</v>
      </c>
      <c r="O159" s="83">
        <v>0.22916666666666666</v>
      </c>
      <c r="P159" s="84" t="s">
        <v>1924</v>
      </c>
    </row>
    <row r="160" spans="1:16" ht="15.75" customHeight="1">
      <c r="A160" s="78">
        <v>154</v>
      </c>
      <c r="B160" s="79">
        <v>2000</v>
      </c>
      <c r="C160" s="323"/>
      <c r="D160" s="324"/>
      <c r="E160" s="21" t="s">
        <v>640</v>
      </c>
      <c r="F160" s="21" t="s">
        <v>639</v>
      </c>
      <c r="G160" s="21" t="s">
        <v>641</v>
      </c>
      <c r="H160" s="7" t="s">
        <v>1946</v>
      </c>
      <c r="I160" s="80">
        <v>0.3125</v>
      </c>
      <c r="J160" s="80">
        <v>0.64583333333333337</v>
      </c>
      <c r="K160" s="80">
        <v>4.1666666666666664E-2</v>
      </c>
      <c r="L160" s="80">
        <v>0.3125</v>
      </c>
      <c r="M160" s="81">
        <v>0.58333333333333337</v>
      </c>
      <c r="N160" s="82">
        <v>4.1666666666666664E-2</v>
      </c>
      <c r="O160" s="83">
        <v>0.22916666666666666</v>
      </c>
      <c r="P160" s="84" t="s">
        <v>1924</v>
      </c>
    </row>
    <row r="161" spans="1:16" ht="15.75" customHeight="1">
      <c r="A161" s="78">
        <v>155</v>
      </c>
      <c r="B161" s="79">
        <v>2000</v>
      </c>
      <c r="C161" s="323"/>
      <c r="D161" s="327" t="s">
        <v>642</v>
      </c>
      <c r="E161" s="7" t="s">
        <v>645</v>
      </c>
      <c r="F161" s="7" t="s">
        <v>644</v>
      </c>
      <c r="G161" s="7" t="s">
        <v>646</v>
      </c>
      <c r="H161" s="7"/>
      <c r="I161" s="80">
        <v>0.3125</v>
      </c>
      <c r="J161" s="80">
        <v>0.64583333333333337</v>
      </c>
      <c r="K161" s="80">
        <v>4.1666666666666664E-2</v>
      </c>
      <c r="L161" s="80">
        <v>0.3125</v>
      </c>
      <c r="M161" s="81">
        <v>0.58333333333333337</v>
      </c>
      <c r="N161" s="82">
        <v>4.1666666666666664E-2</v>
      </c>
      <c r="O161" s="83">
        <v>0.22916666666666666</v>
      </c>
      <c r="P161" s="84" t="s">
        <v>1924</v>
      </c>
    </row>
    <row r="162" spans="1:16" ht="15.75" customHeight="1">
      <c r="A162" s="78">
        <v>156</v>
      </c>
      <c r="B162" s="79">
        <v>2000</v>
      </c>
      <c r="C162" s="324"/>
      <c r="D162" s="324"/>
      <c r="E162" s="7" t="s">
        <v>649</v>
      </c>
      <c r="F162" s="7" t="s">
        <v>648</v>
      </c>
      <c r="G162" s="7" t="s">
        <v>650</v>
      </c>
      <c r="H162" s="7"/>
      <c r="I162" s="80">
        <v>0.3125</v>
      </c>
      <c r="J162" s="80">
        <v>0.64583333333333337</v>
      </c>
      <c r="K162" s="80">
        <v>4.1666666666666664E-2</v>
      </c>
      <c r="L162" s="80">
        <v>0.3125</v>
      </c>
      <c r="M162" s="81">
        <v>0.58333333333333337</v>
      </c>
      <c r="N162" s="82">
        <v>4.1666666666666664E-2</v>
      </c>
      <c r="O162" s="83">
        <v>0.22916666666666666</v>
      </c>
      <c r="P162" s="84" t="s">
        <v>1924</v>
      </c>
    </row>
    <row r="163" spans="1:16" ht="15" customHeight="1">
      <c r="A163" s="78">
        <v>157</v>
      </c>
      <c r="B163" s="79">
        <v>2000</v>
      </c>
      <c r="C163" s="326" t="s">
        <v>651</v>
      </c>
      <c r="D163" s="328" t="s">
        <v>651</v>
      </c>
      <c r="E163" s="22" t="s">
        <v>654</v>
      </c>
      <c r="F163" s="22" t="s">
        <v>653</v>
      </c>
      <c r="G163" s="22" t="s">
        <v>655</v>
      </c>
      <c r="H163" s="7" t="s">
        <v>1946</v>
      </c>
      <c r="I163" s="80">
        <v>0.3125</v>
      </c>
      <c r="J163" s="80">
        <v>0.97916666666666663</v>
      </c>
      <c r="K163" s="80">
        <v>8.3333333333333329E-2</v>
      </c>
      <c r="L163" s="80">
        <v>0.3125</v>
      </c>
      <c r="M163" s="81">
        <v>0.91666666666666663</v>
      </c>
      <c r="N163" s="82">
        <v>0.14583333333333334</v>
      </c>
      <c r="O163" s="83">
        <v>0.45833333333333331</v>
      </c>
      <c r="P163" s="84" t="s">
        <v>1924</v>
      </c>
    </row>
    <row r="164" spans="1:16" ht="15.75" customHeight="1">
      <c r="A164" s="78">
        <v>158</v>
      </c>
      <c r="B164" s="79">
        <v>2000</v>
      </c>
      <c r="C164" s="323"/>
      <c r="D164" s="323"/>
      <c r="E164" s="22" t="s">
        <v>660</v>
      </c>
      <c r="F164" s="22" t="s">
        <v>659</v>
      </c>
      <c r="G164" s="22" t="s">
        <v>661</v>
      </c>
      <c r="H164" s="7" t="s">
        <v>1946</v>
      </c>
      <c r="I164" s="80">
        <v>0.3125</v>
      </c>
      <c r="J164" s="80">
        <v>0.97916666666666663</v>
      </c>
      <c r="K164" s="80">
        <v>8.3333333333333329E-2</v>
      </c>
      <c r="L164" s="80">
        <v>0.3125</v>
      </c>
      <c r="M164" s="81">
        <v>0.91666666666666663</v>
      </c>
      <c r="N164" s="82">
        <v>0.14583333333333334</v>
      </c>
      <c r="O164" s="83">
        <v>0.45833333333333331</v>
      </c>
      <c r="P164" s="84" t="s">
        <v>1924</v>
      </c>
    </row>
    <row r="165" spans="1:16" ht="15.75" customHeight="1">
      <c r="A165" s="78">
        <v>159</v>
      </c>
      <c r="B165" s="79">
        <v>2000</v>
      </c>
      <c r="C165" s="323"/>
      <c r="D165" s="323"/>
      <c r="E165" s="22" t="s">
        <v>664</v>
      </c>
      <c r="F165" s="22" t="s">
        <v>663</v>
      </c>
      <c r="G165" s="22" t="s">
        <v>665</v>
      </c>
      <c r="H165" s="7" t="s">
        <v>1946</v>
      </c>
      <c r="I165" s="80">
        <v>0.3125</v>
      </c>
      <c r="J165" s="80">
        <v>0.97916666666666663</v>
      </c>
      <c r="K165" s="80">
        <v>8.3333333333333329E-2</v>
      </c>
      <c r="L165" s="80">
        <v>0.3125</v>
      </c>
      <c r="M165" s="81">
        <v>0.91666666666666663</v>
      </c>
      <c r="N165" s="82">
        <v>0.14583333333333334</v>
      </c>
      <c r="O165" s="83">
        <v>0.45833333333333331</v>
      </c>
      <c r="P165" s="84" t="s">
        <v>1924</v>
      </c>
    </row>
    <row r="166" spans="1:16" ht="15.75" customHeight="1">
      <c r="A166" s="78">
        <v>160</v>
      </c>
      <c r="B166" s="79">
        <v>2000</v>
      </c>
      <c r="C166" s="323"/>
      <c r="D166" s="323"/>
      <c r="E166" s="22" t="s">
        <v>668</v>
      </c>
      <c r="F166" s="22" t="s">
        <v>667</v>
      </c>
      <c r="G166" s="22" t="s">
        <v>669</v>
      </c>
      <c r="H166" s="7" t="s">
        <v>1946</v>
      </c>
      <c r="I166" s="80">
        <v>0.3125</v>
      </c>
      <c r="J166" s="80">
        <v>0.97916666666666663</v>
      </c>
      <c r="K166" s="80">
        <v>8.3333333333333329E-2</v>
      </c>
      <c r="L166" s="80">
        <v>0.3125</v>
      </c>
      <c r="M166" s="81">
        <v>0.91666666666666663</v>
      </c>
      <c r="N166" s="82">
        <v>0.14583333333333334</v>
      </c>
      <c r="O166" s="83">
        <v>0.45833333333333331</v>
      </c>
      <c r="P166" s="84" t="s">
        <v>1924</v>
      </c>
    </row>
    <row r="167" spans="1:16" ht="15.75" customHeight="1">
      <c r="A167" s="78">
        <v>161</v>
      </c>
      <c r="B167" s="79">
        <v>2000</v>
      </c>
      <c r="C167" s="323"/>
      <c r="D167" s="323"/>
      <c r="E167" s="22" t="s">
        <v>672</v>
      </c>
      <c r="F167" s="22" t="s">
        <v>671</v>
      </c>
      <c r="G167" s="22" t="s">
        <v>673</v>
      </c>
      <c r="H167" s="7" t="s">
        <v>1946</v>
      </c>
      <c r="I167" s="80">
        <v>0.3125</v>
      </c>
      <c r="J167" s="80">
        <v>0.97916666666666663</v>
      </c>
      <c r="K167" s="80">
        <v>8.3333333333333329E-2</v>
      </c>
      <c r="L167" s="80">
        <v>0.3125</v>
      </c>
      <c r="M167" s="81">
        <v>0.91666666666666663</v>
      </c>
      <c r="N167" s="82">
        <v>0.14583333333333334</v>
      </c>
      <c r="O167" s="83">
        <v>0.45833333333333331</v>
      </c>
      <c r="P167" s="84" t="s">
        <v>1924</v>
      </c>
    </row>
    <row r="168" spans="1:16" ht="15.75" customHeight="1">
      <c r="A168" s="78">
        <v>162</v>
      </c>
      <c r="B168" s="79">
        <v>2000</v>
      </c>
      <c r="C168" s="323"/>
      <c r="D168" s="323"/>
      <c r="E168" s="22" t="s">
        <v>676</v>
      </c>
      <c r="F168" s="22" t="s">
        <v>675</v>
      </c>
      <c r="G168" s="22" t="s">
        <v>677</v>
      </c>
      <c r="H168" s="7" t="s">
        <v>1946</v>
      </c>
      <c r="I168" s="80">
        <v>0.3125</v>
      </c>
      <c r="J168" s="80">
        <v>0.97916666666666663</v>
      </c>
      <c r="K168" s="80">
        <v>8.3333333333333329E-2</v>
      </c>
      <c r="L168" s="80">
        <v>0.3125</v>
      </c>
      <c r="M168" s="81">
        <v>0.91666666666666663</v>
      </c>
      <c r="N168" s="82">
        <v>0.14583333333333334</v>
      </c>
      <c r="O168" s="83">
        <v>0.45833333333333331</v>
      </c>
      <c r="P168" s="84" t="s">
        <v>1924</v>
      </c>
    </row>
    <row r="169" spans="1:16" ht="15.75" customHeight="1">
      <c r="A169" s="78">
        <v>163</v>
      </c>
      <c r="B169" s="79">
        <v>2000</v>
      </c>
      <c r="C169" s="323"/>
      <c r="D169" s="323"/>
      <c r="E169" s="22" t="s">
        <v>680</v>
      </c>
      <c r="F169" s="22" t="s">
        <v>679</v>
      </c>
      <c r="G169" s="22" t="s">
        <v>681</v>
      </c>
      <c r="H169" s="7" t="s">
        <v>1946</v>
      </c>
      <c r="I169" s="80">
        <v>0.3125</v>
      </c>
      <c r="J169" s="80">
        <v>0.97916666666666663</v>
      </c>
      <c r="K169" s="80">
        <v>8.3333333333333329E-2</v>
      </c>
      <c r="L169" s="80">
        <v>0.3125</v>
      </c>
      <c r="M169" s="81">
        <v>0.91666666666666663</v>
      </c>
      <c r="N169" s="82">
        <v>0.14583333333333334</v>
      </c>
      <c r="O169" s="83">
        <v>0.45833333333333331</v>
      </c>
      <c r="P169" s="84" t="s">
        <v>1924</v>
      </c>
    </row>
    <row r="170" spans="1:16" ht="15.75" customHeight="1">
      <c r="A170" s="78">
        <v>164</v>
      </c>
      <c r="B170" s="79">
        <v>2000</v>
      </c>
      <c r="C170" s="323"/>
      <c r="D170" s="323"/>
      <c r="E170" s="22" t="s">
        <v>684</v>
      </c>
      <c r="F170" s="22" t="s">
        <v>683</v>
      </c>
      <c r="G170" s="22" t="s">
        <v>685</v>
      </c>
      <c r="H170" s="7" t="s">
        <v>1946</v>
      </c>
      <c r="I170" s="80">
        <v>0.3125</v>
      </c>
      <c r="J170" s="80">
        <v>0.97916666666666663</v>
      </c>
      <c r="K170" s="80">
        <v>8.3333333333333329E-2</v>
      </c>
      <c r="L170" s="80">
        <v>0.3125</v>
      </c>
      <c r="M170" s="81">
        <v>0.91666666666666663</v>
      </c>
      <c r="N170" s="82">
        <v>0.14583333333333334</v>
      </c>
      <c r="O170" s="83">
        <v>0.45833333333333331</v>
      </c>
      <c r="P170" s="84" t="s">
        <v>1924</v>
      </c>
    </row>
    <row r="171" spans="1:16" ht="15.75" customHeight="1">
      <c r="A171" s="78">
        <v>165</v>
      </c>
      <c r="B171" s="79">
        <v>2000</v>
      </c>
      <c r="C171" s="323"/>
      <c r="D171" s="323"/>
      <c r="E171" s="22" t="s">
        <v>688</v>
      </c>
      <c r="F171" s="22" t="s">
        <v>687</v>
      </c>
      <c r="G171" s="22">
        <v>1111061109</v>
      </c>
      <c r="H171" s="7" t="s">
        <v>1946</v>
      </c>
      <c r="I171" s="81">
        <v>0.3125</v>
      </c>
      <c r="J171" s="81">
        <v>0.97916666666666663</v>
      </c>
      <c r="K171" s="81">
        <v>8.3333333333333329E-2</v>
      </c>
      <c r="L171" s="81">
        <v>0.3125</v>
      </c>
      <c r="M171" s="81">
        <v>0.91666666666666663</v>
      </c>
      <c r="N171" s="82">
        <v>0.14583333333333334</v>
      </c>
      <c r="O171" s="83">
        <v>0.45833333333333331</v>
      </c>
      <c r="P171" s="84" t="s">
        <v>1924</v>
      </c>
    </row>
    <row r="172" spans="1:16" ht="15.75" customHeight="1">
      <c r="A172" s="78">
        <v>166</v>
      </c>
      <c r="B172" s="79">
        <v>2000</v>
      </c>
      <c r="C172" s="323"/>
      <c r="D172" s="323"/>
      <c r="E172" s="22" t="s">
        <v>691</v>
      </c>
      <c r="F172" s="22" t="s">
        <v>690</v>
      </c>
      <c r="G172" s="22">
        <v>1111061110</v>
      </c>
      <c r="H172" s="7" t="s">
        <v>1946</v>
      </c>
      <c r="I172" s="80">
        <v>0.3125</v>
      </c>
      <c r="J172" s="80">
        <v>0.97916666666666663</v>
      </c>
      <c r="K172" s="80">
        <v>8.3333333333333329E-2</v>
      </c>
      <c r="L172" s="80">
        <v>0.3125</v>
      </c>
      <c r="M172" s="81">
        <v>0.91666666666666663</v>
      </c>
      <c r="N172" s="82">
        <v>0.14583333333333334</v>
      </c>
      <c r="O172" s="83">
        <v>0.45833333333333331</v>
      </c>
      <c r="P172" s="84" t="s">
        <v>1924</v>
      </c>
    </row>
    <row r="173" spans="1:16" ht="15.75" customHeight="1">
      <c r="A173" s="78">
        <v>167</v>
      </c>
      <c r="B173" s="79">
        <v>2000</v>
      </c>
      <c r="C173" s="323"/>
      <c r="D173" s="323"/>
      <c r="E173" s="22" t="s">
        <v>694</v>
      </c>
      <c r="F173" s="22" t="s">
        <v>693</v>
      </c>
      <c r="G173" s="22" t="s">
        <v>695</v>
      </c>
      <c r="H173" s="7" t="s">
        <v>1946</v>
      </c>
      <c r="I173" s="80">
        <v>0.3125</v>
      </c>
      <c r="J173" s="80">
        <v>0.97916666666666663</v>
      </c>
      <c r="K173" s="80">
        <v>8.3333333333333329E-2</v>
      </c>
      <c r="L173" s="80">
        <v>0.3125</v>
      </c>
      <c r="M173" s="81">
        <v>0.91666666666666663</v>
      </c>
      <c r="N173" s="82">
        <v>0.14583333333333334</v>
      </c>
      <c r="O173" s="83">
        <v>0.45833333333333331</v>
      </c>
      <c r="P173" s="84" t="s">
        <v>1924</v>
      </c>
    </row>
    <row r="174" spans="1:16" ht="15.75" customHeight="1">
      <c r="A174" s="78">
        <v>168</v>
      </c>
      <c r="B174" s="79">
        <v>2000</v>
      </c>
      <c r="C174" s="323"/>
      <c r="D174" s="323"/>
      <c r="E174" s="22" t="s">
        <v>698</v>
      </c>
      <c r="F174" s="22" t="s">
        <v>697</v>
      </c>
      <c r="G174" s="22" t="s">
        <v>699</v>
      </c>
      <c r="H174" s="7" t="s">
        <v>1946</v>
      </c>
      <c r="I174" s="80">
        <v>0.3125</v>
      </c>
      <c r="J174" s="80">
        <v>0.97916666666666663</v>
      </c>
      <c r="K174" s="80">
        <v>8.3333333333333329E-2</v>
      </c>
      <c r="L174" s="80">
        <v>0.3125</v>
      </c>
      <c r="M174" s="81">
        <v>0.91666666666666663</v>
      </c>
      <c r="N174" s="82">
        <v>0.14583333333333334</v>
      </c>
      <c r="O174" s="83">
        <v>0.45833333333333331</v>
      </c>
      <c r="P174" s="84" t="s">
        <v>1924</v>
      </c>
    </row>
    <row r="175" spans="1:16" ht="15.75" customHeight="1">
      <c r="A175" s="78">
        <v>169</v>
      </c>
      <c r="B175" s="79">
        <v>2000</v>
      </c>
      <c r="C175" s="323"/>
      <c r="D175" s="323"/>
      <c r="E175" s="22" t="s">
        <v>702</v>
      </c>
      <c r="F175" s="22" t="s">
        <v>701</v>
      </c>
      <c r="G175" s="22" t="s">
        <v>703</v>
      </c>
      <c r="H175" s="7" t="s">
        <v>1946</v>
      </c>
      <c r="I175" s="80">
        <v>0.3125</v>
      </c>
      <c r="J175" s="80">
        <v>0.97916666666666663</v>
      </c>
      <c r="K175" s="80">
        <v>8.3333333333333329E-2</v>
      </c>
      <c r="L175" s="80">
        <v>0.3125</v>
      </c>
      <c r="M175" s="81">
        <v>0.91666666666666663</v>
      </c>
      <c r="N175" s="82">
        <v>0.14583333333333334</v>
      </c>
      <c r="O175" s="83">
        <v>0.45833333333333331</v>
      </c>
      <c r="P175" s="84" t="s">
        <v>1924</v>
      </c>
    </row>
    <row r="176" spans="1:16" ht="15.75" customHeight="1">
      <c r="A176" s="78">
        <v>170</v>
      </c>
      <c r="B176" s="79">
        <v>2000</v>
      </c>
      <c r="C176" s="323"/>
      <c r="D176" s="323"/>
      <c r="E176" s="22" t="s">
        <v>706</v>
      </c>
      <c r="F176" s="22" t="s">
        <v>705</v>
      </c>
      <c r="G176" s="22" t="s">
        <v>707</v>
      </c>
      <c r="H176" s="7" t="s">
        <v>1946</v>
      </c>
      <c r="I176" s="80">
        <v>0.3125</v>
      </c>
      <c r="J176" s="80">
        <v>0.97916666666666663</v>
      </c>
      <c r="K176" s="80">
        <v>8.3333333333333329E-2</v>
      </c>
      <c r="L176" s="80">
        <v>0.3125</v>
      </c>
      <c r="M176" s="81">
        <v>0.91666666666666663</v>
      </c>
      <c r="N176" s="82">
        <v>0.14583333333333334</v>
      </c>
      <c r="O176" s="83">
        <v>0.45833333333333331</v>
      </c>
      <c r="P176" s="84" t="s">
        <v>1924</v>
      </c>
    </row>
    <row r="177" spans="1:16" ht="15.75" customHeight="1">
      <c r="A177" s="78">
        <v>171</v>
      </c>
      <c r="B177" s="79">
        <v>2000</v>
      </c>
      <c r="C177" s="323"/>
      <c r="D177" s="323"/>
      <c r="E177" s="22" t="s">
        <v>710</v>
      </c>
      <c r="F177" s="22" t="s">
        <v>709</v>
      </c>
      <c r="G177" s="22" t="s">
        <v>711</v>
      </c>
      <c r="H177" s="7" t="s">
        <v>1946</v>
      </c>
      <c r="I177" s="80">
        <v>0.3125</v>
      </c>
      <c r="J177" s="80">
        <v>0.97916666666666663</v>
      </c>
      <c r="K177" s="80">
        <v>8.3333333333333329E-2</v>
      </c>
      <c r="L177" s="80">
        <v>0.3125</v>
      </c>
      <c r="M177" s="81">
        <v>0.91666666666666663</v>
      </c>
      <c r="N177" s="82">
        <v>0.14583333333333334</v>
      </c>
      <c r="O177" s="83">
        <v>0.45833333333333331</v>
      </c>
      <c r="P177" s="84" t="s">
        <v>1924</v>
      </c>
    </row>
    <row r="178" spans="1:16" ht="15.75" customHeight="1">
      <c r="A178" s="78">
        <v>172</v>
      </c>
      <c r="B178" s="79">
        <v>2000</v>
      </c>
      <c r="C178" s="323"/>
      <c r="D178" s="323"/>
      <c r="E178" s="22" t="s">
        <v>714</v>
      </c>
      <c r="F178" s="22" t="s">
        <v>713</v>
      </c>
      <c r="G178" s="22" t="s">
        <v>715</v>
      </c>
      <c r="H178" s="7" t="s">
        <v>1946</v>
      </c>
      <c r="I178" s="80">
        <v>0.3125</v>
      </c>
      <c r="J178" s="80">
        <v>0.97916666666666663</v>
      </c>
      <c r="K178" s="80">
        <v>8.3333333333333329E-2</v>
      </c>
      <c r="L178" s="80">
        <v>0.3125</v>
      </c>
      <c r="M178" s="81">
        <v>0.91666666666666663</v>
      </c>
      <c r="N178" s="82">
        <v>0.14583333333333334</v>
      </c>
      <c r="O178" s="83">
        <v>0.45833333333333331</v>
      </c>
      <c r="P178" s="84" t="s">
        <v>1924</v>
      </c>
    </row>
    <row r="179" spans="1:16" ht="15.75" customHeight="1">
      <c r="A179" s="78">
        <v>173</v>
      </c>
      <c r="B179" s="79">
        <v>2000</v>
      </c>
      <c r="C179" s="323"/>
      <c r="D179" s="323"/>
      <c r="E179" s="22" t="s">
        <v>718</v>
      </c>
      <c r="F179" s="22" t="s">
        <v>717</v>
      </c>
      <c r="G179" s="22" t="s">
        <v>719</v>
      </c>
      <c r="H179" s="7" t="s">
        <v>1946</v>
      </c>
      <c r="I179" s="80">
        <v>0.3125</v>
      </c>
      <c r="J179" s="80">
        <v>0.97916666666666663</v>
      </c>
      <c r="K179" s="80">
        <v>8.3333333333333329E-2</v>
      </c>
      <c r="L179" s="80">
        <v>0.3125</v>
      </c>
      <c r="M179" s="81">
        <v>0.91666666666666663</v>
      </c>
      <c r="N179" s="82">
        <v>0.14583333333333334</v>
      </c>
      <c r="O179" s="83">
        <v>0.45833333333333331</v>
      </c>
      <c r="P179" s="84" t="s">
        <v>1924</v>
      </c>
    </row>
    <row r="180" spans="1:16" ht="15.75" customHeight="1">
      <c r="A180" s="78">
        <v>174</v>
      </c>
      <c r="B180" s="79">
        <v>2000</v>
      </c>
      <c r="C180" s="323"/>
      <c r="D180" s="323"/>
      <c r="E180" s="22" t="s">
        <v>722</v>
      </c>
      <c r="F180" s="22" t="s">
        <v>721</v>
      </c>
      <c r="G180" s="22" t="s">
        <v>723</v>
      </c>
      <c r="H180" s="7" t="s">
        <v>1946</v>
      </c>
      <c r="I180" s="80">
        <v>0.3125</v>
      </c>
      <c r="J180" s="80">
        <v>0.97916666666666663</v>
      </c>
      <c r="K180" s="80">
        <v>8.3333333333333329E-2</v>
      </c>
      <c r="L180" s="80">
        <v>0.3125</v>
      </c>
      <c r="M180" s="81">
        <v>0.91666666666666663</v>
      </c>
      <c r="N180" s="82">
        <v>0.14583333333333334</v>
      </c>
      <c r="O180" s="83">
        <v>0.45833333333333331</v>
      </c>
      <c r="P180" s="84" t="s">
        <v>1924</v>
      </c>
    </row>
    <row r="181" spans="1:16" ht="15.75" customHeight="1">
      <c r="A181" s="78">
        <v>175</v>
      </c>
      <c r="B181" s="79">
        <v>2000</v>
      </c>
      <c r="C181" s="323"/>
      <c r="D181" s="323"/>
      <c r="E181" s="22" t="s">
        <v>726</v>
      </c>
      <c r="F181" s="22" t="s">
        <v>725</v>
      </c>
      <c r="G181" s="22" t="s">
        <v>727</v>
      </c>
      <c r="H181" s="7" t="s">
        <v>1946</v>
      </c>
      <c r="I181" s="80">
        <v>0.3125</v>
      </c>
      <c r="J181" s="80">
        <v>0.97916666666666663</v>
      </c>
      <c r="K181" s="80">
        <v>8.3333333333333329E-2</v>
      </c>
      <c r="L181" s="80">
        <v>0.3125</v>
      </c>
      <c r="M181" s="81">
        <v>0.91666666666666663</v>
      </c>
      <c r="N181" s="82">
        <v>0.14583333333333334</v>
      </c>
      <c r="O181" s="83">
        <v>0.45833333333333331</v>
      </c>
      <c r="P181" s="84" t="s">
        <v>1924</v>
      </c>
    </row>
    <row r="182" spans="1:16" ht="15.75" customHeight="1">
      <c r="A182" s="78">
        <v>176</v>
      </c>
      <c r="B182" s="79">
        <v>2000</v>
      </c>
      <c r="C182" s="323"/>
      <c r="D182" s="323"/>
      <c r="E182" s="22" t="s">
        <v>730</v>
      </c>
      <c r="F182" s="22" t="s">
        <v>729</v>
      </c>
      <c r="G182" s="22" t="s">
        <v>731</v>
      </c>
      <c r="H182" s="7" t="s">
        <v>1946</v>
      </c>
      <c r="I182" s="80">
        <v>0.3125</v>
      </c>
      <c r="J182" s="80">
        <v>0.97916666666666663</v>
      </c>
      <c r="K182" s="80">
        <v>8.3333333333333329E-2</v>
      </c>
      <c r="L182" s="80">
        <v>0.3125</v>
      </c>
      <c r="M182" s="81">
        <v>0.91666666666666663</v>
      </c>
      <c r="N182" s="82">
        <v>0.14583333333333334</v>
      </c>
      <c r="O182" s="83">
        <v>0.45833333333333331</v>
      </c>
      <c r="P182" s="84" t="s">
        <v>1924</v>
      </c>
    </row>
    <row r="183" spans="1:16" ht="15.75" customHeight="1">
      <c r="A183" s="78">
        <v>177</v>
      </c>
      <c r="B183" s="79">
        <v>2000</v>
      </c>
      <c r="C183" s="323"/>
      <c r="D183" s="323"/>
      <c r="E183" s="22" t="s">
        <v>734</v>
      </c>
      <c r="F183" s="22" t="s">
        <v>733</v>
      </c>
      <c r="G183" s="22">
        <v>1111061211</v>
      </c>
      <c r="H183" s="7" t="s">
        <v>1946</v>
      </c>
      <c r="I183" s="80">
        <v>0.3125</v>
      </c>
      <c r="J183" s="80">
        <v>0.97916666666666663</v>
      </c>
      <c r="K183" s="80">
        <v>8.3333333333333329E-2</v>
      </c>
      <c r="L183" s="80">
        <v>0.3125</v>
      </c>
      <c r="M183" s="81">
        <v>0.91666666666666663</v>
      </c>
      <c r="N183" s="82">
        <v>0.14583333333333334</v>
      </c>
      <c r="O183" s="83">
        <v>0.45833333333333331</v>
      </c>
      <c r="P183" s="84" t="s">
        <v>1924</v>
      </c>
    </row>
    <row r="184" spans="1:16" ht="15.75" customHeight="1">
      <c r="A184" s="78">
        <v>178</v>
      </c>
      <c r="B184" s="79">
        <v>2000</v>
      </c>
      <c r="C184" s="323"/>
      <c r="D184" s="323"/>
      <c r="E184" s="22" t="s">
        <v>737</v>
      </c>
      <c r="F184" s="22" t="s">
        <v>736</v>
      </c>
      <c r="G184" s="22">
        <v>1111061212</v>
      </c>
      <c r="H184" s="7" t="s">
        <v>1946</v>
      </c>
      <c r="I184" s="80">
        <v>0.3125</v>
      </c>
      <c r="J184" s="80">
        <v>0.97916666666666663</v>
      </c>
      <c r="K184" s="80">
        <v>8.3333333333333329E-2</v>
      </c>
      <c r="L184" s="80">
        <v>0.3125</v>
      </c>
      <c r="M184" s="81">
        <v>0.91666666666666663</v>
      </c>
      <c r="N184" s="82">
        <v>0.14583333333333334</v>
      </c>
      <c r="O184" s="83">
        <v>0.45833333333333331</v>
      </c>
      <c r="P184" s="84" t="s">
        <v>1924</v>
      </c>
    </row>
    <row r="185" spans="1:16" ht="15.75" customHeight="1">
      <c r="A185" s="78">
        <v>179</v>
      </c>
      <c r="B185" s="79">
        <v>2000</v>
      </c>
      <c r="C185" s="323"/>
      <c r="D185" s="323"/>
      <c r="E185" s="22" t="s">
        <v>740</v>
      </c>
      <c r="F185" s="22" t="s">
        <v>739</v>
      </c>
      <c r="G185" s="22" t="s">
        <v>741</v>
      </c>
      <c r="H185" s="7" t="s">
        <v>1946</v>
      </c>
      <c r="I185" s="80">
        <v>0.3125</v>
      </c>
      <c r="J185" s="80">
        <v>0.97916666666666663</v>
      </c>
      <c r="K185" s="80">
        <v>8.3333333333333329E-2</v>
      </c>
      <c r="L185" s="80">
        <v>0.3125</v>
      </c>
      <c r="M185" s="81">
        <v>0.91666666666666663</v>
      </c>
      <c r="N185" s="82">
        <v>0.14583333333333334</v>
      </c>
      <c r="O185" s="83">
        <v>0.45833333333333331</v>
      </c>
      <c r="P185" s="84" t="s">
        <v>1924</v>
      </c>
    </row>
    <row r="186" spans="1:16" ht="15.75" customHeight="1">
      <c r="A186" s="78">
        <v>180</v>
      </c>
      <c r="B186" s="79">
        <v>2000</v>
      </c>
      <c r="C186" s="324"/>
      <c r="D186" s="324"/>
      <c r="E186" s="22" t="s">
        <v>744</v>
      </c>
      <c r="F186" s="22" t="s">
        <v>743</v>
      </c>
      <c r="G186" s="22">
        <v>1111061001</v>
      </c>
      <c r="H186" s="7" t="s">
        <v>1946</v>
      </c>
      <c r="I186" s="80">
        <v>0.3125</v>
      </c>
      <c r="J186" s="80">
        <v>0.97916666666666663</v>
      </c>
      <c r="K186" s="80">
        <v>8.3333333333333329E-2</v>
      </c>
      <c r="L186" s="80">
        <v>0.3125</v>
      </c>
      <c r="M186" s="81">
        <v>0.91666666666666663</v>
      </c>
      <c r="N186" s="82">
        <v>0.14583333333333334</v>
      </c>
      <c r="O186" s="83">
        <v>0.45833333333333331</v>
      </c>
      <c r="P186" s="84" t="s">
        <v>1924</v>
      </c>
    </row>
    <row r="187" spans="1:16" ht="15.75" customHeight="1">
      <c r="A187" s="78">
        <v>181</v>
      </c>
      <c r="B187" s="79">
        <v>2000</v>
      </c>
      <c r="C187" s="329" t="s">
        <v>1966</v>
      </c>
      <c r="D187" s="327" t="s">
        <v>1966</v>
      </c>
      <c r="E187" s="22" t="s">
        <v>747</v>
      </c>
      <c r="F187" s="22" t="s">
        <v>748</v>
      </c>
      <c r="G187" s="22" t="s">
        <v>749</v>
      </c>
      <c r="H187" s="7" t="s">
        <v>1946</v>
      </c>
      <c r="I187" s="80">
        <v>0.3125</v>
      </c>
      <c r="J187" s="80">
        <v>0.97916666666666663</v>
      </c>
      <c r="K187" s="80">
        <v>8.3333333333333329E-2</v>
      </c>
      <c r="L187" s="80">
        <v>0.3125</v>
      </c>
      <c r="M187" s="81">
        <v>0.58333333333333337</v>
      </c>
      <c r="N187" s="82">
        <v>4.1666666666666664E-2</v>
      </c>
      <c r="O187" s="83">
        <v>0.22916666666666666</v>
      </c>
      <c r="P187" s="84" t="s">
        <v>1924</v>
      </c>
    </row>
    <row r="188" spans="1:16" ht="15.75" customHeight="1">
      <c r="A188" s="78">
        <v>182</v>
      </c>
      <c r="B188" s="79">
        <v>2000</v>
      </c>
      <c r="C188" s="323"/>
      <c r="D188" s="323"/>
      <c r="E188" s="22" t="s">
        <v>754</v>
      </c>
      <c r="F188" s="22" t="s">
        <v>755</v>
      </c>
      <c r="G188" s="22" t="s">
        <v>749</v>
      </c>
      <c r="H188" s="7" t="s">
        <v>1946</v>
      </c>
      <c r="I188" s="80">
        <v>0.3125</v>
      </c>
      <c r="J188" s="80">
        <v>0.97916666666666663</v>
      </c>
      <c r="K188" s="80">
        <v>8.3333333333333329E-2</v>
      </c>
      <c r="L188" s="80">
        <v>0.3125</v>
      </c>
      <c r="M188" s="81">
        <v>0.58333333333333337</v>
      </c>
      <c r="N188" s="82">
        <v>4.1666666666666664E-2</v>
      </c>
      <c r="O188" s="83">
        <v>0.22916666666666666</v>
      </c>
      <c r="P188" s="84" t="s">
        <v>1924</v>
      </c>
    </row>
    <row r="189" spans="1:16" ht="15.75" customHeight="1">
      <c r="A189" s="78">
        <v>183</v>
      </c>
      <c r="B189" s="79">
        <v>2000</v>
      </c>
      <c r="C189" s="323"/>
      <c r="D189" s="323"/>
      <c r="E189" s="22" t="s">
        <v>758</v>
      </c>
      <c r="F189" s="22" t="s">
        <v>759</v>
      </c>
      <c r="G189" s="22" t="s">
        <v>760</v>
      </c>
      <c r="H189" s="7" t="s">
        <v>1946</v>
      </c>
      <c r="I189" s="80">
        <v>0.3125</v>
      </c>
      <c r="J189" s="80">
        <v>0.97916666666666663</v>
      </c>
      <c r="K189" s="80">
        <v>8.3333333333333329E-2</v>
      </c>
      <c r="L189" s="80">
        <v>0.3125</v>
      </c>
      <c r="M189" s="81">
        <v>0.58333333333333337</v>
      </c>
      <c r="N189" s="82">
        <v>4.1666666666666664E-2</v>
      </c>
      <c r="O189" s="83">
        <v>0.22916666666666666</v>
      </c>
      <c r="P189" s="84" t="s">
        <v>1924</v>
      </c>
    </row>
    <row r="190" spans="1:16" ht="15.75" customHeight="1">
      <c r="A190" s="78">
        <v>184</v>
      </c>
      <c r="B190" s="79">
        <v>2000</v>
      </c>
      <c r="C190" s="323"/>
      <c r="D190" s="323"/>
      <c r="E190" s="22" t="s">
        <v>763</v>
      </c>
      <c r="F190" s="22" t="s">
        <v>764</v>
      </c>
      <c r="G190" s="22" t="s">
        <v>760</v>
      </c>
      <c r="H190" s="7" t="s">
        <v>1946</v>
      </c>
      <c r="I190" s="80">
        <v>0.3125</v>
      </c>
      <c r="J190" s="80">
        <v>0.97916666666666663</v>
      </c>
      <c r="K190" s="80">
        <v>8.3333333333333329E-2</v>
      </c>
      <c r="L190" s="80">
        <v>0.3125</v>
      </c>
      <c r="M190" s="81">
        <v>0.58333333333333337</v>
      </c>
      <c r="N190" s="82">
        <v>4.1666666666666664E-2</v>
      </c>
      <c r="O190" s="83">
        <v>0.22916666666666666</v>
      </c>
      <c r="P190" s="84" t="s">
        <v>1924</v>
      </c>
    </row>
    <row r="191" spans="1:16" ht="15.75" customHeight="1">
      <c r="A191" s="78">
        <v>185</v>
      </c>
      <c r="B191" s="79">
        <v>2000</v>
      </c>
      <c r="C191" s="323"/>
      <c r="D191" s="323"/>
      <c r="E191" s="22" t="s">
        <v>767</v>
      </c>
      <c r="F191" s="22" t="s">
        <v>768</v>
      </c>
      <c r="G191" s="22" t="s">
        <v>760</v>
      </c>
      <c r="H191" s="7" t="s">
        <v>1946</v>
      </c>
      <c r="I191" s="80">
        <v>0.3125</v>
      </c>
      <c r="J191" s="80">
        <v>0.97916666666666663</v>
      </c>
      <c r="K191" s="80">
        <v>8.3333333333333329E-2</v>
      </c>
      <c r="L191" s="80">
        <v>0.3125</v>
      </c>
      <c r="M191" s="81">
        <v>0.58333333333333337</v>
      </c>
      <c r="N191" s="82">
        <v>4.1666666666666664E-2</v>
      </c>
      <c r="O191" s="83">
        <v>0.22916666666666666</v>
      </c>
      <c r="P191" s="84" t="s">
        <v>1924</v>
      </c>
    </row>
    <row r="192" spans="1:16" ht="15.75" customHeight="1">
      <c r="A192" s="78">
        <v>186</v>
      </c>
      <c r="B192" s="79">
        <v>2000</v>
      </c>
      <c r="C192" s="323"/>
      <c r="D192" s="323"/>
      <c r="E192" s="22" t="s">
        <v>771</v>
      </c>
      <c r="F192" s="22" t="s">
        <v>772</v>
      </c>
      <c r="G192" s="22" t="s">
        <v>760</v>
      </c>
      <c r="H192" s="7" t="s">
        <v>1946</v>
      </c>
      <c r="I192" s="80">
        <v>0.3125</v>
      </c>
      <c r="J192" s="80">
        <v>0.97916666666666663</v>
      </c>
      <c r="K192" s="80">
        <v>8.3333333333333329E-2</v>
      </c>
      <c r="L192" s="80">
        <v>0.3125</v>
      </c>
      <c r="M192" s="81">
        <v>0.58333333333333337</v>
      </c>
      <c r="N192" s="82">
        <v>4.1666666666666664E-2</v>
      </c>
      <c r="O192" s="83">
        <v>0.22916666666666666</v>
      </c>
      <c r="P192" s="84" t="s">
        <v>1924</v>
      </c>
    </row>
    <row r="193" spans="1:16" ht="15.75" customHeight="1">
      <c r="A193" s="78">
        <v>187</v>
      </c>
      <c r="B193" s="79">
        <v>2000</v>
      </c>
      <c r="C193" s="324"/>
      <c r="D193" s="324"/>
      <c r="E193" s="22" t="s">
        <v>774</v>
      </c>
      <c r="F193" s="22" t="s">
        <v>773</v>
      </c>
      <c r="G193" s="22">
        <v>1111120003</v>
      </c>
      <c r="H193" s="7" t="s">
        <v>1946</v>
      </c>
      <c r="I193" s="80">
        <v>0.3125</v>
      </c>
      <c r="J193" s="80">
        <v>0.97916666666666663</v>
      </c>
      <c r="K193" s="80">
        <v>8.3333333333333329E-2</v>
      </c>
      <c r="L193" s="80">
        <v>0.3125</v>
      </c>
      <c r="M193" s="81">
        <v>0.58333333333333337</v>
      </c>
      <c r="N193" s="82">
        <v>4.1666666666666664E-2</v>
      </c>
      <c r="O193" s="83">
        <v>0.22916666666666666</v>
      </c>
      <c r="P193" s="84" t="s">
        <v>1924</v>
      </c>
    </row>
    <row r="194" spans="1:16" ht="15.75" customHeight="1">
      <c r="A194" s="78">
        <v>188</v>
      </c>
      <c r="B194" s="79">
        <v>2000</v>
      </c>
      <c r="C194" s="326" t="s">
        <v>779</v>
      </c>
      <c r="D194" s="327" t="s">
        <v>1967</v>
      </c>
      <c r="E194" s="6" t="s">
        <v>786</v>
      </c>
      <c r="F194" s="6" t="s">
        <v>1968</v>
      </c>
      <c r="G194" s="108">
        <v>1111062102</v>
      </c>
      <c r="H194" s="33">
        <v>1111062101</v>
      </c>
      <c r="I194" s="80">
        <v>0.3125</v>
      </c>
      <c r="J194" s="80">
        <v>0.64583333333333337</v>
      </c>
      <c r="K194" s="80">
        <v>4.1666666666666664E-2</v>
      </c>
      <c r="L194" s="80">
        <v>0.3125</v>
      </c>
      <c r="M194" s="81">
        <v>0.58333333333333337</v>
      </c>
      <c r="N194" s="82">
        <v>4.1666666666666664E-2</v>
      </c>
      <c r="O194" s="83">
        <v>0.22916666666666666</v>
      </c>
      <c r="P194" s="84" t="s">
        <v>1924</v>
      </c>
    </row>
    <row r="195" spans="1:16" ht="15.75" customHeight="1">
      <c r="A195" s="78">
        <v>189</v>
      </c>
      <c r="B195" s="79">
        <v>2000</v>
      </c>
      <c r="C195" s="323"/>
      <c r="D195" s="323"/>
      <c r="E195" s="27" t="s">
        <v>1837</v>
      </c>
      <c r="F195" s="27" t="s">
        <v>1838</v>
      </c>
      <c r="G195" s="27">
        <v>1111062103</v>
      </c>
      <c r="H195" s="7"/>
      <c r="I195" s="80">
        <v>0.3125</v>
      </c>
      <c r="J195" s="80">
        <v>0.64583333333333337</v>
      </c>
      <c r="K195" s="80">
        <v>4.1666666666666664E-2</v>
      </c>
      <c r="L195" s="80">
        <v>0.3125</v>
      </c>
      <c r="M195" s="81">
        <v>0.58333333333333337</v>
      </c>
      <c r="N195" s="82">
        <v>4.1666666666666664E-2</v>
      </c>
      <c r="O195" s="83">
        <v>0.22916666666666666</v>
      </c>
      <c r="P195" s="84" t="s">
        <v>1924</v>
      </c>
    </row>
    <row r="196" spans="1:16" ht="15.75" customHeight="1">
      <c r="A196" s="78">
        <v>190</v>
      </c>
      <c r="B196" s="79">
        <v>2000</v>
      </c>
      <c r="C196" s="323"/>
      <c r="D196" s="323"/>
      <c r="E196" s="6" t="s">
        <v>791</v>
      </c>
      <c r="F196" s="6" t="s">
        <v>790</v>
      </c>
      <c r="G196" s="6">
        <v>1111062102</v>
      </c>
      <c r="H196" s="7"/>
      <c r="I196" s="80">
        <v>0.3125</v>
      </c>
      <c r="J196" s="80">
        <v>0.64583333333333337</v>
      </c>
      <c r="K196" s="80">
        <v>4.1666666666666664E-2</v>
      </c>
      <c r="L196" s="80">
        <v>0.3125</v>
      </c>
      <c r="M196" s="81">
        <v>0.58333333333333337</v>
      </c>
      <c r="N196" s="82">
        <v>4.1666666666666664E-2</v>
      </c>
      <c r="O196" s="83">
        <v>0.22916666666666666</v>
      </c>
      <c r="P196" s="84" t="s">
        <v>1924</v>
      </c>
    </row>
    <row r="197" spans="1:16" ht="15.75" customHeight="1">
      <c r="A197" s="78">
        <v>191</v>
      </c>
      <c r="B197" s="79">
        <v>2000</v>
      </c>
      <c r="C197" s="323"/>
      <c r="D197" s="323"/>
      <c r="E197" s="6" t="s">
        <v>794</v>
      </c>
      <c r="F197" s="6" t="s">
        <v>793</v>
      </c>
      <c r="G197" s="6">
        <v>1111062103</v>
      </c>
      <c r="H197" s="7"/>
      <c r="I197" s="80">
        <v>0.3125</v>
      </c>
      <c r="J197" s="80">
        <v>0.64583333333333337</v>
      </c>
      <c r="K197" s="80">
        <v>4.1666666666666664E-2</v>
      </c>
      <c r="L197" s="80">
        <v>0.3125</v>
      </c>
      <c r="M197" s="81">
        <v>0.58333333333333337</v>
      </c>
      <c r="N197" s="82">
        <v>4.1666666666666664E-2</v>
      </c>
      <c r="O197" s="83">
        <v>0.22916666666666666</v>
      </c>
      <c r="P197" s="84" t="s">
        <v>1924</v>
      </c>
    </row>
    <row r="198" spans="1:16" ht="15.75" customHeight="1">
      <c r="A198" s="78">
        <v>192</v>
      </c>
      <c r="B198" s="79">
        <v>2000</v>
      </c>
      <c r="C198" s="323"/>
      <c r="D198" s="323"/>
      <c r="E198" s="6" t="s">
        <v>797</v>
      </c>
      <c r="F198" s="6" t="s">
        <v>796</v>
      </c>
      <c r="G198" s="6">
        <v>1111062202</v>
      </c>
      <c r="H198" s="7"/>
      <c r="I198" s="80">
        <v>0.3125</v>
      </c>
      <c r="J198" s="80">
        <v>0.64583333333333337</v>
      </c>
      <c r="K198" s="80">
        <v>4.1666666666666664E-2</v>
      </c>
      <c r="L198" s="80">
        <v>0.3125</v>
      </c>
      <c r="M198" s="81">
        <v>0.58333333333333337</v>
      </c>
      <c r="N198" s="82">
        <v>4.1666666666666664E-2</v>
      </c>
      <c r="O198" s="83">
        <v>0.22916666666666666</v>
      </c>
      <c r="P198" s="84" t="s">
        <v>1924</v>
      </c>
    </row>
    <row r="199" spans="1:16" ht="15.75" customHeight="1">
      <c r="A199" s="78">
        <v>193</v>
      </c>
      <c r="B199" s="79">
        <v>2000</v>
      </c>
      <c r="C199" s="323"/>
      <c r="D199" s="324"/>
      <c r="E199" s="6" t="s">
        <v>800</v>
      </c>
      <c r="F199" s="6" t="s">
        <v>799</v>
      </c>
      <c r="G199" s="6">
        <v>1111062203</v>
      </c>
      <c r="H199" s="7"/>
      <c r="I199" s="80">
        <v>0.3125</v>
      </c>
      <c r="J199" s="80">
        <v>0.64583333333333337</v>
      </c>
      <c r="K199" s="80">
        <v>4.1666666666666664E-2</v>
      </c>
      <c r="L199" s="80">
        <v>0.3125</v>
      </c>
      <c r="M199" s="81">
        <v>0.58333333333333337</v>
      </c>
      <c r="N199" s="82">
        <v>4.1666666666666664E-2</v>
      </c>
      <c r="O199" s="83">
        <v>0.22916666666666666</v>
      </c>
      <c r="P199" s="84" t="s">
        <v>1924</v>
      </c>
    </row>
    <row r="200" spans="1:16" ht="15.75" customHeight="1">
      <c r="A200" s="78">
        <v>194</v>
      </c>
      <c r="B200" s="79">
        <v>2000</v>
      </c>
      <c r="C200" s="323"/>
      <c r="D200" s="328" t="s">
        <v>1969</v>
      </c>
      <c r="E200" s="22" t="s">
        <v>801</v>
      </c>
      <c r="F200" s="22" t="s">
        <v>802</v>
      </c>
      <c r="G200" s="6">
        <v>1111062303</v>
      </c>
      <c r="H200" s="322" t="s">
        <v>1970</v>
      </c>
      <c r="I200" s="80">
        <v>0.3125</v>
      </c>
      <c r="J200" s="80">
        <v>0.64583333333333337</v>
      </c>
      <c r="K200" s="80">
        <v>4.1666666666666664E-2</v>
      </c>
      <c r="L200" s="80">
        <v>0.3125</v>
      </c>
      <c r="M200" s="81">
        <v>0.58333333333333337</v>
      </c>
      <c r="N200" s="82">
        <v>4.1666666666666664E-2</v>
      </c>
      <c r="O200" s="83">
        <v>0.22916666666666666</v>
      </c>
      <c r="P200" s="84" t="s">
        <v>1924</v>
      </c>
    </row>
    <row r="201" spans="1:16" ht="15.75" customHeight="1">
      <c r="A201" s="78">
        <v>195</v>
      </c>
      <c r="B201" s="79">
        <v>2000</v>
      </c>
      <c r="C201" s="323"/>
      <c r="D201" s="323"/>
      <c r="E201" s="22" t="s">
        <v>803</v>
      </c>
      <c r="F201" s="22" t="s">
        <v>804</v>
      </c>
      <c r="G201" s="6">
        <v>1111062304</v>
      </c>
      <c r="H201" s="323"/>
      <c r="I201" s="80">
        <v>0.3125</v>
      </c>
      <c r="J201" s="80">
        <v>0.64583333333333337</v>
      </c>
      <c r="K201" s="80">
        <v>4.1666666666666664E-2</v>
      </c>
      <c r="L201" s="80">
        <v>0.3125</v>
      </c>
      <c r="M201" s="81">
        <v>0.58333333333333337</v>
      </c>
      <c r="N201" s="82">
        <v>4.1666666666666664E-2</v>
      </c>
      <c r="O201" s="83">
        <v>0.22916666666666666</v>
      </c>
      <c r="P201" s="84" t="s">
        <v>1924</v>
      </c>
    </row>
    <row r="202" spans="1:16" ht="15.75" customHeight="1">
      <c r="A202" s="78">
        <v>196</v>
      </c>
      <c r="B202" s="79">
        <v>2000</v>
      </c>
      <c r="C202" s="323"/>
      <c r="D202" s="323"/>
      <c r="E202" s="22" t="s">
        <v>805</v>
      </c>
      <c r="F202" s="22" t="s">
        <v>806</v>
      </c>
      <c r="G202" s="6">
        <v>1111062305</v>
      </c>
      <c r="H202" s="323"/>
      <c r="I202" s="80">
        <v>0.3125</v>
      </c>
      <c r="J202" s="80">
        <v>0.64583333333333337</v>
      </c>
      <c r="K202" s="80">
        <v>4.1666666666666664E-2</v>
      </c>
      <c r="L202" s="80">
        <v>0.3125</v>
      </c>
      <c r="M202" s="81">
        <v>0.58333333333333337</v>
      </c>
      <c r="N202" s="82">
        <v>4.1666666666666664E-2</v>
      </c>
      <c r="O202" s="83">
        <v>0.22916666666666666</v>
      </c>
      <c r="P202" s="84" t="s">
        <v>1924</v>
      </c>
    </row>
    <row r="203" spans="1:16" ht="15.75" customHeight="1">
      <c r="A203" s="78">
        <v>197</v>
      </c>
      <c r="B203" s="79">
        <v>2000</v>
      </c>
      <c r="C203" s="323"/>
      <c r="D203" s="323"/>
      <c r="E203" s="22" t="s">
        <v>807</v>
      </c>
      <c r="F203" s="22" t="s">
        <v>808</v>
      </c>
      <c r="G203" s="6">
        <v>1111062306</v>
      </c>
      <c r="H203" s="323"/>
      <c r="I203" s="80">
        <v>0.3125</v>
      </c>
      <c r="J203" s="80">
        <v>0.64583333333333337</v>
      </c>
      <c r="K203" s="80">
        <v>4.1666666666666664E-2</v>
      </c>
      <c r="L203" s="80">
        <v>0.3125</v>
      </c>
      <c r="M203" s="81">
        <v>0.58333333333333337</v>
      </c>
      <c r="N203" s="82">
        <v>4.1666666666666664E-2</v>
      </c>
      <c r="O203" s="83">
        <v>0.22916666666666666</v>
      </c>
      <c r="P203" s="84" t="s">
        <v>1924</v>
      </c>
    </row>
    <row r="204" spans="1:16" ht="15.75" customHeight="1">
      <c r="A204" s="78">
        <v>198</v>
      </c>
      <c r="B204" s="79">
        <v>2000</v>
      </c>
      <c r="C204" s="323"/>
      <c r="D204" s="323"/>
      <c r="E204" s="22" t="s">
        <v>809</v>
      </c>
      <c r="F204" s="22" t="s">
        <v>810</v>
      </c>
      <c r="G204" s="6">
        <v>1111062307</v>
      </c>
      <c r="H204" s="323"/>
      <c r="I204" s="80">
        <v>0.3125</v>
      </c>
      <c r="J204" s="80">
        <v>0.64583333333333337</v>
      </c>
      <c r="K204" s="80">
        <v>4.1666666666666664E-2</v>
      </c>
      <c r="L204" s="80">
        <v>0.3125</v>
      </c>
      <c r="M204" s="81">
        <v>0.58333333333333337</v>
      </c>
      <c r="N204" s="82">
        <v>4.1666666666666664E-2</v>
      </c>
      <c r="O204" s="83">
        <v>0.22916666666666666</v>
      </c>
      <c r="P204" s="84" t="s">
        <v>1924</v>
      </c>
    </row>
    <row r="205" spans="1:16" ht="15.75" customHeight="1">
      <c r="A205" s="78">
        <v>199</v>
      </c>
      <c r="B205" s="79">
        <v>2000</v>
      </c>
      <c r="C205" s="323"/>
      <c r="D205" s="323"/>
      <c r="E205" s="22" t="s">
        <v>811</v>
      </c>
      <c r="F205" s="22" t="s">
        <v>812</v>
      </c>
      <c r="G205" s="6">
        <v>1111062308</v>
      </c>
      <c r="H205" s="323"/>
      <c r="I205" s="80">
        <v>0.3125</v>
      </c>
      <c r="J205" s="80">
        <v>0.64583333333333337</v>
      </c>
      <c r="K205" s="80">
        <v>4.1666666666666664E-2</v>
      </c>
      <c r="L205" s="80">
        <v>0.3125</v>
      </c>
      <c r="M205" s="81">
        <v>0.58333333333333337</v>
      </c>
      <c r="N205" s="82">
        <v>4.1666666666666664E-2</v>
      </c>
      <c r="O205" s="83">
        <v>0.22916666666666666</v>
      </c>
      <c r="P205" s="84" t="s">
        <v>1924</v>
      </c>
    </row>
    <row r="206" spans="1:16" ht="15.75" customHeight="1">
      <c r="A206" s="78">
        <v>200</v>
      </c>
      <c r="B206" s="79">
        <v>2000</v>
      </c>
      <c r="C206" s="323"/>
      <c r="D206" s="323"/>
      <c r="E206" s="22" t="s">
        <v>813</v>
      </c>
      <c r="F206" s="22" t="s">
        <v>814</v>
      </c>
      <c r="G206" s="27">
        <v>1111062309</v>
      </c>
      <c r="H206" s="323"/>
      <c r="I206" s="80">
        <v>0.3125</v>
      </c>
      <c r="J206" s="80">
        <v>0.64583333333333337</v>
      </c>
      <c r="K206" s="80">
        <v>4.1666666666666664E-2</v>
      </c>
      <c r="L206" s="80">
        <v>0.3125</v>
      </c>
      <c r="M206" s="81">
        <v>0.58333333333333337</v>
      </c>
      <c r="N206" s="82">
        <v>4.1666666666666664E-2</v>
      </c>
      <c r="O206" s="83">
        <v>0.22916666666666666</v>
      </c>
      <c r="P206" s="84" t="s">
        <v>1924</v>
      </c>
    </row>
    <row r="207" spans="1:16" ht="15.75" customHeight="1">
      <c r="A207" s="78">
        <v>201</v>
      </c>
      <c r="B207" s="79">
        <v>2000</v>
      </c>
      <c r="C207" s="323"/>
      <c r="D207" s="323"/>
      <c r="E207" s="22" t="s">
        <v>815</v>
      </c>
      <c r="F207" s="22" t="s">
        <v>816</v>
      </c>
      <c r="G207" s="27">
        <v>1111062310</v>
      </c>
      <c r="H207" s="323"/>
      <c r="I207" s="80">
        <v>0.3125</v>
      </c>
      <c r="J207" s="80">
        <v>0.64583333333333337</v>
      </c>
      <c r="K207" s="80">
        <v>4.1666666666666664E-2</v>
      </c>
      <c r="L207" s="80">
        <v>0.3125</v>
      </c>
      <c r="M207" s="81">
        <v>0.58333333333333337</v>
      </c>
      <c r="N207" s="82">
        <v>4.1666666666666664E-2</v>
      </c>
      <c r="O207" s="83">
        <v>0.22916666666666666</v>
      </c>
      <c r="P207" s="84" t="s">
        <v>1924</v>
      </c>
    </row>
    <row r="208" spans="1:16" ht="15.75" customHeight="1">
      <c r="A208" s="78">
        <v>202</v>
      </c>
      <c r="B208" s="79">
        <v>2000</v>
      </c>
      <c r="C208" s="323"/>
      <c r="D208" s="323"/>
      <c r="E208" s="22" t="s">
        <v>817</v>
      </c>
      <c r="F208" s="22" t="s">
        <v>818</v>
      </c>
      <c r="G208" s="27">
        <v>1111062311</v>
      </c>
      <c r="H208" s="323"/>
      <c r="I208" s="80">
        <v>0.3125</v>
      </c>
      <c r="J208" s="80">
        <v>0.64583333333333337</v>
      </c>
      <c r="K208" s="80">
        <v>4.1666666666666664E-2</v>
      </c>
      <c r="L208" s="80">
        <v>0.3125</v>
      </c>
      <c r="M208" s="81">
        <v>0.58333333333333337</v>
      </c>
      <c r="N208" s="82">
        <v>4.1666666666666664E-2</v>
      </c>
      <c r="O208" s="83">
        <v>0.22916666666666666</v>
      </c>
      <c r="P208" s="84" t="s">
        <v>1924</v>
      </c>
    </row>
    <row r="209" spans="1:16" ht="15.75" customHeight="1">
      <c r="A209" s="78">
        <v>203</v>
      </c>
      <c r="B209" s="79">
        <v>2000</v>
      </c>
      <c r="C209" s="323"/>
      <c r="D209" s="323"/>
      <c r="E209" s="22" t="s">
        <v>819</v>
      </c>
      <c r="F209" s="22" t="s">
        <v>820</v>
      </c>
      <c r="G209" s="27">
        <v>1111062312</v>
      </c>
      <c r="H209" s="323"/>
      <c r="I209" s="80">
        <v>0.3125</v>
      </c>
      <c r="J209" s="80">
        <v>0.64583333333333337</v>
      </c>
      <c r="K209" s="80">
        <v>4.1666666666666664E-2</v>
      </c>
      <c r="L209" s="80">
        <v>0.3125</v>
      </c>
      <c r="M209" s="81">
        <v>0.58333333333333337</v>
      </c>
      <c r="N209" s="82">
        <v>4.1666666666666664E-2</v>
      </c>
      <c r="O209" s="83">
        <v>0.22916666666666666</v>
      </c>
      <c r="P209" s="84" t="s">
        <v>1924</v>
      </c>
    </row>
    <row r="210" spans="1:16" ht="15.75" customHeight="1">
      <c r="A210" s="78">
        <v>204</v>
      </c>
      <c r="B210" s="79">
        <v>2000</v>
      </c>
      <c r="C210" s="323"/>
      <c r="D210" s="323"/>
      <c r="E210" s="22" t="s">
        <v>821</v>
      </c>
      <c r="F210" s="22" t="s">
        <v>822</v>
      </c>
      <c r="G210" s="27">
        <v>1111062313</v>
      </c>
      <c r="H210" s="323"/>
      <c r="I210" s="80">
        <v>0.3125</v>
      </c>
      <c r="J210" s="80">
        <v>0.64583333333333337</v>
      </c>
      <c r="K210" s="80">
        <v>4.1666666666666664E-2</v>
      </c>
      <c r="L210" s="80">
        <v>0.3125</v>
      </c>
      <c r="M210" s="81">
        <v>0.58333333333333337</v>
      </c>
      <c r="N210" s="82">
        <v>4.1666666666666664E-2</v>
      </c>
      <c r="O210" s="83">
        <v>0.22916666666666666</v>
      </c>
      <c r="P210" s="84" t="s">
        <v>1924</v>
      </c>
    </row>
    <row r="211" spans="1:16" ht="15.75" customHeight="1">
      <c r="A211" s="78">
        <v>205</v>
      </c>
      <c r="B211" s="79">
        <v>2000</v>
      </c>
      <c r="C211" s="323"/>
      <c r="D211" s="323"/>
      <c r="E211" s="22" t="s">
        <v>823</v>
      </c>
      <c r="F211" s="22" t="s">
        <v>824</v>
      </c>
      <c r="G211" s="27">
        <v>1111062314</v>
      </c>
      <c r="H211" s="324"/>
      <c r="I211" s="80">
        <v>0.3125</v>
      </c>
      <c r="J211" s="80">
        <v>0.64583333333333337</v>
      </c>
      <c r="K211" s="80">
        <v>4.1666666666666664E-2</v>
      </c>
      <c r="L211" s="80">
        <v>0.3125</v>
      </c>
      <c r="M211" s="81">
        <v>0.58333333333333337</v>
      </c>
      <c r="N211" s="82">
        <v>4.1666666666666664E-2</v>
      </c>
      <c r="O211" s="83">
        <v>0.22916666666666666</v>
      </c>
      <c r="P211" s="84" t="s">
        <v>1924</v>
      </c>
    </row>
    <row r="212" spans="1:16" ht="15.75" customHeight="1">
      <c r="A212" s="78">
        <v>206</v>
      </c>
      <c r="B212" s="79">
        <v>2000</v>
      </c>
      <c r="C212" s="323"/>
      <c r="D212" s="323"/>
      <c r="E212" s="108" t="s">
        <v>825</v>
      </c>
      <c r="F212" s="108" t="s">
        <v>826</v>
      </c>
      <c r="G212" s="6">
        <v>1111062401</v>
      </c>
      <c r="H212" s="322" t="s">
        <v>1971</v>
      </c>
      <c r="I212" s="80">
        <v>0.3125</v>
      </c>
      <c r="J212" s="80">
        <v>0.64583333333333337</v>
      </c>
      <c r="K212" s="80">
        <v>4.1666666666666664E-2</v>
      </c>
      <c r="L212" s="80">
        <v>0.3125</v>
      </c>
      <c r="M212" s="81">
        <v>0.58333333333333337</v>
      </c>
      <c r="N212" s="82">
        <v>4.1666666666666664E-2</v>
      </c>
      <c r="O212" s="83">
        <v>0.22916666666666666</v>
      </c>
      <c r="P212" s="84" t="s">
        <v>1924</v>
      </c>
    </row>
    <row r="213" spans="1:16" ht="15.75" customHeight="1">
      <c r="A213" s="78">
        <v>207</v>
      </c>
      <c r="B213" s="79">
        <v>2000</v>
      </c>
      <c r="C213" s="323"/>
      <c r="D213" s="323"/>
      <c r="E213" s="108" t="s">
        <v>827</v>
      </c>
      <c r="F213" s="108" t="s">
        <v>828</v>
      </c>
      <c r="G213" s="6">
        <v>1111062402</v>
      </c>
      <c r="H213" s="323"/>
      <c r="I213" s="80">
        <v>0.3125</v>
      </c>
      <c r="J213" s="80">
        <v>0.64583333333333337</v>
      </c>
      <c r="K213" s="80">
        <v>4.1666666666666664E-2</v>
      </c>
      <c r="L213" s="80">
        <v>0.3125</v>
      </c>
      <c r="M213" s="81">
        <v>0.58333333333333337</v>
      </c>
      <c r="N213" s="82">
        <v>4.1666666666666664E-2</v>
      </c>
      <c r="O213" s="83">
        <v>0.22916666666666666</v>
      </c>
      <c r="P213" s="84" t="s">
        <v>1924</v>
      </c>
    </row>
    <row r="214" spans="1:16" ht="15.75" customHeight="1">
      <c r="A214" s="78">
        <v>208</v>
      </c>
      <c r="B214" s="79">
        <v>2000</v>
      </c>
      <c r="C214" s="323"/>
      <c r="D214" s="323"/>
      <c r="E214" s="108" t="s">
        <v>829</v>
      </c>
      <c r="F214" s="108" t="s">
        <v>830</v>
      </c>
      <c r="G214" s="6">
        <v>1111062403</v>
      </c>
      <c r="H214" s="323"/>
      <c r="I214" s="80">
        <v>0.3125</v>
      </c>
      <c r="J214" s="80">
        <v>0.64583333333333337</v>
      </c>
      <c r="K214" s="80">
        <v>4.1666666666666664E-2</v>
      </c>
      <c r="L214" s="80">
        <v>0.3125</v>
      </c>
      <c r="M214" s="81">
        <v>0.58333333333333337</v>
      </c>
      <c r="N214" s="82">
        <v>4.1666666666666664E-2</v>
      </c>
      <c r="O214" s="83">
        <v>0.22916666666666666</v>
      </c>
      <c r="P214" s="84" t="s">
        <v>1924</v>
      </c>
    </row>
    <row r="215" spans="1:16" ht="15.75" customHeight="1">
      <c r="A215" s="78">
        <v>209</v>
      </c>
      <c r="B215" s="79">
        <v>2000</v>
      </c>
      <c r="C215" s="323"/>
      <c r="D215" s="323"/>
      <c r="E215" s="108" t="s">
        <v>831</v>
      </c>
      <c r="F215" s="108" t="s">
        <v>832</v>
      </c>
      <c r="G215" s="6">
        <v>1111062404</v>
      </c>
      <c r="H215" s="323"/>
      <c r="I215" s="80">
        <v>0.3125</v>
      </c>
      <c r="J215" s="80">
        <v>0.64583333333333337</v>
      </c>
      <c r="K215" s="80">
        <v>4.1666666666666664E-2</v>
      </c>
      <c r="L215" s="80">
        <v>0.3125</v>
      </c>
      <c r="M215" s="81">
        <v>0.58333333333333337</v>
      </c>
      <c r="N215" s="82">
        <v>4.1666666666666664E-2</v>
      </c>
      <c r="O215" s="83">
        <v>0.22916666666666666</v>
      </c>
      <c r="P215" s="84" t="s">
        <v>1924</v>
      </c>
    </row>
    <row r="216" spans="1:16" ht="15.75" customHeight="1">
      <c r="A216" s="78">
        <v>210</v>
      </c>
      <c r="B216" s="79">
        <v>2000</v>
      </c>
      <c r="C216" s="323"/>
      <c r="D216" s="323"/>
      <c r="E216" s="108" t="s">
        <v>833</v>
      </c>
      <c r="F216" s="108" t="s">
        <v>834</v>
      </c>
      <c r="G216" s="6">
        <v>1111062405</v>
      </c>
      <c r="H216" s="323"/>
      <c r="I216" s="80">
        <v>0.3125</v>
      </c>
      <c r="J216" s="80">
        <v>0.64583333333333337</v>
      </c>
      <c r="K216" s="80">
        <v>4.1666666666666664E-2</v>
      </c>
      <c r="L216" s="80">
        <v>0.3125</v>
      </c>
      <c r="M216" s="81">
        <v>0.58333333333333337</v>
      </c>
      <c r="N216" s="82">
        <v>4.1666666666666664E-2</v>
      </c>
      <c r="O216" s="83">
        <v>0.22916666666666666</v>
      </c>
      <c r="P216" s="84" t="s">
        <v>1924</v>
      </c>
    </row>
    <row r="217" spans="1:16" ht="15.75" customHeight="1">
      <c r="A217" s="78">
        <v>211</v>
      </c>
      <c r="B217" s="79">
        <v>2000</v>
      </c>
      <c r="C217" s="323"/>
      <c r="D217" s="323"/>
      <c r="E217" s="108" t="s">
        <v>835</v>
      </c>
      <c r="F217" s="108" t="s">
        <v>836</v>
      </c>
      <c r="G217" s="6">
        <v>1111062406</v>
      </c>
      <c r="H217" s="323"/>
      <c r="I217" s="80">
        <v>0.3125</v>
      </c>
      <c r="J217" s="80">
        <v>0.64583333333333337</v>
      </c>
      <c r="K217" s="80">
        <v>4.1666666666666664E-2</v>
      </c>
      <c r="L217" s="80">
        <v>0.3125</v>
      </c>
      <c r="M217" s="81">
        <v>0.58333333333333337</v>
      </c>
      <c r="N217" s="82">
        <v>4.1666666666666664E-2</v>
      </c>
      <c r="O217" s="83">
        <v>0.22916666666666666</v>
      </c>
      <c r="P217" s="84" t="s">
        <v>1924</v>
      </c>
    </row>
    <row r="218" spans="1:16" ht="15.75" customHeight="1">
      <c r="A218" s="78">
        <v>212</v>
      </c>
      <c r="B218" s="79">
        <v>2000</v>
      </c>
      <c r="C218" s="323"/>
      <c r="D218" s="323"/>
      <c r="E218" s="108" t="s">
        <v>837</v>
      </c>
      <c r="F218" s="108" t="s">
        <v>838</v>
      </c>
      <c r="G218" s="6">
        <v>1111062407</v>
      </c>
      <c r="H218" s="323"/>
      <c r="I218" s="80">
        <v>0.3125</v>
      </c>
      <c r="J218" s="80">
        <v>0.64583333333333337</v>
      </c>
      <c r="K218" s="80">
        <v>4.1666666666666664E-2</v>
      </c>
      <c r="L218" s="80">
        <v>0.3125</v>
      </c>
      <c r="M218" s="81">
        <v>0.58333333333333337</v>
      </c>
      <c r="N218" s="82">
        <v>4.1666666666666664E-2</v>
      </c>
      <c r="O218" s="83">
        <v>0.22916666666666666</v>
      </c>
      <c r="P218" s="84" t="s">
        <v>1924</v>
      </c>
    </row>
    <row r="219" spans="1:16" ht="15.75" customHeight="1">
      <c r="A219" s="78">
        <v>213</v>
      </c>
      <c r="B219" s="79">
        <v>2000</v>
      </c>
      <c r="C219" s="323"/>
      <c r="D219" s="323"/>
      <c r="E219" s="108" t="s">
        <v>839</v>
      </c>
      <c r="F219" s="108" t="s">
        <v>840</v>
      </c>
      <c r="G219" s="6">
        <v>1111062408</v>
      </c>
      <c r="H219" s="323"/>
      <c r="I219" s="80">
        <v>0.3125</v>
      </c>
      <c r="J219" s="80">
        <v>0.64583333333333337</v>
      </c>
      <c r="K219" s="80">
        <v>4.1666666666666664E-2</v>
      </c>
      <c r="L219" s="80">
        <v>0.3125</v>
      </c>
      <c r="M219" s="81">
        <v>0.58333333333333337</v>
      </c>
      <c r="N219" s="82">
        <v>4.1666666666666664E-2</v>
      </c>
      <c r="O219" s="83">
        <v>0.22916666666666666</v>
      </c>
      <c r="P219" s="84" t="s">
        <v>1924</v>
      </c>
    </row>
    <row r="220" spans="1:16" ht="15.75" customHeight="1">
      <c r="A220" s="78">
        <v>214</v>
      </c>
      <c r="B220" s="79">
        <v>2000</v>
      </c>
      <c r="C220" s="323"/>
      <c r="D220" s="323"/>
      <c r="E220" s="108" t="s">
        <v>841</v>
      </c>
      <c r="F220" s="108" t="s">
        <v>842</v>
      </c>
      <c r="G220" s="6">
        <v>1111062409</v>
      </c>
      <c r="H220" s="323"/>
      <c r="I220" s="80">
        <v>0.3125</v>
      </c>
      <c r="J220" s="80">
        <v>0.64583333333333337</v>
      </c>
      <c r="K220" s="80">
        <v>4.1666666666666664E-2</v>
      </c>
      <c r="L220" s="80">
        <v>0.3125</v>
      </c>
      <c r="M220" s="81">
        <v>0.58333333333333337</v>
      </c>
      <c r="N220" s="82">
        <v>4.1666666666666664E-2</v>
      </c>
      <c r="O220" s="83">
        <v>0.22916666666666666</v>
      </c>
      <c r="P220" s="84" t="s">
        <v>1924</v>
      </c>
    </row>
    <row r="221" spans="1:16" ht="15.75" customHeight="1">
      <c r="A221" s="78">
        <v>215</v>
      </c>
      <c r="B221" s="79">
        <v>2000</v>
      </c>
      <c r="C221" s="323"/>
      <c r="D221" s="323"/>
      <c r="E221" s="108" t="s">
        <v>843</v>
      </c>
      <c r="F221" s="108" t="s">
        <v>844</v>
      </c>
      <c r="G221" s="6">
        <v>1111062410</v>
      </c>
      <c r="H221" s="323"/>
      <c r="I221" s="80">
        <v>0.3125</v>
      </c>
      <c r="J221" s="80">
        <v>0.64583333333333337</v>
      </c>
      <c r="K221" s="80">
        <v>4.1666666666666664E-2</v>
      </c>
      <c r="L221" s="80">
        <v>0.3125</v>
      </c>
      <c r="M221" s="81">
        <v>0.58333333333333337</v>
      </c>
      <c r="N221" s="82">
        <v>4.1666666666666664E-2</v>
      </c>
      <c r="O221" s="83">
        <v>0.22916666666666666</v>
      </c>
      <c r="P221" s="84" t="s">
        <v>1924</v>
      </c>
    </row>
    <row r="222" spans="1:16" ht="15.75" customHeight="1">
      <c r="A222" s="78">
        <v>216</v>
      </c>
      <c r="B222" s="79">
        <v>2000</v>
      </c>
      <c r="C222" s="323"/>
      <c r="D222" s="323"/>
      <c r="E222" s="108" t="s">
        <v>845</v>
      </c>
      <c r="F222" s="108" t="s">
        <v>846</v>
      </c>
      <c r="G222" s="27">
        <v>1111062411</v>
      </c>
      <c r="H222" s="323"/>
      <c r="I222" s="80">
        <v>0.3125</v>
      </c>
      <c r="J222" s="80">
        <v>0.64583333333333337</v>
      </c>
      <c r="K222" s="80">
        <v>4.1666666666666664E-2</v>
      </c>
      <c r="L222" s="80">
        <v>0.3125</v>
      </c>
      <c r="M222" s="81">
        <v>0.58333333333333337</v>
      </c>
      <c r="N222" s="82">
        <v>4.1666666666666664E-2</v>
      </c>
      <c r="O222" s="83">
        <v>0.22916666666666666</v>
      </c>
      <c r="P222" s="84" t="s">
        <v>1924</v>
      </c>
    </row>
    <row r="223" spans="1:16" ht="15.75" customHeight="1">
      <c r="A223" s="78">
        <v>217</v>
      </c>
      <c r="B223" s="79">
        <v>2000</v>
      </c>
      <c r="C223" s="324"/>
      <c r="D223" s="324"/>
      <c r="E223" s="108" t="s">
        <v>847</v>
      </c>
      <c r="F223" s="108" t="s">
        <v>848</v>
      </c>
      <c r="G223" s="27">
        <v>1111062412</v>
      </c>
      <c r="H223" s="324"/>
      <c r="I223" s="80">
        <v>0.3125</v>
      </c>
      <c r="J223" s="80">
        <v>0.64583333333333337</v>
      </c>
      <c r="K223" s="80">
        <v>4.1666666666666664E-2</v>
      </c>
      <c r="L223" s="80">
        <v>0.3125</v>
      </c>
      <c r="M223" s="81">
        <v>0.58333333333333337</v>
      </c>
      <c r="N223" s="82">
        <v>4.1666666666666664E-2</v>
      </c>
      <c r="O223" s="83">
        <v>0.22916666666666666</v>
      </c>
      <c r="P223" s="84" t="s">
        <v>1924</v>
      </c>
    </row>
    <row r="224" spans="1:16" ht="15.75" customHeight="1">
      <c r="A224" s="78">
        <v>218</v>
      </c>
      <c r="B224" s="79">
        <v>2000</v>
      </c>
      <c r="C224" s="331" t="s">
        <v>1972</v>
      </c>
      <c r="D224" s="330" t="s">
        <v>465</v>
      </c>
      <c r="E224" s="28" t="s">
        <v>852</v>
      </c>
      <c r="F224" s="28" t="s">
        <v>851</v>
      </c>
      <c r="G224" s="28" t="s">
        <v>853</v>
      </c>
      <c r="H224" s="16" t="s">
        <v>38</v>
      </c>
      <c r="I224" s="80">
        <v>0.3125</v>
      </c>
      <c r="J224" s="80">
        <v>0.64583333333333337</v>
      </c>
      <c r="K224" s="80">
        <v>4.1666666666666664E-2</v>
      </c>
      <c r="L224" s="80">
        <v>0.3125</v>
      </c>
      <c r="M224" s="81">
        <v>0.58333333333333337</v>
      </c>
      <c r="N224" s="82">
        <v>4.1666666666666664E-2</v>
      </c>
      <c r="O224" s="83">
        <v>0.29166666666666669</v>
      </c>
      <c r="P224" s="84" t="s">
        <v>1924</v>
      </c>
    </row>
    <row r="225" spans="1:16" ht="15.75" customHeight="1">
      <c r="A225" s="78">
        <v>219</v>
      </c>
      <c r="B225" s="79">
        <v>2000</v>
      </c>
      <c r="C225" s="323"/>
      <c r="D225" s="323"/>
      <c r="E225" s="6" t="s">
        <v>858</v>
      </c>
      <c r="F225" s="6" t="s">
        <v>857</v>
      </c>
      <c r="G225" s="6" t="s">
        <v>859</v>
      </c>
      <c r="H225" s="7"/>
      <c r="I225" s="80">
        <v>0.3125</v>
      </c>
      <c r="J225" s="80">
        <v>0.64583333333333337</v>
      </c>
      <c r="K225" s="80">
        <v>4.1666666666666664E-2</v>
      </c>
      <c r="L225" s="80">
        <v>0.3125</v>
      </c>
      <c r="M225" s="81">
        <v>0.58333333333333337</v>
      </c>
      <c r="N225" s="82">
        <v>4.1666666666666664E-2</v>
      </c>
      <c r="O225" s="83">
        <v>0.29166666666666669</v>
      </c>
      <c r="P225" s="84" t="s">
        <v>1924</v>
      </c>
    </row>
    <row r="226" spans="1:16" ht="15.75" customHeight="1">
      <c r="A226" s="78">
        <v>220</v>
      </c>
      <c r="B226" s="79">
        <v>2000</v>
      </c>
      <c r="C226" s="323"/>
      <c r="D226" s="323"/>
      <c r="E226" s="6" t="s">
        <v>862</v>
      </c>
      <c r="F226" s="6" t="s">
        <v>861</v>
      </c>
      <c r="G226" s="6" t="s">
        <v>863</v>
      </c>
      <c r="H226" s="7"/>
      <c r="I226" s="80">
        <v>0.3125</v>
      </c>
      <c r="J226" s="80">
        <v>0.64583333333333337</v>
      </c>
      <c r="K226" s="80">
        <v>4.1666666666666664E-2</v>
      </c>
      <c r="L226" s="80">
        <v>0.3125</v>
      </c>
      <c r="M226" s="81">
        <v>0.58333333333333337</v>
      </c>
      <c r="N226" s="82">
        <v>4.1666666666666664E-2</v>
      </c>
      <c r="O226" s="83">
        <v>0.29166666666666669</v>
      </c>
      <c r="P226" s="84" t="s">
        <v>1924</v>
      </c>
    </row>
    <row r="227" spans="1:16" ht="15.75" customHeight="1">
      <c r="A227" s="78">
        <v>221</v>
      </c>
      <c r="B227" s="79">
        <v>2000</v>
      </c>
      <c r="C227" s="323"/>
      <c r="D227" s="323"/>
      <c r="E227" s="6" t="s">
        <v>866</v>
      </c>
      <c r="F227" s="6" t="s">
        <v>865</v>
      </c>
      <c r="G227" s="6" t="s">
        <v>867</v>
      </c>
      <c r="H227" s="7"/>
      <c r="I227" s="80">
        <v>0.3125</v>
      </c>
      <c r="J227" s="80">
        <v>0.64583333333333337</v>
      </c>
      <c r="K227" s="80">
        <v>4.1666666666666664E-2</v>
      </c>
      <c r="L227" s="80">
        <v>0.3125</v>
      </c>
      <c r="M227" s="81">
        <v>0.58333333333333337</v>
      </c>
      <c r="N227" s="82">
        <v>4.1666666666666664E-2</v>
      </c>
      <c r="O227" s="83">
        <v>0.29166666666666669</v>
      </c>
      <c r="P227" s="84" t="s">
        <v>1924</v>
      </c>
    </row>
    <row r="228" spans="1:16" ht="15.75" customHeight="1">
      <c r="A228" s="78">
        <v>222</v>
      </c>
      <c r="B228" s="79">
        <v>2000</v>
      </c>
      <c r="C228" s="323"/>
      <c r="D228" s="323"/>
      <c r="E228" s="6" t="s">
        <v>870</v>
      </c>
      <c r="F228" s="6" t="s">
        <v>869</v>
      </c>
      <c r="G228" s="6">
        <v>1111091006</v>
      </c>
      <c r="H228" s="7"/>
      <c r="I228" s="80">
        <v>0.3125</v>
      </c>
      <c r="J228" s="80">
        <v>0.64583333333333337</v>
      </c>
      <c r="K228" s="80">
        <v>4.1666666666666664E-2</v>
      </c>
      <c r="L228" s="80">
        <v>0.3125</v>
      </c>
      <c r="M228" s="81">
        <v>0.58333333333333337</v>
      </c>
      <c r="N228" s="82">
        <v>4.1666666666666664E-2</v>
      </c>
      <c r="O228" s="83">
        <v>0.29166666666666669</v>
      </c>
      <c r="P228" s="84" t="s">
        <v>1924</v>
      </c>
    </row>
    <row r="229" spans="1:16" ht="15.75" customHeight="1">
      <c r="A229" s="78">
        <v>223</v>
      </c>
      <c r="B229" s="79">
        <v>2000</v>
      </c>
      <c r="C229" s="323"/>
      <c r="D229" s="323"/>
      <c r="E229" s="6" t="s">
        <v>871</v>
      </c>
      <c r="F229" s="6" t="s">
        <v>872</v>
      </c>
      <c r="G229" s="6">
        <v>1111091007</v>
      </c>
      <c r="H229" s="7"/>
      <c r="I229" s="80">
        <v>0.3125</v>
      </c>
      <c r="J229" s="80">
        <v>0.64583333333333337</v>
      </c>
      <c r="K229" s="80">
        <v>4.1666666666666664E-2</v>
      </c>
      <c r="L229" s="80">
        <v>0.3125</v>
      </c>
      <c r="M229" s="81">
        <v>0.58333333333333337</v>
      </c>
      <c r="N229" s="82">
        <v>4.1666666666666664E-2</v>
      </c>
      <c r="O229" s="83">
        <v>0.29166666666666669</v>
      </c>
      <c r="P229" s="84" t="s">
        <v>1924</v>
      </c>
    </row>
    <row r="230" spans="1:16" ht="15.75" customHeight="1">
      <c r="A230" s="78">
        <v>263</v>
      </c>
      <c r="B230" s="110">
        <v>2000</v>
      </c>
      <c r="C230" s="323"/>
      <c r="D230" s="323"/>
      <c r="E230" s="111" t="s">
        <v>1766</v>
      </c>
      <c r="F230" s="111" t="s">
        <v>1767</v>
      </c>
      <c r="G230" s="62">
        <v>1111091008</v>
      </c>
      <c r="H230" s="325" t="s">
        <v>1973</v>
      </c>
      <c r="I230" s="112"/>
      <c r="J230" s="112"/>
      <c r="K230" s="112"/>
      <c r="L230" s="112"/>
      <c r="M230" s="113"/>
      <c r="N230" s="114"/>
      <c r="O230" s="115"/>
      <c r="P230" s="116"/>
    </row>
    <row r="231" spans="1:16" ht="15.75" customHeight="1">
      <c r="A231" s="78">
        <v>264</v>
      </c>
      <c r="B231" s="110">
        <v>2000</v>
      </c>
      <c r="C231" s="323"/>
      <c r="D231" s="323"/>
      <c r="E231" s="111" t="s">
        <v>1768</v>
      </c>
      <c r="F231" s="111" t="s">
        <v>1769</v>
      </c>
      <c r="G231" s="62">
        <v>1111091009</v>
      </c>
      <c r="H231" s="323"/>
      <c r="I231" s="112"/>
      <c r="J231" s="112"/>
      <c r="K231" s="112"/>
      <c r="L231" s="112"/>
      <c r="M231" s="113"/>
      <c r="N231" s="114"/>
      <c r="O231" s="115"/>
      <c r="P231" s="116"/>
    </row>
    <row r="232" spans="1:16" ht="15.75" customHeight="1">
      <c r="A232" s="78">
        <v>265</v>
      </c>
      <c r="B232" s="110">
        <v>2000</v>
      </c>
      <c r="C232" s="323"/>
      <c r="D232" s="323"/>
      <c r="E232" s="111" t="s">
        <v>1770</v>
      </c>
      <c r="F232" s="111" t="s">
        <v>1771</v>
      </c>
      <c r="G232" s="62">
        <v>1111091010</v>
      </c>
      <c r="H232" s="323"/>
      <c r="I232" s="112"/>
      <c r="J232" s="112"/>
      <c r="K232" s="112"/>
      <c r="L232" s="112"/>
      <c r="M232" s="113"/>
      <c r="N232" s="114"/>
      <c r="O232" s="115"/>
      <c r="P232" s="116"/>
    </row>
    <row r="233" spans="1:16" ht="15.75" customHeight="1">
      <c r="A233" s="78">
        <v>266</v>
      </c>
      <c r="B233" s="110">
        <v>2000</v>
      </c>
      <c r="C233" s="323"/>
      <c r="D233" s="323"/>
      <c r="E233" s="111" t="s">
        <v>1772</v>
      </c>
      <c r="F233" s="111" t="s">
        <v>1773</v>
      </c>
      <c r="G233" s="62">
        <v>1111091011</v>
      </c>
      <c r="H233" s="323"/>
      <c r="I233" s="112"/>
      <c r="J233" s="112"/>
      <c r="K233" s="112"/>
      <c r="L233" s="112"/>
      <c r="M233" s="113"/>
      <c r="N233" s="114"/>
      <c r="O233" s="115"/>
      <c r="P233" s="116"/>
    </row>
    <row r="234" spans="1:16" ht="15.75" customHeight="1">
      <c r="A234" s="78">
        <v>267</v>
      </c>
      <c r="B234" s="110">
        <v>2000</v>
      </c>
      <c r="C234" s="323"/>
      <c r="D234" s="323"/>
      <c r="E234" s="111" t="s">
        <v>1774</v>
      </c>
      <c r="F234" s="111" t="s">
        <v>1775</v>
      </c>
      <c r="G234" s="62">
        <v>1111091012</v>
      </c>
      <c r="H234" s="323"/>
      <c r="I234" s="112"/>
      <c r="J234" s="112"/>
      <c r="K234" s="112"/>
      <c r="L234" s="112"/>
      <c r="M234" s="113"/>
      <c r="N234" s="114"/>
      <c r="O234" s="115"/>
      <c r="P234" s="116"/>
    </row>
    <row r="235" spans="1:16" ht="15.75" customHeight="1">
      <c r="A235" s="78"/>
      <c r="B235" s="110"/>
      <c r="C235" s="323"/>
      <c r="D235" s="323"/>
      <c r="E235" s="111" t="s">
        <v>1974</v>
      </c>
      <c r="F235" s="111" t="s">
        <v>1975</v>
      </c>
      <c r="G235" s="62">
        <v>1111091013</v>
      </c>
      <c r="H235" s="323"/>
      <c r="I235" s="112"/>
      <c r="J235" s="112"/>
      <c r="K235" s="112"/>
      <c r="L235" s="112"/>
      <c r="M235" s="113"/>
      <c r="N235" s="114"/>
      <c r="O235" s="115"/>
      <c r="P235" s="116"/>
    </row>
    <row r="236" spans="1:16" ht="15.75" customHeight="1">
      <c r="A236" s="78"/>
      <c r="B236" s="110"/>
      <c r="C236" s="323"/>
      <c r="D236" s="323"/>
      <c r="E236" s="111" t="s">
        <v>1976</v>
      </c>
      <c r="F236" s="111" t="s">
        <v>1977</v>
      </c>
      <c r="G236" s="62">
        <v>1111091014</v>
      </c>
      <c r="H236" s="323"/>
      <c r="I236" s="112"/>
      <c r="J236" s="112"/>
      <c r="K236" s="112"/>
      <c r="L236" s="112"/>
      <c r="M236" s="113"/>
      <c r="N236" s="114"/>
      <c r="O236" s="115"/>
      <c r="P236" s="116"/>
    </row>
    <row r="237" spans="1:16" ht="15.75" customHeight="1">
      <c r="A237" s="78"/>
      <c r="B237" s="110"/>
      <c r="C237" s="323"/>
      <c r="D237" s="323"/>
      <c r="E237" s="111" t="s">
        <v>1978</v>
      </c>
      <c r="F237" s="111" t="s">
        <v>1979</v>
      </c>
      <c r="G237" s="62">
        <v>1111091015</v>
      </c>
      <c r="H237" s="323"/>
      <c r="I237" s="112"/>
      <c r="J237" s="112"/>
      <c r="K237" s="112"/>
      <c r="L237" s="112"/>
      <c r="M237" s="113"/>
      <c r="N237" s="114"/>
      <c r="O237" s="115"/>
      <c r="P237" s="116"/>
    </row>
    <row r="238" spans="1:16" ht="15.75" customHeight="1">
      <c r="A238" s="78"/>
      <c r="B238" s="110"/>
      <c r="C238" s="323"/>
      <c r="D238" s="323"/>
      <c r="E238" s="111" t="s">
        <v>1980</v>
      </c>
      <c r="F238" s="111" t="s">
        <v>1981</v>
      </c>
      <c r="G238" s="62">
        <v>1111091016</v>
      </c>
      <c r="H238" s="323"/>
      <c r="I238" s="112"/>
      <c r="J238" s="112"/>
      <c r="K238" s="112"/>
      <c r="L238" s="112"/>
      <c r="M238" s="113"/>
      <c r="N238" s="114"/>
      <c r="O238" s="115"/>
      <c r="P238" s="116"/>
    </row>
    <row r="239" spans="1:16" ht="15.75" customHeight="1">
      <c r="A239" s="78"/>
      <c r="B239" s="110"/>
      <c r="C239" s="323"/>
      <c r="D239" s="324"/>
      <c r="E239" s="111" t="s">
        <v>1982</v>
      </c>
      <c r="F239" s="111" t="s">
        <v>1983</v>
      </c>
      <c r="G239" s="62">
        <v>1111091017</v>
      </c>
      <c r="H239" s="324"/>
      <c r="I239" s="112"/>
      <c r="J239" s="112"/>
      <c r="K239" s="112"/>
      <c r="L239" s="112"/>
      <c r="M239" s="113"/>
      <c r="N239" s="114"/>
      <c r="O239" s="115"/>
      <c r="P239" s="116"/>
    </row>
    <row r="240" spans="1:16" ht="15.75" customHeight="1">
      <c r="A240" s="78">
        <v>224</v>
      </c>
      <c r="B240" s="79">
        <v>2000</v>
      </c>
      <c r="C240" s="323"/>
      <c r="D240" s="327" t="s">
        <v>1984</v>
      </c>
      <c r="E240" s="6" t="s">
        <v>875</v>
      </c>
      <c r="F240" s="6" t="s">
        <v>874</v>
      </c>
      <c r="G240" s="6" t="s">
        <v>876</v>
      </c>
      <c r="H240" s="7"/>
      <c r="I240" s="80">
        <v>0.3125</v>
      </c>
      <c r="J240" s="80">
        <v>0.64583333333333337</v>
      </c>
      <c r="K240" s="80">
        <v>4.1666666666666664E-2</v>
      </c>
      <c r="L240" s="80">
        <v>0.3125</v>
      </c>
      <c r="M240" s="81">
        <v>0.58333333333333337</v>
      </c>
      <c r="N240" s="82">
        <v>4.1666666666666664E-2</v>
      </c>
      <c r="O240" s="83">
        <v>0.22916666666666666</v>
      </c>
      <c r="P240" s="84" t="s">
        <v>1924</v>
      </c>
    </row>
    <row r="241" spans="1:16" ht="15.75" customHeight="1">
      <c r="A241" s="78">
        <v>225</v>
      </c>
      <c r="B241" s="79">
        <v>2000</v>
      </c>
      <c r="C241" s="323"/>
      <c r="D241" s="323"/>
      <c r="E241" s="6" t="s">
        <v>879</v>
      </c>
      <c r="F241" s="6" t="s">
        <v>878</v>
      </c>
      <c r="G241" s="6" t="s">
        <v>880</v>
      </c>
      <c r="H241" s="7"/>
      <c r="I241" s="80">
        <v>0.3125</v>
      </c>
      <c r="J241" s="80">
        <v>0.64583333333333337</v>
      </c>
      <c r="K241" s="80">
        <v>4.1666666666666664E-2</v>
      </c>
      <c r="L241" s="80">
        <v>0.3125</v>
      </c>
      <c r="M241" s="81">
        <v>0.58333333333333337</v>
      </c>
      <c r="N241" s="82">
        <v>4.1666666666666664E-2</v>
      </c>
      <c r="O241" s="83">
        <v>0.22916666666666666</v>
      </c>
      <c r="P241" s="84" t="s">
        <v>1924</v>
      </c>
    </row>
    <row r="242" spans="1:16" ht="15.75" customHeight="1">
      <c r="A242" s="78">
        <v>226</v>
      </c>
      <c r="B242" s="79">
        <v>2000</v>
      </c>
      <c r="C242" s="323"/>
      <c r="D242" s="323"/>
      <c r="E242" s="6" t="s">
        <v>883</v>
      </c>
      <c r="F242" s="6" t="s">
        <v>882</v>
      </c>
      <c r="G242" s="6" t="s">
        <v>884</v>
      </c>
      <c r="H242" s="7"/>
      <c r="I242" s="80">
        <v>0.3125</v>
      </c>
      <c r="J242" s="80">
        <v>0.64583333333333337</v>
      </c>
      <c r="K242" s="80">
        <v>4.1666666666666664E-2</v>
      </c>
      <c r="L242" s="80">
        <v>0.3125</v>
      </c>
      <c r="M242" s="81">
        <v>0.58333333333333337</v>
      </c>
      <c r="N242" s="82">
        <v>4.1666666666666664E-2</v>
      </c>
      <c r="O242" s="83">
        <v>0.22916666666666666</v>
      </c>
      <c r="P242" s="84" t="s">
        <v>1924</v>
      </c>
    </row>
    <row r="243" spans="1:16" ht="15.75" customHeight="1">
      <c r="A243" s="78">
        <v>227</v>
      </c>
      <c r="B243" s="79">
        <v>2000</v>
      </c>
      <c r="C243" s="323"/>
      <c r="D243" s="323"/>
      <c r="E243" s="6" t="s">
        <v>887</v>
      </c>
      <c r="F243" s="6" t="s">
        <v>886</v>
      </c>
      <c r="G243" s="6" t="s">
        <v>888</v>
      </c>
      <c r="H243" s="7"/>
      <c r="I243" s="80">
        <v>0.3125</v>
      </c>
      <c r="J243" s="80">
        <v>0.64583333333333337</v>
      </c>
      <c r="K243" s="80">
        <v>4.1666666666666664E-2</v>
      </c>
      <c r="L243" s="80">
        <v>0.3125</v>
      </c>
      <c r="M243" s="81">
        <v>0.58333333333333337</v>
      </c>
      <c r="N243" s="82">
        <v>4.1666666666666664E-2</v>
      </c>
      <c r="O243" s="83">
        <v>0.22916666666666666</v>
      </c>
      <c r="P243" s="84" t="s">
        <v>1924</v>
      </c>
    </row>
    <row r="244" spans="1:16" ht="15.75" customHeight="1">
      <c r="A244" s="78">
        <v>228</v>
      </c>
      <c r="B244" s="79">
        <v>2000</v>
      </c>
      <c r="C244" s="323"/>
      <c r="D244" s="323"/>
      <c r="E244" s="6" t="s">
        <v>891</v>
      </c>
      <c r="F244" s="6" t="s">
        <v>890</v>
      </c>
      <c r="G244" s="6" t="s">
        <v>892</v>
      </c>
      <c r="H244" s="7"/>
      <c r="I244" s="80">
        <v>0.3125</v>
      </c>
      <c r="J244" s="80">
        <v>0.64583333333333337</v>
      </c>
      <c r="K244" s="80">
        <v>4.1666666666666664E-2</v>
      </c>
      <c r="L244" s="80">
        <v>0.3125</v>
      </c>
      <c r="M244" s="81">
        <v>0.58333333333333337</v>
      </c>
      <c r="N244" s="82">
        <v>4.1666666666666664E-2</v>
      </c>
      <c r="O244" s="83">
        <v>0.22916666666666666</v>
      </c>
      <c r="P244" s="84" t="s">
        <v>1924</v>
      </c>
    </row>
    <row r="245" spans="1:16" ht="15.75" customHeight="1">
      <c r="A245" s="78">
        <v>229</v>
      </c>
      <c r="B245" s="79">
        <v>2000</v>
      </c>
      <c r="C245" s="323"/>
      <c r="D245" s="323"/>
      <c r="E245" s="6" t="s">
        <v>895</v>
      </c>
      <c r="F245" s="6" t="s">
        <v>894</v>
      </c>
      <c r="G245" s="6" t="s">
        <v>896</v>
      </c>
      <c r="H245" s="7"/>
      <c r="I245" s="80">
        <v>0.3125</v>
      </c>
      <c r="J245" s="80">
        <v>0.64583333333333337</v>
      </c>
      <c r="K245" s="80">
        <v>4.1666666666666664E-2</v>
      </c>
      <c r="L245" s="80">
        <v>0.3125</v>
      </c>
      <c r="M245" s="81">
        <v>0.58333333333333337</v>
      </c>
      <c r="N245" s="82">
        <v>4.1666666666666664E-2</v>
      </c>
      <c r="O245" s="83">
        <v>0.22916666666666666</v>
      </c>
      <c r="P245" s="84" t="s">
        <v>1924</v>
      </c>
    </row>
    <row r="246" spans="1:16" ht="15.75" customHeight="1">
      <c r="A246" s="78">
        <v>230</v>
      </c>
      <c r="B246" s="79">
        <v>2000</v>
      </c>
      <c r="C246" s="323"/>
      <c r="D246" s="323"/>
      <c r="E246" s="6" t="s">
        <v>899</v>
      </c>
      <c r="F246" s="6" t="s">
        <v>898</v>
      </c>
      <c r="G246" s="6" t="s">
        <v>900</v>
      </c>
      <c r="H246" s="7"/>
      <c r="I246" s="80">
        <v>0.3125</v>
      </c>
      <c r="J246" s="80">
        <v>0.64583333333333337</v>
      </c>
      <c r="K246" s="80">
        <v>4.1666666666666664E-2</v>
      </c>
      <c r="L246" s="80">
        <v>0.3125</v>
      </c>
      <c r="M246" s="81">
        <v>0.58333333333333337</v>
      </c>
      <c r="N246" s="82">
        <v>4.1666666666666664E-2</v>
      </c>
      <c r="O246" s="83">
        <v>0.22916666666666666</v>
      </c>
      <c r="P246" s="84" t="s">
        <v>1924</v>
      </c>
    </row>
    <row r="247" spans="1:16" ht="15.75" customHeight="1">
      <c r="A247" s="78">
        <v>231</v>
      </c>
      <c r="B247" s="79">
        <v>2000</v>
      </c>
      <c r="C247" s="323"/>
      <c r="D247" s="323"/>
      <c r="E247" s="6" t="s">
        <v>903</v>
      </c>
      <c r="F247" s="6" t="s">
        <v>902</v>
      </c>
      <c r="G247" s="6" t="s">
        <v>904</v>
      </c>
      <c r="H247" s="7"/>
      <c r="I247" s="80">
        <v>0.3125</v>
      </c>
      <c r="J247" s="80">
        <v>0.64583333333333337</v>
      </c>
      <c r="K247" s="80">
        <v>4.1666666666666664E-2</v>
      </c>
      <c r="L247" s="80">
        <v>0.3125</v>
      </c>
      <c r="M247" s="81">
        <v>0.58333333333333337</v>
      </c>
      <c r="N247" s="82">
        <v>4.1666666666666664E-2</v>
      </c>
      <c r="O247" s="83">
        <v>0.22916666666666666</v>
      </c>
      <c r="P247" s="84" t="s">
        <v>1924</v>
      </c>
    </row>
    <row r="248" spans="1:16" ht="15.75" customHeight="1">
      <c r="A248" s="78">
        <v>232</v>
      </c>
      <c r="B248" s="79">
        <v>2000</v>
      </c>
      <c r="C248" s="323"/>
      <c r="D248" s="323"/>
      <c r="E248" s="6" t="s">
        <v>907</v>
      </c>
      <c r="F248" s="6" t="s">
        <v>906</v>
      </c>
      <c r="G248" s="6" t="s">
        <v>908</v>
      </c>
      <c r="H248" s="7"/>
      <c r="I248" s="80">
        <v>0.3125</v>
      </c>
      <c r="J248" s="80">
        <v>0.64583333333333337</v>
      </c>
      <c r="K248" s="80">
        <v>4.1666666666666664E-2</v>
      </c>
      <c r="L248" s="80">
        <v>0.3125</v>
      </c>
      <c r="M248" s="81">
        <v>0.58333333333333337</v>
      </c>
      <c r="N248" s="82">
        <v>4.1666666666666664E-2</v>
      </c>
      <c r="O248" s="83">
        <v>0.22916666666666666</v>
      </c>
      <c r="P248" s="84" t="s">
        <v>1924</v>
      </c>
    </row>
    <row r="249" spans="1:16" ht="15.75" customHeight="1">
      <c r="A249" s="78">
        <v>233</v>
      </c>
      <c r="B249" s="79">
        <v>2000</v>
      </c>
      <c r="C249" s="323"/>
      <c r="D249" s="323"/>
      <c r="E249" s="28" t="s">
        <v>911</v>
      </c>
      <c r="F249" s="28" t="s">
        <v>1985</v>
      </c>
      <c r="G249" s="28" t="s">
        <v>912</v>
      </c>
      <c r="H249" s="16" t="s">
        <v>38</v>
      </c>
      <c r="I249" s="16"/>
      <c r="J249" s="16"/>
      <c r="K249" s="16"/>
      <c r="L249" s="16"/>
      <c r="M249" s="16"/>
      <c r="N249" s="87"/>
      <c r="O249" s="87"/>
      <c r="P249" s="88"/>
    </row>
    <row r="250" spans="1:16" ht="15.75" customHeight="1">
      <c r="A250" s="78">
        <v>234</v>
      </c>
      <c r="B250" s="79">
        <v>2000</v>
      </c>
      <c r="C250" s="324"/>
      <c r="D250" s="324"/>
      <c r="E250" s="28" t="s">
        <v>915</v>
      </c>
      <c r="F250" s="28" t="s">
        <v>1986</v>
      </c>
      <c r="G250" s="28" t="s">
        <v>916</v>
      </c>
      <c r="H250" s="16" t="s">
        <v>38</v>
      </c>
      <c r="I250" s="16"/>
      <c r="J250" s="16"/>
      <c r="K250" s="16"/>
      <c r="L250" s="16"/>
      <c r="M250" s="16"/>
      <c r="N250" s="87"/>
      <c r="O250" s="87"/>
      <c r="P250" s="88"/>
    </row>
    <row r="251" spans="1:16" ht="15.75" customHeight="1">
      <c r="A251" s="78">
        <v>235</v>
      </c>
      <c r="B251" s="79">
        <v>2000</v>
      </c>
      <c r="C251" s="326" t="s">
        <v>1987</v>
      </c>
      <c r="D251" s="327" t="s">
        <v>917</v>
      </c>
      <c r="E251" s="6" t="s">
        <v>920</v>
      </c>
      <c r="F251" s="6" t="s">
        <v>921</v>
      </c>
      <c r="G251" s="6" t="s">
        <v>922</v>
      </c>
      <c r="H251" s="7"/>
      <c r="I251" s="80">
        <v>0.3125</v>
      </c>
      <c r="J251" s="80">
        <v>0.70833333333333337</v>
      </c>
      <c r="K251" s="80">
        <v>4.1666666666666664E-2</v>
      </c>
      <c r="L251" s="80">
        <v>0.3125</v>
      </c>
      <c r="M251" s="81">
        <v>0.66666666666666663</v>
      </c>
      <c r="N251" s="82">
        <v>4.1666666666666664E-2</v>
      </c>
      <c r="O251" s="117">
        <v>0.3125</v>
      </c>
      <c r="P251" s="84" t="s">
        <v>1924</v>
      </c>
    </row>
    <row r="252" spans="1:16" ht="15.75" customHeight="1">
      <c r="A252" s="78">
        <v>236</v>
      </c>
      <c r="B252" s="79">
        <v>2000</v>
      </c>
      <c r="C252" s="323"/>
      <c r="D252" s="323"/>
      <c r="E252" s="6" t="s">
        <v>926</v>
      </c>
      <c r="F252" s="6" t="s">
        <v>927</v>
      </c>
      <c r="G252" s="6" t="s">
        <v>922</v>
      </c>
      <c r="H252" s="7"/>
      <c r="I252" s="80">
        <v>0.3125</v>
      </c>
      <c r="J252" s="80">
        <v>0.70833333333333337</v>
      </c>
      <c r="K252" s="80">
        <v>4.1666666666666664E-2</v>
      </c>
      <c r="L252" s="80">
        <v>0.3125</v>
      </c>
      <c r="M252" s="81">
        <v>0.66666666666666663</v>
      </c>
      <c r="N252" s="82">
        <v>4.1666666666666664E-2</v>
      </c>
      <c r="O252" s="117">
        <v>0.3125</v>
      </c>
      <c r="P252" s="84" t="s">
        <v>1924</v>
      </c>
    </row>
    <row r="253" spans="1:16" ht="15.75" customHeight="1">
      <c r="A253" s="78">
        <v>237</v>
      </c>
      <c r="B253" s="79">
        <v>2000</v>
      </c>
      <c r="C253" s="323"/>
      <c r="D253" s="323"/>
      <c r="E253" s="6" t="s">
        <v>930</v>
      </c>
      <c r="F253" s="6" t="s">
        <v>931</v>
      </c>
      <c r="G253" s="6" t="s">
        <v>922</v>
      </c>
      <c r="H253" s="7"/>
      <c r="I253" s="80">
        <v>0.3125</v>
      </c>
      <c r="J253" s="80">
        <v>0.70833333333333337</v>
      </c>
      <c r="K253" s="80">
        <v>4.1666666666666664E-2</v>
      </c>
      <c r="L253" s="80">
        <v>0.3125</v>
      </c>
      <c r="M253" s="81">
        <v>0.66666666666666663</v>
      </c>
      <c r="N253" s="82">
        <v>4.1666666666666664E-2</v>
      </c>
      <c r="O253" s="117">
        <v>0.3125</v>
      </c>
      <c r="P253" s="84" t="s">
        <v>1924</v>
      </c>
    </row>
    <row r="254" spans="1:16" ht="15.75" customHeight="1">
      <c r="A254" s="78">
        <v>238</v>
      </c>
      <c r="B254" s="79">
        <v>2000</v>
      </c>
      <c r="C254" s="323"/>
      <c r="D254" s="323"/>
      <c r="E254" s="6" t="s">
        <v>934</v>
      </c>
      <c r="F254" s="6" t="s">
        <v>935</v>
      </c>
      <c r="G254" s="6" t="s">
        <v>922</v>
      </c>
      <c r="H254" s="7"/>
      <c r="I254" s="80">
        <v>0.3125</v>
      </c>
      <c r="J254" s="80">
        <v>0.70833333333333337</v>
      </c>
      <c r="K254" s="80">
        <v>4.1666666666666664E-2</v>
      </c>
      <c r="L254" s="80">
        <v>0.3125</v>
      </c>
      <c r="M254" s="81">
        <v>0.66666666666666663</v>
      </c>
      <c r="N254" s="82">
        <v>4.1666666666666664E-2</v>
      </c>
      <c r="O254" s="117">
        <v>0.3125</v>
      </c>
      <c r="P254" s="84" t="s">
        <v>1924</v>
      </c>
    </row>
    <row r="255" spans="1:16" ht="15.75" customHeight="1">
      <c r="A255" s="78">
        <v>239</v>
      </c>
      <c r="B255" s="79">
        <v>2000</v>
      </c>
      <c r="C255" s="323"/>
      <c r="D255" s="323"/>
      <c r="E255" s="6" t="s">
        <v>938</v>
      </c>
      <c r="F255" s="6" t="s">
        <v>939</v>
      </c>
      <c r="G255" s="6" t="s">
        <v>922</v>
      </c>
      <c r="H255" s="7"/>
      <c r="I255" s="80">
        <v>0.3125</v>
      </c>
      <c r="J255" s="80">
        <v>0.70833333333333337</v>
      </c>
      <c r="K255" s="80">
        <v>4.1666666666666664E-2</v>
      </c>
      <c r="L255" s="80">
        <v>0.3125</v>
      </c>
      <c r="M255" s="81">
        <v>0.66666666666666663</v>
      </c>
      <c r="N255" s="82">
        <v>4.1666666666666664E-2</v>
      </c>
      <c r="O255" s="117">
        <v>0.3125</v>
      </c>
      <c r="P255" s="84" t="s">
        <v>1924</v>
      </c>
    </row>
    <row r="256" spans="1:16" ht="15.75" customHeight="1">
      <c r="A256" s="78">
        <v>240</v>
      </c>
      <c r="B256" s="79">
        <v>2000</v>
      </c>
      <c r="C256" s="323"/>
      <c r="D256" s="323"/>
      <c r="E256" s="6" t="s">
        <v>942</v>
      </c>
      <c r="F256" s="27" t="s">
        <v>943</v>
      </c>
      <c r="G256" s="6" t="s">
        <v>922</v>
      </c>
      <c r="H256" s="7"/>
      <c r="I256" s="80">
        <v>0.3125</v>
      </c>
      <c r="J256" s="80">
        <v>0.70833333333333337</v>
      </c>
      <c r="K256" s="80">
        <v>4.1666666666666664E-2</v>
      </c>
      <c r="L256" s="80">
        <v>0.3125</v>
      </c>
      <c r="M256" s="81">
        <v>0.66666666666666663</v>
      </c>
      <c r="N256" s="82">
        <v>4.1666666666666664E-2</v>
      </c>
      <c r="O256" s="117">
        <v>0.3125</v>
      </c>
      <c r="P256" s="84" t="s">
        <v>1924</v>
      </c>
    </row>
    <row r="257" spans="1:26" ht="15.75" customHeight="1">
      <c r="A257" s="78">
        <v>241</v>
      </c>
      <c r="B257" s="79">
        <v>2000</v>
      </c>
      <c r="C257" s="323"/>
      <c r="D257" s="323"/>
      <c r="E257" s="6" t="s">
        <v>946</v>
      </c>
      <c r="F257" s="6" t="s">
        <v>947</v>
      </c>
      <c r="G257" s="6" t="s">
        <v>922</v>
      </c>
      <c r="H257" s="7"/>
      <c r="I257" s="80">
        <v>0.3125</v>
      </c>
      <c r="J257" s="80">
        <v>0.70833333333333337</v>
      </c>
      <c r="K257" s="80">
        <v>4.1666666666666664E-2</v>
      </c>
      <c r="L257" s="80">
        <v>0.3125</v>
      </c>
      <c r="M257" s="81">
        <v>0.66666666666666663</v>
      </c>
      <c r="N257" s="82">
        <v>4.1666666666666664E-2</v>
      </c>
      <c r="O257" s="117">
        <v>0.3125</v>
      </c>
      <c r="P257" s="84" t="s">
        <v>1924</v>
      </c>
    </row>
    <row r="258" spans="1:26" ht="15.75" customHeight="1">
      <c r="A258" s="78">
        <v>242</v>
      </c>
      <c r="B258" s="79">
        <v>2000</v>
      </c>
      <c r="C258" s="323"/>
      <c r="D258" s="323"/>
      <c r="E258" s="6" t="s">
        <v>950</v>
      </c>
      <c r="F258" s="6" t="s">
        <v>951</v>
      </c>
      <c r="G258" s="6" t="s">
        <v>922</v>
      </c>
      <c r="H258" s="7"/>
      <c r="I258" s="80">
        <v>0.3125</v>
      </c>
      <c r="J258" s="80">
        <v>0.70833333333333337</v>
      </c>
      <c r="K258" s="80">
        <v>4.1666666666666664E-2</v>
      </c>
      <c r="L258" s="80">
        <v>0.3125</v>
      </c>
      <c r="M258" s="81">
        <v>0.66666666666666663</v>
      </c>
      <c r="N258" s="82">
        <v>4.1666666666666664E-2</v>
      </c>
      <c r="O258" s="117">
        <v>0.3125</v>
      </c>
      <c r="P258" s="84" t="s">
        <v>1924</v>
      </c>
    </row>
    <row r="259" spans="1:26" ht="15.75" customHeight="1">
      <c r="A259" s="78">
        <v>243</v>
      </c>
      <c r="B259" s="79">
        <v>2000</v>
      </c>
      <c r="C259" s="323"/>
      <c r="D259" s="323"/>
      <c r="E259" s="6" t="s">
        <v>954</v>
      </c>
      <c r="F259" s="6" t="s">
        <v>955</v>
      </c>
      <c r="G259" s="6" t="s">
        <v>922</v>
      </c>
      <c r="H259" s="7"/>
      <c r="I259" s="80">
        <v>0.3125</v>
      </c>
      <c r="J259" s="80">
        <v>0.70833333333333337</v>
      </c>
      <c r="K259" s="80">
        <v>4.1666666666666664E-2</v>
      </c>
      <c r="L259" s="80">
        <v>0.3125</v>
      </c>
      <c r="M259" s="81">
        <v>0.66666666666666663</v>
      </c>
      <c r="N259" s="82">
        <v>4.1666666666666664E-2</v>
      </c>
      <c r="O259" s="117">
        <v>0.3125</v>
      </c>
      <c r="P259" s="84" t="s">
        <v>1924</v>
      </c>
    </row>
    <row r="260" spans="1:26" ht="15.75" customHeight="1">
      <c r="A260" s="78">
        <v>244</v>
      </c>
      <c r="B260" s="79">
        <v>2000</v>
      </c>
      <c r="C260" s="323"/>
      <c r="D260" s="323"/>
      <c r="E260" s="6" t="s">
        <v>958</v>
      </c>
      <c r="F260" s="6" t="s">
        <v>959</v>
      </c>
      <c r="G260" s="6">
        <v>1075011001</v>
      </c>
      <c r="H260" s="7"/>
      <c r="I260" s="80">
        <v>0.3125</v>
      </c>
      <c r="J260" s="80">
        <v>0.70833333333333337</v>
      </c>
      <c r="K260" s="80">
        <v>4.1666666666666664E-2</v>
      </c>
      <c r="L260" s="80">
        <v>0.3125</v>
      </c>
      <c r="M260" s="81">
        <v>0.66666666666666663</v>
      </c>
      <c r="N260" s="82">
        <v>4.1666666666666664E-2</v>
      </c>
      <c r="O260" s="117">
        <v>0.3125</v>
      </c>
      <c r="P260" s="84" t="s">
        <v>1924</v>
      </c>
    </row>
    <row r="261" spans="1:26" ht="15.75" customHeight="1">
      <c r="A261" s="78">
        <v>245</v>
      </c>
      <c r="B261" s="79">
        <v>2000</v>
      </c>
      <c r="C261" s="323"/>
      <c r="D261" s="323"/>
      <c r="E261" s="6" t="s">
        <v>962</v>
      </c>
      <c r="F261" s="27" t="s">
        <v>963</v>
      </c>
      <c r="G261" s="6" t="s">
        <v>922</v>
      </c>
      <c r="H261" s="7"/>
      <c r="I261" s="80">
        <v>0.3125</v>
      </c>
      <c r="J261" s="80">
        <v>0.70833333333333337</v>
      </c>
      <c r="K261" s="80">
        <v>4.1666666666666664E-2</v>
      </c>
      <c r="L261" s="80">
        <v>0.3125</v>
      </c>
      <c r="M261" s="81">
        <v>0.66666666666666663</v>
      </c>
      <c r="N261" s="82">
        <v>4.1666666666666664E-2</v>
      </c>
      <c r="O261" s="117">
        <v>0.3125</v>
      </c>
      <c r="P261" s="84" t="s">
        <v>1924</v>
      </c>
    </row>
    <row r="262" spans="1:26" ht="15.75" customHeight="1">
      <c r="A262" s="78">
        <v>246</v>
      </c>
      <c r="B262" s="79">
        <v>2000</v>
      </c>
      <c r="C262" s="323"/>
      <c r="D262" s="323"/>
      <c r="E262" s="6" t="s">
        <v>966</v>
      </c>
      <c r="F262" s="6" t="s">
        <v>967</v>
      </c>
      <c r="G262" s="6" t="s">
        <v>922</v>
      </c>
      <c r="H262" s="7"/>
      <c r="I262" s="80">
        <v>0.3125</v>
      </c>
      <c r="J262" s="80">
        <v>0.70833333333333337</v>
      </c>
      <c r="K262" s="80">
        <v>4.1666666666666664E-2</v>
      </c>
      <c r="L262" s="80">
        <v>0.3125</v>
      </c>
      <c r="M262" s="81">
        <v>0.66666666666666663</v>
      </c>
      <c r="N262" s="82">
        <v>4.1666666666666664E-2</v>
      </c>
      <c r="O262" s="117">
        <v>0.3125</v>
      </c>
      <c r="P262" s="84" t="s">
        <v>1924</v>
      </c>
    </row>
    <row r="263" spans="1:26" ht="15.75" customHeight="1">
      <c r="A263" s="78">
        <v>247</v>
      </c>
      <c r="B263" s="100">
        <v>2000</v>
      </c>
      <c r="C263" s="323"/>
      <c r="D263" s="323"/>
      <c r="E263" s="27" t="s">
        <v>969</v>
      </c>
      <c r="F263" s="27" t="s">
        <v>970</v>
      </c>
      <c r="G263" s="27" t="s">
        <v>922</v>
      </c>
      <c r="H263" s="19"/>
      <c r="I263" s="109"/>
      <c r="J263" s="109"/>
      <c r="K263" s="109"/>
      <c r="L263" s="109"/>
      <c r="M263" s="109"/>
      <c r="N263" s="118"/>
      <c r="O263" s="19"/>
      <c r="P263" s="119"/>
      <c r="Q263" s="30"/>
      <c r="R263" s="30"/>
      <c r="S263" s="30"/>
      <c r="T263" s="30"/>
      <c r="U263" s="30"/>
      <c r="V263" s="30"/>
      <c r="W263" s="30"/>
      <c r="X263" s="30"/>
      <c r="Y263" s="30"/>
      <c r="Z263" s="30"/>
    </row>
    <row r="264" spans="1:26" ht="15.75" customHeight="1">
      <c r="A264" s="78">
        <v>248</v>
      </c>
      <c r="B264" s="79">
        <v>2000</v>
      </c>
      <c r="C264" s="323"/>
      <c r="D264" s="323"/>
      <c r="E264" s="6" t="s">
        <v>971</v>
      </c>
      <c r="F264" s="6" t="s">
        <v>972</v>
      </c>
      <c r="G264" s="6" t="s">
        <v>922</v>
      </c>
      <c r="H264" s="7"/>
      <c r="I264" s="80">
        <v>0.3125</v>
      </c>
      <c r="J264" s="80">
        <v>0.70833333333333337</v>
      </c>
      <c r="K264" s="80">
        <v>4.1666666666666664E-2</v>
      </c>
      <c r="L264" s="80">
        <v>0.3125</v>
      </c>
      <c r="M264" s="81">
        <v>0.66666666666666663</v>
      </c>
      <c r="N264" s="82">
        <v>4.1666666666666664E-2</v>
      </c>
      <c r="O264" s="117">
        <v>0.3125</v>
      </c>
      <c r="P264" s="84" t="s">
        <v>1924</v>
      </c>
    </row>
    <row r="265" spans="1:26" ht="15.75" customHeight="1">
      <c r="A265" s="78">
        <v>249</v>
      </c>
      <c r="B265" s="79">
        <v>2000</v>
      </c>
      <c r="C265" s="323"/>
      <c r="D265" s="323"/>
      <c r="E265" s="6" t="s">
        <v>973</v>
      </c>
      <c r="F265" s="6" t="s">
        <v>974</v>
      </c>
      <c r="G265" s="6" t="s">
        <v>922</v>
      </c>
      <c r="H265" s="7"/>
      <c r="I265" s="80">
        <v>0.3125</v>
      </c>
      <c r="J265" s="80">
        <v>0.70833333333333337</v>
      </c>
      <c r="K265" s="80">
        <v>4.1666666666666664E-2</v>
      </c>
      <c r="L265" s="80">
        <v>0.3125</v>
      </c>
      <c r="M265" s="81">
        <v>0.66666666666666663</v>
      </c>
      <c r="N265" s="82">
        <v>4.1666666666666664E-2</v>
      </c>
      <c r="O265" s="117">
        <v>0.3125</v>
      </c>
      <c r="P265" s="84" t="s">
        <v>1924</v>
      </c>
    </row>
    <row r="266" spans="1:26" ht="15.75" customHeight="1">
      <c r="A266" s="78">
        <v>250</v>
      </c>
      <c r="B266" s="79">
        <v>2000</v>
      </c>
      <c r="C266" s="323"/>
      <c r="D266" s="323"/>
      <c r="E266" s="6" t="s">
        <v>975</v>
      </c>
      <c r="F266" s="6" t="s">
        <v>976</v>
      </c>
      <c r="G266" s="6" t="s">
        <v>922</v>
      </c>
      <c r="H266" s="7"/>
      <c r="I266" s="80">
        <v>0.3125</v>
      </c>
      <c r="J266" s="80">
        <v>0.70833333333333337</v>
      </c>
      <c r="K266" s="80">
        <v>4.1666666666666664E-2</v>
      </c>
      <c r="L266" s="80">
        <v>0.3125</v>
      </c>
      <c r="M266" s="81">
        <v>0.66666666666666663</v>
      </c>
      <c r="N266" s="82">
        <v>4.1666666666666664E-2</v>
      </c>
      <c r="O266" s="117">
        <v>0.3125</v>
      </c>
      <c r="P266" s="84" t="s">
        <v>1924</v>
      </c>
    </row>
    <row r="267" spans="1:26" ht="15.75" customHeight="1">
      <c r="A267" s="78">
        <v>251</v>
      </c>
      <c r="B267" s="79">
        <v>2000</v>
      </c>
      <c r="C267" s="323"/>
      <c r="D267" s="324"/>
      <c r="E267" s="6" t="s">
        <v>977</v>
      </c>
      <c r="F267" s="6" t="s">
        <v>978</v>
      </c>
      <c r="G267" s="6" t="s">
        <v>922</v>
      </c>
      <c r="H267" s="7"/>
      <c r="I267" s="80">
        <v>0.3125</v>
      </c>
      <c r="J267" s="80">
        <v>0.70833333333333337</v>
      </c>
      <c r="K267" s="80">
        <v>4.1666666666666664E-2</v>
      </c>
      <c r="L267" s="80">
        <v>0.3125</v>
      </c>
      <c r="M267" s="81">
        <v>0.66666666666666663</v>
      </c>
      <c r="N267" s="82">
        <v>4.1666666666666664E-2</v>
      </c>
      <c r="O267" s="117">
        <v>0.3125</v>
      </c>
      <c r="P267" s="84" t="s">
        <v>1924</v>
      </c>
    </row>
    <row r="268" spans="1:26" ht="15.75" customHeight="1">
      <c r="A268" s="78">
        <v>252</v>
      </c>
      <c r="B268" s="79">
        <v>2000</v>
      </c>
      <c r="C268" s="323"/>
      <c r="D268" s="327" t="s">
        <v>987</v>
      </c>
      <c r="E268" s="6" t="s">
        <v>979</v>
      </c>
      <c r="F268" s="6" t="s">
        <v>980</v>
      </c>
      <c r="G268" s="6" t="s">
        <v>922</v>
      </c>
      <c r="H268" s="7"/>
      <c r="I268" s="80">
        <v>0.3125</v>
      </c>
      <c r="J268" s="80">
        <v>0.70833333333333337</v>
      </c>
      <c r="K268" s="80">
        <v>4.1666666666666664E-2</v>
      </c>
      <c r="L268" s="80">
        <v>0.3125</v>
      </c>
      <c r="M268" s="81">
        <v>0.64583333333333337</v>
      </c>
      <c r="N268" s="82">
        <v>4.1666666666666664E-2</v>
      </c>
      <c r="O268" s="117">
        <v>0.29166666666666669</v>
      </c>
      <c r="P268" s="84" t="s">
        <v>1924</v>
      </c>
    </row>
    <row r="269" spans="1:26" ht="15.75" customHeight="1">
      <c r="A269" s="78">
        <v>253</v>
      </c>
      <c r="B269" s="79">
        <v>2000</v>
      </c>
      <c r="C269" s="323"/>
      <c r="D269" s="323"/>
      <c r="E269" s="6" t="s">
        <v>981</v>
      </c>
      <c r="F269" s="6" t="s">
        <v>982</v>
      </c>
      <c r="G269" s="6" t="s">
        <v>922</v>
      </c>
      <c r="H269" s="7"/>
      <c r="I269" s="80">
        <v>0.3125</v>
      </c>
      <c r="J269" s="80">
        <v>0.70833333333333337</v>
      </c>
      <c r="K269" s="80">
        <v>4.1666666666666664E-2</v>
      </c>
      <c r="L269" s="80">
        <v>0.3125</v>
      </c>
      <c r="M269" s="81">
        <v>0.64583333333333337</v>
      </c>
      <c r="N269" s="82">
        <v>4.1666666666666664E-2</v>
      </c>
      <c r="O269" s="117">
        <v>0.29166666666666669</v>
      </c>
      <c r="P269" s="84" t="s">
        <v>1924</v>
      </c>
    </row>
    <row r="270" spans="1:26" ht="15.75" customHeight="1">
      <c r="A270" s="78">
        <v>254</v>
      </c>
      <c r="B270" s="79">
        <v>2000</v>
      </c>
      <c r="C270" s="323"/>
      <c r="D270" s="323"/>
      <c r="E270" s="6" t="s">
        <v>983</v>
      </c>
      <c r="F270" s="6" t="s">
        <v>984</v>
      </c>
      <c r="G270" s="6" t="s">
        <v>922</v>
      </c>
      <c r="H270" s="7"/>
      <c r="I270" s="80">
        <v>0.3125</v>
      </c>
      <c r="J270" s="80">
        <v>0.70833333333333337</v>
      </c>
      <c r="K270" s="80">
        <v>4.1666666666666664E-2</v>
      </c>
      <c r="L270" s="80">
        <v>0.3125</v>
      </c>
      <c r="M270" s="81">
        <v>0.64583333333333337</v>
      </c>
      <c r="N270" s="82">
        <v>4.1666666666666664E-2</v>
      </c>
      <c r="O270" s="117">
        <v>0.29166666666666669</v>
      </c>
      <c r="P270" s="84" t="s">
        <v>1924</v>
      </c>
    </row>
    <row r="271" spans="1:26" ht="15.75" customHeight="1">
      <c r="A271" s="78"/>
      <c r="B271" s="79"/>
      <c r="C271" s="323"/>
      <c r="D271" s="323"/>
      <c r="E271" s="6" t="s">
        <v>985</v>
      </c>
      <c r="F271" s="6" t="s">
        <v>986</v>
      </c>
      <c r="G271" s="6" t="s">
        <v>922</v>
      </c>
      <c r="H271" s="7"/>
      <c r="I271" s="80"/>
      <c r="J271" s="80"/>
      <c r="K271" s="80"/>
      <c r="L271" s="80"/>
      <c r="M271" s="81"/>
      <c r="N271" s="82"/>
      <c r="O271" s="117"/>
      <c r="P271" s="84"/>
    </row>
    <row r="272" spans="1:26" ht="15.75" customHeight="1">
      <c r="A272" s="78">
        <v>251</v>
      </c>
      <c r="B272" s="79">
        <v>2000</v>
      </c>
      <c r="C272" s="323"/>
      <c r="D272" s="324"/>
      <c r="E272" s="6" t="s">
        <v>988</v>
      </c>
      <c r="F272" s="6" t="s">
        <v>989</v>
      </c>
      <c r="G272" s="6">
        <v>1075013001</v>
      </c>
      <c r="H272" s="7"/>
      <c r="I272" s="80">
        <v>0.3125</v>
      </c>
      <c r="J272" s="80">
        <v>0.70833333333333337</v>
      </c>
      <c r="K272" s="80">
        <v>4.1666666666666664E-2</v>
      </c>
      <c r="L272" s="80">
        <v>0.3125</v>
      </c>
      <c r="M272" s="81">
        <v>0.64583333333333337</v>
      </c>
      <c r="N272" s="82">
        <v>4.1666666666666664E-2</v>
      </c>
      <c r="O272" s="117">
        <v>0.29166666666666669</v>
      </c>
      <c r="P272" s="84" t="s">
        <v>1924</v>
      </c>
    </row>
    <row r="273" spans="1:16" ht="15.75" customHeight="1">
      <c r="A273" s="78">
        <v>252</v>
      </c>
      <c r="B273" s="79">
        <v>2000</v>
      </c>
      <c r="C273" s="323"/>
      <c r="D273" s="328" t="s">
        <v>1988</v>
      </c>
      <c r="E273" s="22" t="s">
        <v>993</v>
      </c>
      <c r="F273" s="22" t="s">
        <v>1989</v>
      </c>
      <c r="G273" s="22" t="s">
        <v>994</v>
      </c>
      <c r="H273" s="7" t="s">
        <v>1946</v>
      </c>
      <c r="I273" s="80">
        <v>0.3125</v>
      </c>
      <c r="J273" s="80">
        <v>0.97916666666666663</v>
      </c>
      <c r="K273" s="80">
        <v>8.3333333333333329E-2</v>
      </c>
      <c r="L273" s="80">
        <v>0.3125</v>
      </c>
      <c r="M273" s="81">
        <v>0.97916666666666663</v>
      </c>
      <c r="N273" s="82">
        <v>8.3333333333333329E-2</v>
      </c>
      <c r="O273" s="83">
        <v>0.58333333333333337</v>
      </c>
      <c r="P273" s="84" t="s">
        <v>1924</v>
      </c>
    </row>
    <row r="274" spans="1:16" ht="15.75" customHeight="1">
      <c r="A274" s="78">
        <v>253</v>
      </c>
      <c r="B274" s="79">
        <v>2000</v>
      </c>
      <c r="C274" s="323"/>
      <c r="D274" s="323"/>
      <c r="E274" s="6" t="s">
        <v>997</v>
      </c>
      <c r="F274" s="6" t="s">
        <v>996</v>
      </c>
      <c r="G274" s="6" t="s">
        <v>998</v>
      </c>
      <c r="H274" s="7"/>
      <c r="I274" s="80">
        <v>0.3125</v>
      </c>
      <c r="J274" s="80">
        <v>0.97916666666666663</v>
      </c>
      <c r="K274" s="80">
        <v>8.3333333333333329E-2</v>
      </c>
      <c r="L274" s="80">
        <v>0.3125</v>
      </c>
      <c r="M274" s="81">
        <v>0.97916666666666663</v>
      </c>
      <c r="N274" s="82">
        <v>8.3333333333333329E-2</v>
      </c>
      <c r="O274" s="83">
        <v>0.58333333333333337</v>
      </c>
      <c r="P274" s="84" t="s">
        <v>1924</v>
      </c>
    </row>
    <row r="275" spans="1:16" ht="15.75" customHeight="1">
      <c r="A275" s="78">
        <v>254</v>
      </c>
      <c r="B275" s="79">
        <v>2000</v>
      </c>
      <c r="C275" s="323"/>
      <c r="D275" s="323"/>
      <c r="E275" s="22" t="s">
        <v>999</v>
      </c>
      <c r="F275" s="22" t="s">
        <v>1000</v>
      </c>
      <c r="G275" s="22">
        <v>1075012001</v>
      </c>
      <c r="H275" s="7" t="s">
        <v>1946</v>
      </c>
      <c r="I275" s="80">
        <v>0.3125</v>
      </c>
      <c r="J275" s="80">
        <v>0.64583333333333337</v>
      </c>
      <c r="K275" s="80">
        <v>4.1666666666666664E-2</v>
      </c>
      <c r="L275" s="80">
        <v>0.3125</v>
      </c>
      <c r="M275" s="81">
        <v>0.64583333333333337</v>
      </c>
      <c r="N275" s="82">
        <v>4.1666666666666664E-2</v>
      </c>
      <c r="O275" s="83">
        <v>0.29166666666666669</v>
      </c>
      <c r="P275" s="84" t="s">
        <v>1924</v>
      </c>
    </row>
    <row r="276" spans="1:16" ht="15.75" customHeight="1">
      <c r="A276" s="78">
        <v>255</v>
      </c>
      <c r="B276" s="79">
        <v>2000</v>
      </c>
      <c r="C276" s="323"/>
      <c r="D276" s="323"/>
      <c r="E276" s="22" t="s">
        <v>1002</v>
      </c>
      <c r="F276" s="22" t="s">
        <v>1001</v>
      </c>
      <c r="G276" s="22">
        <v>1075012004</v>
      </c>
      <c r="H276" s="7" t="s">
        <v>1946</v>
      </c>
      <c r="I276" s="80">
        <v>0.3125</v>
      </c>
      <c r="J276" s="80">
        <v>0.97916666666666663</v>
      </c>
      <c r="K276" s="80">
        <v>8.3333333333333329E-2</v>
      </c>
      <c r="L276" s="80">
        <v>0.3125</v>
      </c>
      <c r="M276" s="81">
        <v>0.97916666666666663</v>
      </c>
      <c r="N276" s="82">
        <v>8.3333333333333329E-2</v>
      </c>
      <c r="O276" s="83">
        <v>0.58333333333333337</v>
      </c>
      <c r="P276" s="84" t="s">
        <v>1924</v>
      </c>
    </row>
    <row r="277" spans="1:16" ht="15.75" customHeight="1">
      <c r="A277" s="78">
        <v>256</v>
      </c>
      <c r="B277" s="79">
        <v>2000</v>
      </c>
      <c r="C277" s="324"/>
      <c r="D277" s="324"/>
      <c r="E277" s="6" t="s">
        <v>1005</v>
      </c>
      <c r="F277" s="6" t="s">
        <v>1004</v>
      </c>
      <c r="G277" s="6" t="s">
        <v>1006</v>
      </c>
      <c r="H277" s="7"/>
      <c r="I277" s="80">
        <v>0.3125</v>
      </c>
      <c r="J277" s="80">
        <v>0.64583333333333337</v>
      </c>
      <c r="K277" s="80">
        <v>4.1666666666666664E-2</v>
      </c>
      <c r="L277" s="80">
        <v>0.3125</v>
      </c>
      <c r="M277" s="81">
        <v>0.64583333333333337</v>
      </c>
      <c r="N277" s="82">
        <v>4.1666666666666664E-2</v>
      </c>
      <c r="O277" s="83">
        <v>0.29166666666666669</v>
      </c>
      <c r="P277" s="84" t="s">
        <v>1924</v>
      </c>
    </row>
    <row r="278" spans="1:16" ht="15.75" customHeight="1">
      <c r="A278" s="78">
        <v>257</v>
      </c>
      <c r="B278" s="79">
        <v>1200</v>
      </c>
      <c r="C278" s="120" t="s">
        <v>1990</v>
      </c>
      <c r="D278" s="121" t="s">
        <v>1991</v>
      </c>
      <c r="E278" s="6" t="s">
        <v>102</v>
      </c>
      <c r="F278" s="6" t="s">
        <v>103</v>
      </c>
      <c r="G278" s="6" t="s">
        <v>104</v>
      </c>
      <c r="H278" s="7"/>
      <c r="I278" s="80">
        <v>0.3125</v>
      </c>
      <c r="J278" s="80">
        <v>0.64583333333333337</v>
      </c>
      <c r="K278" s="80">
        <v>4.1666666666666664E-2</v>
      </c>
      <c r="L278" s="80">
        <v>0.3125</v>
      </c>
      <c r="M278" s="81">
        <v>0.58333333333333337</v>
      </c>
      <c r="N278" s="89">
        <v>1</v>
      </c>
      <c r="O278" s="83">
        <v>0.22916666666666666</v>
      </c>
      <c r="P278" s="84" t="s">
        <v>1924</v>
      </c>
    </row>
    <row r="279" spans="1:16" ht="15.75" customHeight="1">
      <c r="A279" s="122"/>
      <c r="B279" s="110"/>
      <c r="C279" s="29"/>
      <c r="D279" s="123"/>
      <c r="E279" s="111"/>
      <c r="F279" s="111"/>
      <c r="G279" s="111"/>
      <c r="H279" s="124"/>
      <c r="I279" s="112"/>
      <c r="J279" s="112"/>
      <c r="K279" s="112"/>
      <c r="L279" s="112"/>
      <c r="M279" s="113"/>
      <c r="N279" s="114"/>
      <c r="O279" s="115"/>
      <c r="P279" s="116"/>
    </row>
    <row r="280" spans="1:16" ht="15.75" customHeight="1">
      <c r="A280" s="78">
        <v>258</v>
      </c>
      <c r="B280" s="110">
        <v>2000</v>
      </c>
      <c r="C280" s="326" t="s">
        <v>1992</v>
      </c>
      <c r="D280" s="123" t="s">
        <v>1751</v>
      </c>
      <c r="E280" s="111" t="s">
        <v>50</v>
      </c>
      <c r="F280" s="111" t="s">
        <v>1752</v>
      </c>
      <c r="G280" s="27">
        <v>1101000001</v>
      </c>
      <c r="H280" s="7" t="s">
        <v>1752</v>
      </c>
      <c r="I280" s="112"/>
      <c r="J280" s="112"/>
      <c r="K280" s="112"/>
      <c r="L280" s="112"/>
      <c r="M280" s="113"/>
      <c r="N280" s="114"/>
      <c r="O280" s="115"/>
      <c r="P280" s="116"/>
    </row>
    <row r="281" spans="1:16" ht="15.75" customHeight="1">
      <c r="A281" s="78">
        <v>259</v>
      </c>
      <c r="B281" s="110">
        <v>2000</v>
      </c>
      <c r="C281" s="323"/>
      <c r="D281" s="123" t="s">
        <v>1753</v>
      </c>
      <c r="E281" s="111" t="s">
        <v>1754</v>
      </c>
      <c r="F281" s="111" t="s">
        <v>1755</v>
      </c>
      <c r="G281" s="61" t="s">
        <v>1756</v>
      </c>
      <c r="H281" s="7" t="s">
        <v>1755</v>
      </c>
      <c r="I281" s="112"/>
      <c r="J281" s="112"/>
      <c r="K281" s="112"/>
      <c r="L281" s="112"/>
      <c r="M281" s="113"/>
      <c r="N281" s="114"/>
      <c r="O281" s="115"/>
      <c r="P281" s="116"/>
    </row>
    <row r="282" spans="1:16" ht="15.75" customHeight="1">
      <c r="A282" s="78">
        <v>260</v>
      </c>
      <c r="B282" s="110">
        <v>2000</v>
      </c>
      <c r="C282" s="323"/>
      <c r="D282" s="123" t="s">
        <v>1753</v>
      </c>
      <c r="E282" s="111" t="s">
        <v>1757</v>
      </c>
      <c r="F282" s="111" t="s">
        <v>1758</v>
      </c>
      <c r="G282" s="61" t="s">
        <v>1759</v>
      </c>
      <c r="H282" s="19" t="s">
        <v>1758</v>
      </c>
      <c r="I282" s="112"/>
      <c r="J282" s="112"/>
      <c r="K282" s="112"/>
      <c r="L282" s="112"/>
      <c r="M282" s="113"/>
      <c r="N282" s="114"/>
      <c r="O282" s="115"/>
      <c r="P282" s="116"/>
    </row>
    <row r="283" spans="1:16" ht="15.75" customHeight="1">
      <c r="A283" s="78">
        <v>261</v>
      </c>
      <c r="B283" s="110">
        <v>2000</v>
      </c>
      <c r="C283" s="323"/>
      <c r="D283" s="123" t="s">
        <v>1760</v>
      </c>
      <c r="E283" s="111" t="s">
        <v>1761</v>
      </c>
      <c r="F283" s="111" t="s">
        <v>1762</v>
      </c>
      <c r="G283" s="62">
        <v>1111090003</v>
      </c>
      <c r="H283" s="19" t="s">
        <v>1762</v>
      </c>
      <c r="I283" s="112"/>
      <c r="J283" s="112"/>
      <c r="K283" s="112"/>
      <c r="L283" s="112"/>
      <c r="M283" s="113"/>
      <c r="N283" s="114"/>
      <c r="O283" s="115"/>
      <c r="P283" s="116"/>
    </row>
    <row r="284" spans="1:16" ht="15.75" customHeight="1">
      <c r="A284" s="78">
        <v>262</v>
      </c>
      <c r="B284" s="110">
        <v>2000</v>
      </c>
      <c r="C284" s="324"/>
      <c r="D284" s="123" t="s">
        <v>1763</v>
      </c>
      <c r="E284" s="111" t="s">
        <v>1764</v>
      </c>
      <c r="F284" s="111" t="s">
        <v>1765</v>
      </c>
      <c r="G284" s="62">
        <v>1111054003</v>
      </c>
      <c r="H284" s="19" t="s">
        <v>1765</v>
      </c>
      <c r="I284" s="112"/>
      <c r="J284" s="112"/>
      <c r="K284" s="112"/>
      <c r="L284" s="112"/>
      <c r="M284" s="113"/>
      <c r="N284" s="114"/>
      <c r="O284" s="115"/>
      <c r="P284" s="116"/>
    </row>
    <row r="285" spans="1:16" ht="15.75" customHeight="1">
      <c r="A285" s="125"/>
      <c r="B285" s="126"/>
      <c r="C285" s="127"/>
      <c r="D285" s="128"/>
      <c r="E285" s="127"/>
      <c r="F285" s="127"/>
      <c r="G285" s="127"/>
      <c r="H285" s="127"/>
      <c r="I285" s="127"/>
      <c r="J285" s="127"/>
      <c r="K285" s="127"/>
      <c r="L285" s="127"/>
      <c r="M285" s="129"/>
      <c r="N285" s="130"/>
      <c r="O285" s="131"/>
      <c r="P285" s="132"/>
    </row>
    <row r="286" spans="1:16" ht="15.75" customHeight="1">
      <c r="D286" s="68"/>
      <c r="M286" s="69"/>
      <c r="N286" s="70"/>
      <c r="O286" s="71"/>
      <c r="P286" s="72"/>
    </row>
    <row r="287" spans="1:16" ht="15.75" customHeight="1">
      <c r="D287" s="68"/>
      <c r="F287" s="133">
        <v>1112061002</v>
      </c>
      <c r="M287" s="69"/>
      <c r="N287" s="70"/>
      <c r="O287" s="71"/>
      <c r="P287" s="72"/>
    </row>
    <row r="288" spans="1:16" ht="15.75" customHeight="1">
      <c r="D288" s="68"/>
      <c r="F288" s="69"/>
      <c r="M288" s="69"/>
      <c r="N288" s="70"/>
      <c r="O288" s="71"/>
      <c r="P288" s="72"/>
    </row>
    <row r="289" spans="3:25" ht="15.75" customHeight="1">
      <c r="D289" s="68"/>
      <c r="F289" s="69"/>
      <c r="M289" s="69"/>
      <c r="N289" s="70"/>
      <c r="O289" s="71"/>
      <c r="P289" s="72"/>
    </row>
    <row r="290" spans="3:25" ht="15.75" customHeight="1">
      <c r="D290" s="68"/>
      <c r="F290" s="69"/>
      <c r="M290" s="69"/>
      <c r="N290" s="70"/>
      <c r="O290" s="71"/>
      <c r="P290" s="72"/>
    </row>
    <row r="291" spans="3:25" ht="15.75" customHeight="1">
      <c r="C291" s="30" t="s">
        <v>1993</v>
      </c>
      <c r="D291" s="68" t="s">
        <v>1994</v>
      </c>
      <c r="E291" s="30" t="s">
        <v>1995</v>
      </c>
      <c r="F291" s="30" t="s">
        <v>1996</v>
      </c>
      <c r="G291" s="30" t="s">
        <v>1997</v>
      </c>
      <c r="H291" s="30" t="s">
        <v>1998</v>
      </c>
      <c r="I291" s="30" t="s">
        <v>1998</v>
      </c>
      <c r="J291" s="30" t="s">
        <v>1998</v>
      </c>
      <c r="K291" s="30" t="s">
        <v>1998</v>
      </c>
      <c r="L291" s="30" t="s">
        <v>1998</v>
      </c>
      <c r="M291" s="30" t="s">
        <v>1998</v>
      </c>
      <c r="N291" s="30" t="s">
        <v>1999</v>
      </c>
      <c r="O291" s="30" t="s">
        <v>1999</v>
      </c>
      <c r="P291" s="30" t="s">
        <v>1999</v>
      </c>
      <c r="Q291" s="30" t="s">
        <v>1999</v>
      </c>
      <c r="R291" s="30" t="s">
        <v>1999</v>
      </c>
      <c r="S291" s="30" t="s">
        <v>1999</v>
      </c>
      <c r="T291" s="30" t="s">
        <v>2000</v>
      </c>
      <c r="U291" s="30" t="s">
        <v>2000</v>
      </c>
      <c r="V291" s="30" t="s">
        <v>2000</v>
      </c>
      <c r="W291" s="30" t="s">
        <v>2000</v>
      </c>
      <c r="X291" s="30" t="s">
        <v>2000</v>
      </c>
      <c r="Y291" s="30" t="s">
        <v>2000</v>
      </c>
    </row>
    <row r="292" spans="3:25" ht="15.75" customHeight="1">
      <c r="C292" s="13" t="s">
        <v>1993</v>
      </c>
      <c r="D292" s="68" t="s">
        <v>1994</v>
      </c>
      <c r="E292" s="13" t="s">
        <v>1995</v>
      </c>
      <c r="F292" s="13" t="s">
        <v>1996</v>
      </c>
      <c r="G292" s="13" t="s">
        <v>1997</v>
      </c>
      <c r="H292" s="13" t="s">
        <v>1998</v>
      </c>
      <c r="I292" s="13" t="s">
        <v>1998</v>
      </c>
      <c r="J292" s="13" t="s">
        <v>1998</v>
      </c>
      <c r="L292" s="13" t="s">
        <v>1998</v>
      </c>
      <c r="M292" s="70" t="s">
        <v>1998</v>
      </c>
      <c r="N292" s="71" t="s">
        <v>1999</v>
      </c>
      <c r="O292" s="72" t="s">
        <v>1999</v>
      </c>
      <c r="P292" s="13" t="s">
        <v>1999</v>
      </c>
      <c r="Q292" s="13" t="s">
        <v>1999</v>
      </c>
      <c r="R292" s="13" t="s">
        <v>1999</v>
      </c>
      <c r="S292" s="13" t="s">
        <v>1999</v>
      </c>
      <c r="T292" s="13" t="s">
        <v>2000</v>
      </c>
      <c r="U292" s="13" t="s">
        <v>2000</v>
      </c>
      <c r="V292" s="13" t="s">
        <v>2000</v>
      </c>
      <c r="W292" s="13" t="s">
        <v>2000</v>
      </c>
      <c r="X292" s="13" t="s">
        <v>2000</v>
      </c>
      <c r="Y292" s="13" t="s">
        <v>2000</v>
      </c>
    </row>
    <row r="293" spans="3:25" ht="15.75" customHeight="1">
      <c r="C293" s="13">
        <v>1000</v>
      </c>
      <c r="D293" s="22" t="s">
        <v>176</v>
      </c>
      <c r="E293" s="13" t="s">
        <v>2001</v>
      </c>
      <c r="F293" s="13" t="s">
        <v>2002</v>
      </c>
      <c r="G293" s="13" t="s">
        <v>2002</v>
      </c>
      <c r="H293" s="13" t="s">
        <v>2003</v>
      </c>
      <c r="I293" s="13" t="s">
        <v>2004</v>
      </c>
      <c r="J293" s="13" t="s">
        <v>2005</v>
      </c>
      <c r="K293" s="13" t="s">
        <v>2006</v>
      </c>
      <c r="L293" s="13" t="s">
        <v>2007</v>
      </c>
      <c r="M293" s="13" t="s">
        <v>2002</v>
      </c>
      <c r="N293" s="71" t="s">
        <v>2008</v>
      </c>
      <c r="O293" s="72" t="s">
        <v>2008</v>
      </c>
      <c r="P293" s="13" t="s">
        <v>2008</v>
      </c>
      <c r="Q293" s="13" t="s">
        <v>2008</v>
      </c>
      <c r="R293" s="13" t="s">
        <v>2008</v>
      </c>
      <c r="S293" s="13" t="s">
        <v>2008</v>
      </c>
      <c r="T293" s="13" t="s">
        <v>2003</v>
      </c>
      <c r="U293" s="13" t="s">
        <v>2004</v>
      </c>
      <c r="V293" s="13" t="s">
        <v>2005</v>
      </c>
      <c r="W293" s="13" t="s">
        <v>2006</v>
      </c>
      <c r="X293" s="13" t="s">
        <v>2007</v>
      </c>
      <c r="Y293" s="13" t="s">
        <v>2002</v>
      </c>
    </row>
    <row r="294" spans="3:25" ht="15.75" customHeight="1">
      <c r="C294" s="13">
        <v>1000</v>
      </c>
      <c r="D294" s="22" t="s">
        <v>180</v>
      </c>
      <c r="E294" s="13" t="s">
        <v>2001</v>
      </c>
      <c r="F294" s="13" t="s">
        <v>2002</v>
      </c>
      <c r="G294" s="13" t="s">
        <v>2002</v>
      </c>
      <c r="H294" s="13" t="s">
        <v>2003</v>
      </c>
      <c r="I294" s="13" t="s">
        <v>2004</v>
      </c>
      <c r="J294" s="13" t="s">
        <v>2005</v>
      </c>
      <c r="K294" s="13" t="s">
        <v>2006</v>
      </c>
      <c r="L294" s="13" t="s">
        <v>2007</v>
      </c>
      <c r="M294" s="13" t="s">
        <v>2002</v>
      </c>
      <c r="N294" s="71" t="s">
        <v>2008</v>
      </c>
      <c r="O294" s="72" t="s">
        <v>2008</v>
      </c>
      <c r="P294" s="13" t="s">
        <v>2008</v>
      </c>
      <c r="Q294" s="13" t="s">
        <v>2008</v>
      </c>
      <c r="R294" s="13" t="s">
        <v>2008</v>
      </c>
      <c r="S294" s="13" t="s">
        <v>2008</v>
      </c>
      <c r="T294" s="13" t="s">
        <v>2003</v>
      </c>
      <c r="U294" s="13" t="s">
        <v>2004</v>
      </c>
      <c r="V294" s="13" t="s">
        <v>2005</v>
      </c>
      <c r="W294" s="13" t="s">
        <v>2006</v>
      </c>
      <c r="X294" s="13" t="s">
        <v>2007</v>
      </c>
      <c r="Y294" s="13" t="s">
        <v>2002</v>
      </c>
    </row>
    <row r="295" spans="3:25" ht="15.75" customHeight="1">
      <c r="C295" s="13">
        <v>1000</v>
      </c>
      <c r="D295" s="22" t="s">
        <v>184</v>
      </c>
      <c r="E295" s="13" t="s">
        <v>2001</v>
      </c>
      <c r="F295" s="13" t="s">
        <v>2002</v>
      </c>
      <c r="G295" s="13" t="s">
        <v>2002</v>
      </c>
      <c r="H295" s="13" t="s">
        <v>2003</v>
      </c>
      <c r="I295" s="13" t="s">
        <v>2004</v>
      </c>
      <c r="J295" s="13" t="s">
        <v>2005</v>
      </c>
      <c r="K295" s="13" t="s">
        <v>2006</v>
      </c>
      <c r="L295" s="13" t="s">
        <v>2007</v>
      </c>
      <c r="M295" s="13" t="s">
        <v>2002</v>
      </c>
      <c r="N295" s="71" t="s">
        <v>2008</v>
      </c>
      <c r="O295" s="72" t="s">
        <v>2008</v>
      </c>
      <c r="P295" s="13" t="s">
        <v>2008</v>
      </c>
      <c r="Q295" s="13" t="s">
        <v>2008</v>
      </c>
      <c r="R295" s="13" t="s">
        <v>2008</v>
      </c>
      <c r="S295" s="13" t="s">
        <v>2008</v>
      </c>
      <c r="T295" s="13" t="s">
        <v>2003</v>
      </c>
      <c r="U295" s="13" t="s">
        <v>2004</v>
      </c>
      <c r="V295" s="13" t="s">
        <v>2005</v>
      </c>
      <c r="W295" s="13" t="s">
        <v>2006</v>
      </c>
      <c r="X295" s="13" t="s">
        <v>2007</v>
      </c>
      <c r="Y295" s="13" t="s">
        <v>2002</v>
      </c>
    </row>
    <row r="296" spans="3:25" ht="15.75" customHeight="1">
      <c r="C296" s="13">
        <v>1000</v>
      </c>
      <c r="D296" s="22" t="s">
        <v>188</v>
      </c>
      <c r="E296" s="13" t="s">
        <v>2001</v>
      </c>
      <c r="F296" s="13" t="s">
        <v>2002</v>
      </c>
      <c r="G296" s="13" t="s">
        <v>2002</v>
      </c>
      <c r="H296" s="13" t="s">
        <v>2003</v>
      </c>
      <c r="I296" s="13" t="s">
        <v>2004</v>
      </c>
      <c r="J296" s="13" t="s">
        <v>2005</v>
      </c>
      <c r="K296" s="13" t="s">
        <v>2006</v>
      </c>
      <c r="L296" s="13" t="s">
        <v>2007</v>
      </c>
      <c r="M296" s="13" t="s">
        <v>2002</v>
      </c>
      <c r="N296" s="71" t="s">
        <v>2008</v>
      </c>
      <c r="O296" s="72" t="s">
        <v>2008</v>
      </c>
      <c r="P296" s="13" t="s">
        <v>2008</v>
      </c>
      <c r="Q296" s="13" t="s">
        <v>2008</v>
      </c>
      <c r="R296" s="13" t="s">
        <v>2008</v>
      </c>
      <c r="S296" s="13" t="s">
        <v>2008</v>
      </c>
      <c r="T296" s="13" t="s">
        <v>2003</v>
      </c>
      <c r="U296" s="13" t="s">
        <v>2004</v>
      </c>
      <c r="V296" s="13" t="s">
        <v>2005</v>
      </c>
      <c r="W296" s="13" t="s">
        <v>2006</v>
      </c>
      <c r="X296" s="13" t="s">
        <v>2007</v>
      </c>
      <c r="Y296" s="13" t="s">
        <v>2002</v>
      </c>
    </row>
    <row r="297" spans="3:25" ht="15.75" customHeight="1">
      <c r="C297" s="13">
        <v>1000</v>
      </c>
      <c r="D297" s="22" t="s">
        <v>192</v>
      </c>
      <c r="E297" s="13" t="s">
        <v>2001</v>
      </c>
      <c r="F297" s="13" t="s">
        <v>2002</v>
      </c>
      <c r="G297" s="13" t="s">
        <v>2002</v>
      </c>
      <c r="H297" s="13" t="s">
        <v>2003</v>
      </c>
      <c r="I297" s="13" t="s">
        <v>2004</v>
      </c>
      <c r="J297" s="13" t="s">
        <v>2005</v>
      </c>
      <c r="K297" s="13" t="s">
        <v>2006</v>
      </c>
      <c r="L297" s="13" t="s">
        <v>2007</v>
      </c>
      <c r="M297" s="13" t="s">
        <v>2002</v>
      </c>
      <c r="N297" s="71" t="s">
        <v>2008</v>
      </c>
      <c r="O297" s="72" t="s">
        <v>2008</v>
      </c>
      <c r="P297" s="13" t="s">
        <v>2008</v>
      </c>
      <c r="Q297" s="13" t="s">
        <v>2008</v>
      </c>
      <c r="R297" s="13" t="s">
        <v>2008</v>
      </c>
      <c r="S297" s="13" t="s">
        <v>2008</v>
      </c>
      <c r="T297" s="13" t="s">
        <v>2003</v>
      </c>
      <c r="U297" s="13" t="s">
        <v>2004</v>
      </c>
      <c r="V297" s="13" t="s">
        <v>2005</v>
      </c>
      <c r="W297" s="13" t="s">
        <v>2006</v>
      </c>
      <c r="X297" s="13" t="s">
        <v>2007</v>
      </c>
      <c r="Y297" s="13" t="s">
        <v>2002</v>
      </c>
    </row>
    <row r="298" spans="3:25" ht="15.75" customHeight="1">
      <c r="C298" s="13">
        <v>1000</v>
      </c>
      <c r="D298" s="22" t="s">
        <v>196</v>
      </c>
      <c r="E298" s="13" t="s">
        <v>2001</v>
      </c>
      <c r="F298" s="13" t="s">
        <v>2002</v>
      </c>
      <c r="G298" s="13" t="s">
        <v>2002</v>
      </c>
      <c r="H298" s="13" t="s">
        <v>2003</v>
      </c>
      <c r="I298" s="13" t="s">
        <v>2004</v>
      </c>
      <c r="J298" s="13" t="s">
        <v>2005</v>
      </c>
      <c r="K298" s="13" t="s">
        <v>2006</v>
      </c>
      <c r="L298" s="13" t="s">
        <v>2007</v>
      </c>
      <c r="M298" s="13" t="s">
        <v>2002</v>
      </c>
      <c r="N298" s="71" t="s">
        <v>2008</v>
      </c>
      <c r="O298" s="72" t="s">
        <v>2008</v>
      </c>
      <c r="P298" s="13" t="s">
        <v>2008</v>
      </c>
      <c r="Q298" s="13" t="s">
        <v>2008</v>
      </c>
      <c r="R298" s="13" t="s">
        <v>2008</v>
      </c>
      <c r="S298" s="13" t="s">
        <v>2008</v>
      </c>
      <c r="T298" s="13" t="s">
        <v>2003</v>
      </c>
      <c r="U298" s="13" t="s">
        <v>2004</v>
      </c>
      <c r="V298" s="13" t="s">
        <v>2005</v>
      </c>
      <c r="W298" s="13" t="s">
        <v>2006</v>
      </c>
      <c r="X298" s="13" t="s">
        <v>2007</v>
      </c>
      <c r="Y298" s="13" t="s">
        <v>2002</v>
      </c>
    </row>
    <row r="299" spans="3:25" ht="15.75" customHeight="1">
      <c r="C299" s="13">
        <v>1000</v>
      </c>
      <c r="D299" s="22" t="s">
        <v>200</v>
      </c>
      <c r="E299" s="13" t="s">
        <v>2001</v>
      </c>
      <c r="F299" s="13" t="s">
        <v>2002</v>
      </c>
      <c r="G299" s="13" t="s">
        <v>2002</v>
      </c>
      <c r="H299" s="13" t="s">
        <v>2003</v>
      </c>
      <c r="I299" s="13" t="s">
        <v>2004</v>
      </c>
      <c r="J299" s="13" t="s">
        <v>2005</v>
      </c>
      <c r="K299" s="13" t="s">
        <v>2006</v>
      </c>
      <c r="L299" s="13" t="s">
        <v>2007</v>
      </c>
      <c r="M299" s="13" t="s">
        <v>2002</v>
      </c>
      <c r="N299" s="71" t="s">
        <v>2008</v>
      </c>
      <c r="O299" s="72" t="s">
        <v>2008</v>
      </c>
      <c r="P299" s="13" t="s">
        <v>2008</v>
      </c>
      <c r="Q299" s="13" t="s">
        <v>2008</v>
      </c>
      <c r="R299" s="13" t="s">
        <v>2008</v>
      </c>
      <c r="S299" s="13" t="s">
        <v>2008</v>
      </c>
      <c r="T299" s="13" t="s">
        <v>2003</v>
      </c>
      <c r="U299" s="13" t="s">
        <v>2004</v>
      </c>
      <c r="V299" s="13" t="s">
        <v>2005</v>
      </c>
      <c r="W299" s="13" t="s">
        <v>2006</v>
      </c>
      <c r="X299" s="13" t="s">
        <v>2007</v>
      </c>
      <c r="Y299" s="13" t="s">
        <v>2002</v>
      </c>
    </row>
    <row r="300" spans="3:25" ht="17.25" customHeight="1">
      <c r="C300" s="13">
        <v>1000</v>
      </c>
      <c r="D300" s="22" t="s">
        <v>204</v>
      </c>
      <c r="E300" s="13" t="s">
        <v>2001</v>
      </c>
      <c r="F300" s="13" t="s">
        <v>2002</v>
      </c>
      <c r="G300" s="13" t="s">
        <v>2002</v>
      </c>
      <c r="H300" s="13" t="s">
        <v>2003</v>
      </c>
      <c r="I300" s="13" t="s">
        <v>2004</v>
      </c>
      <c r="J300" s="13" t="s">
        <v>2005</v>
      </c>
      <c r="K300" s="13" t="s">
        <v>2006</v>
      </c>
      <c r="L300" s="13" t="s">
        <v>2007</v>
      </c>
      <c r="M300" s="13" t="s">
        <v>2002</v>
      </c>
      <c r="N300" s="71" t="s">
        <v>2008</v>
      </c>
      <c r="O300" s="72" t="s">
        <v>2008</v>
      </c>
      <c r="P300" s="13" t="s">
        <v>2008</v>
      </c>
      <c r="Q300" s="13" t="s">
        <v>2008</v>
      </c>
      <c r="R300" s="13" t="s">
        <v>2008</v>
      </c>
      <c r="S300" s="13" t="s">
        <v>2008</v>
      </c>
      <c r="T300" s="13" t="s">
        <v>2003</v>
      </c>
      <c r="U300" s="13" t="s">
        <v>2004</v>
      </c>
      <c r="V300" s="13" t="s">
        <v>2005</v>
      </c>
      <c r="W300" s="13" t="s">
        <v>2006</v>
      </c>
      <c r="X300" s="13" t="s">
        <v>2007</v>
      </c>
      <c r="Y300" s="13" t="s">
        <v>2002</v>
      </c>
    </row>
    <row r="301" spans="3:25" ht="15.75" customHeight="1">
      <c r="C301" s="13">
        <v>2000</v>
      </c>
      <c r="D301" s="27" t="s">
        <v>522</v>
      </c>
      <c r="E301" s="13" t="s">
        <v>2001</v>
      </c>
      <c r="F301" s="13" t="s">
        <v>2002</v>
      </c>
      <c r="G301" s="13" t="s">
        <v>2002</v>
      </c>
      <c r="H301" s="13" t="s">
        <v>2003</v>
      </c>
      <c r="I301" s="13" t="s">
        <v>2004</v>
      </c>
      <c r="J301" s="13" t="s">
        <v>2005</v>
      </c>
      <c r="K301" s="13" t="s">
        <v>2006</v>
      </c>
      <c r="L301" s="13" t="s">
        <v>2007</v>
      </c>
      <c r="M301" s="13" t="s">
        <v>2002</v>
      </c>
      <c r="N301" s="71" t="s">
        <v>2008</v>
      </c>
      <c r="O301" s="72" t="s">
        <v>2008</v>
      </c>
      <c r="P301" s="13" t="s">
        <v>2008</v>
      </c>
      <c r="Q301" s="13" t="s">
        <v>2008</v>
      </c>
      <c r="R301" s="13" t="s">
        <v>2008</v>
      </c>
      <c r="S301" s="13" t="s">
        <v>2008</v>
      </c>
      <c r="T301" s="13" t="s">
        <v>2003</v>
      </c>
      <c r="U301" s="13" t="s">
        <v>2004</v>
      </c>
      <c r="V301" s="13" t="s">
        <v>2005</v>
      </c>
      <c r="W301" s="13" t="s">
        <v>2006</v>
      </c>
      <c r="X301" s="13" t="s">
        <v>2007</v>
      </c>
      <c r="Y301" s="13" t="s">
        <v>2002</v>
      </c>
    </row>
    <row r="302" spans="3:25" ht="15.75" customHeight="1">
      <c r="C302" s="13">
        <v>2000</v>
      </c>
      <c r="D302" s="27" t="s">
        <v>617</v>
      </c>
      <c r="E302" s="13" t="s">
        <v>2001</v>
      </c>
      <c r="F302" s="13" t="s">
        <v>2002</v>
      </c>
      <c r="G302" s="13" t="s">
        <v>2002</v>
      </c>
      <c r="H302" s="13" t="s">
        <v>2003</v>
      </c>
      <c r="I302" s="13" t="s">
        <v>2004</v>
      </c>
      <c r="J302" s="13" t="s">
        <v>2005</v>
      </c>
      <c r="K302" s="13" t="s">
        <v>2006</v>
      </c>
      <c r="L302" s="13" t="s">
        <v>2007</v>
      </c>
      <c r="M302" s="13" t="s">
        <v>2002</v>
      </c>
      <c r="N302" s="71" t="s">
        <v>2008</v>
      </c>
      <c r="O302" s="72" t="s">
        <v>2008</v>
      </c>
      <c r="P302" s="13" t="s">
        <v>2008</v>
      </c>
      <c r="Q302" s="13" t="s">
        <v>2008</v>
      </c>
      <c r="R302" s="13" t="s">
        <v>2008</v>
      </c>
      <c r="S302" s="13" t="s">
        <v>2008</v>
      </c>
      <c r="T302" s="13" t="s">
        <v>2003</v>
      </c>
      <c r="U302" s="13" t="s">
        <v>2004</v>
      </c>
      <c r="V302" s="13" t="s">
        <v>2005</v>
      </c>
      <c r="W302" s="13" t="s">
        <v>2006</v>
      </c>
      <c r="X302" s="13" t="s">
        <v>2007</v>
      </c>
      <c r="Y302" s="13" t="s">
        <v>2002</v>
      </c>
    </row>
    <row r="303" spans="3:25" ht="15.75" customHeight="1">
      <c r="C303" s="13">
        <v>2000</v>
      </c>
      <c r="D303" s="27" t="s">
        <v>623</v>
      </c>
      <c r="E303" s="13" t="s">
        <v>2001</v>
      </c>
      <c r="F303" s="13" t="s">
        <v>2002</v>
      </c>
      <c r="G303" s="13" t="s">
        <v>2002</v>
      </c>
      <c r="H303" s="13" t="s">
        <v>2003</v>
      </c>
      <c r="I303" s="13" t="s">
        <v>2004</v>
      </c>
      <c r="J303" s="13" t="s">
        <v>2005</v>
      </c>
      <c r="K303" s="13" t="s">
        <v>2006</v>
      </c>
      <c r="L303" s="13" t="s">
        <v>2007</v>
      </c>
      <c r="M303" s="13" t="s">
        <v>2002</v>
      </c>
      <c r="N303" s="71" t="s">
        <v>2008</v>
      </c>
      <c r="O303" s="72" t="s">
        <v>2008</v>
      </c>
      <c r="P303" s="13" t="s">
        <v>2008</v>
      </c>
      <c r="Q303" s="13" t="s">
        <v>2008</v>
      </c>
      <c r="R303" s="13" t="s">
        <v>2008</v>
      </c>
      <c r="S303" s="13" t="s">
        <v>2008</v>
      </c>
      <c r="T303" s="13" t="s">
        <v>2003</v>
      </c>
      <c r="U303" s="13" t="s">
        <v>2004</v>
      </c>
      <c r="V303" s="13" t="s">
        <v>2005</v>
      </c>
      <c r="W303" s="13" t="s">
        <v>2006</v>
      </c>
      <c r="X303" s="13" t="s">
        <v>2007</v>
      </c>
      <c r="Y303" s="13" t="s">
        <v>2002</v>
      </c>
    </row>
    <row r="304" spans="3:25" ht="15.75" customHeight="1">
      <c r="C304" s="13">
        <v>2000</v>
      </c>
      <c r="D304" s="27" t="s">
        <v>747</v>
      </c>
      <c r="E304" s="13" t="s">
        <v>2001</v>
      </c>
      <c r="F304" s="13" t="s">
        <v>2002</v>
      </c>
      <c r="G304" s="13" t="s">
        <v>2002</v>
      </c>
      <c r="H304" s="13" t="s">
        <v>2003</v>
      </c>
      <c r="I304" s="13" t="s">
        <v>2004</v>
      </c>
      <c r="J304" s="13" t="s">
        <v>2005</v>
      </c>
      <c r="K304" s="13" t="s">
        <v>2006</v>
      </c>
      <c r="L304" s="13" t="s">
        <v>2007</v>
      </c>
      <c r="M304" s="13" t="s">
        <v>2002</v>
      </c>
      <c r="N304" s="71" t="s">
        <v>2008</v>
      </c>
      <c r="O304" s="72" t="s">
        <v>2008</v>
      </c>
      <c r="P304" s="13" t="s">
        <v>2008</v>
      </c>
      <c r="Q304" s="13" t="s">
        <v>2008</v>
      </c>
      <c r="R304" s="13" t="s">
        <v>2008</v>
      </c>
      <c r="S304" s="13" t="s">
        <v>2008</v>
      </c>
      <c r="T304" s="13" t="s">
        <v>2003</v>
      </c>
      <c r="U304" s="13" t="s">
        <v>2004</v>
      </c>
      <c r="V304" s="13" t="s">
        <v>2005</v>
      </c>
      <c r="W304" s="13" t="s">
        <v>2006</v>
      </c>
      <c r="X304" s="13" t="s">
        <v>2007</v>
      </c>
      <c r="Y304" s="13" t="s">
        <v>2002</v>
      </c>
    </row>
    <row r="305" spans="3:25" ht="15.75" customHeight="1">
      <c r="C305" s="13">
        <v>2000</v>
      </c>
      <c r="D305" s="27" t="s">
        <v>754</v>
      </c>
      <c r="E305" s="13" t="s">
        <v>2001</v>
      </c>
      <c r="F305" s="13" t="s">
        <v>2002</v>
      </c>
      <c r="G305" s="13" t="s">
        <v>2002</v>
      </c>
      <c r="H305" s="13" t="s">
        <v>2003</v>
      </c>
      <c r="I305" s="13" t="s">
        <v>2004</v>
      </c>
      <c r="J305" s="13" t="s">
        <v>2005</v>
      </c>
      <c r="K305" s="13" t="s">
        <v>2006</v>
      </c>
      <c r="L305" s="13" t="s">
        <v>2007</v>
      </c>
      <c r="M305" s="13" t="s">
        <v>2002</v>
      </c>
      <c r="N305" s="71" t="s">
        <v>2008</v>
      </c>
      <c r="O305" s="72" t="s">
        <v>2008</v>
      </c>
      <c r="P305" s="13" t="s">
        <v>2008</v>
      </c>
      <c r="Q305" s="13" t="s">
        <v>2008</v>
      </c>
      <c r="R305" s="13" t="s">
        <v>2008</v>
      </c>
      <c r="S305" s="13" t="s">
        <v>2008</v>
      </c>
      <c r="T305" s="13" t="s">
        <v>2003</v>
      </c>
      <c r="U305" s="13" t="s">
        <v>2004</v>
      </c>
      <c r="V305" s="13" t="s">
        <v>2005</v>
      </c>
      <c r="W305" s="13" t="s">
        <v>2006</v>
      </c>
      <c r="X305" s="13" t="s">
        <v>2007</v>
      </c>
      <c r="Y305" s="13" t="s">
        <v>2002</v>
      </c>
    </row>
    <row r="306" spans="3:25" ht="15.75" customHeight="1">
      <c r="C306" s="13">
        <v>2000</v>
      </c>
      <c r="D306" s="27" t="s">
        <v>758</v>
      </c>
      <c r="E306" s="13" t="s">
        <v>2001</v>
      </c>
      <c r="F306" s="13" t="s">
        <v>2002</v>
      </c>
      <c r="G306" s="13" t="s">
        <v>2002</v>
      </c>
      <c r="H306" s="13" t="s">
        <v>2003</v>
      </c>
      <c r="I306" s="13" t="s">
        <v>2004</v>
      </c>
      <c r="J306" s="13" t="s">
        <v>2005</v>
      </c>
      <c r="K306" s="13" t="s">
        <v>2006</v>
      </c>
      <c r="L306" s="13" t="s">
        <v>2007</v>
      </c>
      <c r="M306" s="13" t="s">
        <v>2002</v>
      </c>
      <c r="N306" s="71" t="s">
        <v>2008</v>
      </c>
      <c r="O306" s="72" t="s">
        <v>2008</v>
      </c>
      <c r="P306" s="13" t="s">
        <v>2008</v>
      </c>
      <c r="Q306" s="13" t="s">
        <v>2008</v>
      </c>
      <c r="R306" s="13" t="s">
        <v>2008</v>
      </c>
      <c r="S306" s="13" t="s">
        <v>2008</v>
      </c>
      <c r="T306" s="13" t="s">
        <v>2003</v>
      </c>
      <c r="U306" s="13" t="s">
        <v>2004</v>
      </c>
      <c r="V306" s="13" t="s">
        <v>2005</v>
      </c>
      <c r="W306" s="13" t="s">
        <v>2006</v>
      </c>
      <c r="X306" s="13" t="s">
        <v>2007</v>
      </c>
      <c r="Y306" s="13" t="s">
        <v>2002</v>
      </c>
    </row>
    <row r="307" spans="3:25" ht="15.75" customHeight="1">
      <c r="C307" s="13">
        <v>2000</v>
      </c>
      <c r="D307" s="27" t="s">
        <v>763</v>
      </c>
      <c r="E307" s="13" t="s">
        <v>2001</v>
      </c>
      <c r="F307" s="13" t="s">
        <v>2002</v>
      </c>
      <c r="G307" s="13" t="s">
        <v>2002</v>
      </c>
      <c r="H307" s="13" t="s">
        <v>2003</v>
      </c>
      <c r="I307" s="13" t="s">
        <v>2004</v>
      </c>
      <c r="J307" s="13" t="s">
        <v>2005</v>
      </c>
      <c r="K307" s="13" t="s">
        <v>2006</v>
      </c>
      <c r="L307" s="13" t="s">
        <v>2007</v>
      </c>
      <c r="M307" s="13" t="s">
        <v>2002</v>
      </c>
      <c r="N307" s="71" t="s">
        <v>2008</v>
      </c>
      <c r="O307" s="72" t="s">
        <v>2008</v>
      </c>
      <c r="P307" s="13" t="s">
        <v>2008</v>
      </c>
      <c r="Q307" s="13" t="s">
        <v>2008</v>
      </c>
      <c r="R307" s="13" t="s">
        <v>2008</v>
      </c>
      <c r="S307" s="13" t="s">
        <v>2008</v>
      </c>
      <c r="T307" s="13" t="s">
        <v>2003</v>
      </c>
      <c r="U307" s="13" t="s">
        <v>2004</v>
      </c>
      <c r="V307" s="13" t="s">
        <v>2005</v>
      </c>
      <c r="W307" s="13" t="s">
        <v>2006</v>
      </c>
      <c r="X307" s="13" t="s">
        <v>2007</v>
      </c>
      <c r="Y307" s="13" t="s">
        <v>2002</v>
      </c>
    </row>
    <row r="308" spans="3:25" ht="15.75" customHeight="1">
      <c r="C308" s="13">
        <v>2000</v>
      </c>
      <c r="D308" s="27" t="s">
        <v>767</v>
      </c>
      <c r="E308" s="13" t="s">
        <v>2001</v>
      </c>
      <c r="F308" s="13" t="s">
        <v>2002</v>
      </c>
      <c r="G308" s="13" t="s">
        <v>2002</v>
      </c>
      <c r="H308" s="13" t="s">
        <v>2003</v>
      </c>
      <c r="I308" s="13" t="s">
        <v>2004</v>
      </c>
      <c r="J308" s="13" t="s">
        <v>2005</v>
      </c>
      <c r="K308" s="13" t="s">
        <v>2006</v>
      </c>
      <c r="L308" s="13" t="s">
        <v>2007</v>
      </c>
      <c r="M308" s="13" t="s">
        <v>2002</v>
      </c>
      <c r="N308" s="71" t="s">
        <v>2008</v>
      </c>
      <c r="O308" s="72" t="s">
        <v>2008</v>
      </c>
      <c r="P308" s="13" t="s">
        <v>2008</v>
      </c>
      <c r="Q308" s="13" t="s">
        <v>2008</v>
      </c>
      <c r="R308" s="13" t="s">
        <v>2008</v>
      </c>
      <c r="S308" s="13" t="s">
        <v>2008</v>
      </c>
      <c r="T308" s="13" t="s">
        <v>2003</v>
      </c>
      <c r="U308" s="13" t="s">
        <v>2004</v>
      </c>
      <c r="V308" s="13" t="s">
        <v>2005</v>
      </c>
      <c r="W308" s="13" t="s">
        <v>2006</v>
      </c>
      <c r="X308" s="13" t="s">
        <v>2007</v>
      </c>
      <c r="Y308" s="13" t="s">
        <v>2002</v>
      </c>
    </row>
    <row r="309" spans="3:25" ht="15.75" customHeight="1">
      <c r="C309" s="13">
        <v>2000</v>
      </c>
      <c r="D309" s="27" t="s">
        <v>771</v>
      </c>
      <c r="E309" s="13" t="s">
        <v>2001</v>
      </c>
      <c r="F309" s="13" t="s">
        <v>2002</v>
      </c>
      <c r="G309" s="13" t="s">
        <v>2002</v>
      </c>
      <c r="H309" s="13" t="s">
        <v>2003</v>
      </c>
      <c r="I309" s="13" t="s">
        <v>2004</v>
      </c>
      <c r="J309" s="13" t="s">
        <v>2005</v>
      </c>
      <c r="K309" s="13" t="s">
        <v>2006</v>
      </c>
      <c r="L309" s="13" t="s">
        <v>2007</v>
      </c>
      <c r="M309" s="13" t="s">
        <v>2002</v>
      </c>
      <c r="N309" s="71" t="s">
        <v>2008</v>
      </c>
      <c r="O309" s="72" t="s">
        <v>2008</v>
      </c>
      <c r="P309" s="13" t="s">
        <v>2008</v>
      </c>
      <c r="Q309" s="13" t="s">
        <v>2008</v>
      </c>
      <c r="R309" s="13" t="s">
        <v>2008</v>
      </c>
      <c r="S309" s="13" t="s">
        <v>2008</v>
      </c>
      <c r="T309" s="13" t="s">
        <v>2003</v>
      </c>
      <c r="U309" s="13" t="s">
        <v>2004</v>
      </c>
      <c r="V309" s="13" t="s">
        <v>2005</v>
      </c>
      <c r="W309" s="13" t="s">
        <v>2006</v>
      </c>
      <c r="X309" s="13" t="s">
        <v>2007</v>
      </c>
      <c r="Y309" s="13" t="s">
        <v>2002</v>
      </c>
    </row>
    <row r="310" spans="3:25" ht="15.75" customHeight="1">
      <c r="C310" s="13">
        <v>2000</v>
      </c>
      <c r="D310" s="68" t="s">
        <v>774</v>
      </c>
      <c r="E310" s="13" t="s">
        <v>2001</v>
      </c>
      <c r="F310" s="13" t="s">
        <v>2002</v>
      </c>
      <c r="G310" s="13" t="s">
        <v>2002</v>
      </c>
      <c r="H310" s="13" t="s">
        <v>2003</v>
      </c>
      <c r="I310" s="13" t="s">
        <v>2004</v>
      </c>
      <c r="J310" s="13" t="s">
        <v>2005</v>
      </c>
      <c r="K310" s="13" t="s">
        <v>2006</v>
      </c>
      <c r="L310" s="13" t="s">
        <v>2007</v>
      </c>
      <c r="M310" s="13" t="s">
        <v>2002</v>
      </c>
      <c r="N310" s="71" t="s">
        <v>2008</v>
      </c>
      <c r="O310" s="72" t="s">
        <v>2008</v>
      </c>
      <c r="P310" s="13" t="s">
        <v>2008</v>
      </c>
      <c r="Q310" s="13" t="s">
        <v>2008</v>
      </c>
      <c r="R310" s="13" t="s">
        <v>2008</v>
      </c>
      <c r="S310" s="13" t="s">
        <v>2008</v>
      </c>
      <c r="T310" s="13" t="s">
        <v>2003</v>
      </c>
      <c r="U310" s="13" t="s">
        <v>2004</v>
      </c>
      <c r="V310" s="13" t="s">
        <v>2005</v>
      </c>
      <c r="W310" s="13" t="s">
        <v>2006</v>
      </c>
      <c r="X310" s="13" t="s">
        <v>2007</v>
      </c>
      <c r="Y310" s="13" t="s">
        <v>2002</v>
      </c>
    </row>
    <row r="311" spans="3:25" ht="15.75" customHeight="1">
      <c r="D311" s="68"/>
      <c r="M311" s="69"/>
      <c r="N311" s="70"/>
      <c r="O311" s="71"/>
      <c r="P311" s="72"/>
    </row>
    <row r="312" spans="3:25" ht="15.75" customHeight="1">
      <c r="D312" s="68"/>
      <c r="M312" s="69"/>
      <c r="N312" s="70"/>
      <c r="O312" s="71"/>
      <c r="P312" s="72"/>
    </row>
    <row r="313" spans="3:25" ht="15.75" customHeight="1">
      <c r="D313" s="68"/>
      <c r="M313" s="69"/>
      <c r="N313" s="70"/>
      <c r="O313" s="71"/>
      <c r="P313" s="72"/>
    </row>
    <row r="314" spans="3:25" ht="15.75" customHeight="1">
      <c r="D314" s="68"/>
      <c r="H314" s="13" t="s">
        <v>2003</v>
      </c>
      <c r="I314" s="13" t="s">
        <v>2004</v>
      </c>
      <c r="J314" s="13" t="s">
        <v>2005</v>
      </c>
      <c r="K314" s="13" t="s">
        <v>2006</v>
      </c>
      <c r="L314" s="13" t="s">
        <v>2007</v>
      </c>
      <c r="M314" s="13" t="s">
        <v>2002</v>
      </c>
      <c r="N314" s="70"/>
      <c r="O314" s="71"/>
      <c r="P314" s="72"/>
    </row>
    <row r="315" spans="3:25" ht="15.75" customHeight="1">
      <c r="D315" s="68"/>
      <c r="M315" s="69"/>
      <c r="N315" s="70"/>
      <c r="O315" s="71"/>
      <c r="P315" s="72"/>
    </row>
    <row r="316" spans="3:25" ht="15.75" customHeight="1">
      <c r="D316" s="68"/>
      <c r="H316" s="13" t="s">
        <v>2003</v>
      </c>
      <c r="M316" s="69"/>
      <c r="N316" s="70"/>
      <c r="O316" s="71"/>
      <c r="P316" s="72"/>
    </row>
    <row r="317" spans="3:25" ht="15.75" customHeight="1">
      <c r="D317" s="68"/>
      <c r="H317" s="13" t="s">
        <v>2004</v>
      </c>
      <c r="M317" s="69"/>
      <c r="N317" s="70"/>
      <c r="O317" s="71"/>
      <c r="P317" s="72"/>
    </row>
    <row r="318" spans="3:25" ht="15.75" customHeight="1">
      <c r="D318" s="68"/>
      <c r="H318" s="13" t="s">
        <v>2005</v>
      </c>
      <c r="M318" s="69"/>
      <c r="N318" s="70"/>
      <c r="O318" s="71"/>
      <c r="P318" s="72"/>
    </row>
    <row r="319" spans="3:25" ht="15.75" customHeight="1">
      <c r="C319" s="13" t="s">
        <v>2009</v>
      </c>
      <c r="D319" s="68" t="s">
        <v>1993</v>
      </c>
      <c r="H319" s="13" t="s">
        <v>2006</v>
      </c>
      <c r="M319" s="69"/>
      <c r="N319" s="70"/>
      <c r="O319" s="71"/>
      <c r="P319" s="72"/>
    </row>
    <row r="320" spans="3:25" ht="15.75" customHeight="1">
      <c r="C320" s="13" t="s">
        <v>2010</v>
      </c>
      <c r="D320" s="68" t="s">
        <v>1994</v>
      </c>
      <c r="F320" s="134"/>
      <c r="H320" s="13" t="s">
        <v>2007</v>
      </c>
      <c r="M320" s="69"/>
      <c r="N320" s="70"/>
      <c r="O320" s="71"/>
      <c r="P320" s="72"/>
    </row>
    <row r="321" spans="3:16" ht="15.75" customHeight="1">
      <c r="C321" s="13" t="s">
        <v>2011</v>
      </c>
      <c r="D321" s="68" t="s">
        <v>1995</v>
      </c>
      <c r="H321" s="13" t="s">
        <v>2002</v>
      </c>
      <c r="M321" s="69"/>
      <c r="N321" s="70"/>
      <c r="O321" s="71"/>
      <c r="P321" s="72"/>
    </row>
    <row r="322" spans="3:16" ht="15.75" customHeight="1">
      <c r="C322" s="13" t="s">
        <v>2012</v>
      </c>
      <c r="D322" s="68" t="s">
        <v>1996</v>
      </c>
      <c r="M322" s="69"/>
      <c r="N322" s="70"/>
      <c r="O322" s="71"/>
      <c r="P322" s="72"/>
    </row>
    <row r="323" spans="3:16" ht="15.75" customHeight="1">
      <c r="C323" s="13" t="s">
        <v>2013</v>
      </c>
      <c r="D323" s="68" t="s">
        <v>1997</v>
      </c>
      <c r="M323" s="69"/>
      <c r="N323" s="70"/>
      <c r="O323" s="71"/>
      <c r="P323" s="72"/>
    </row>
    <row r="324" spans="3:16" ht="15.75" customHeight="1">
      <c r="C324" s="13" t="s">
        <v>2014</v>
      </c>
      <c r="D324" s="68" t="s">
        <v>1998</v>
      </c>
      <c r="M324" s="69"/>
      <c r="N324" s="70"/>
      <c r="O324" s="71"/>
      <c r="P324" s="72"/>
    </row>
    <row r="325" spans="3:16" ht="15.75" customHeight="1">
      <c r="C325" s="13" t="s">
        <v>2015</v>
      </c>
      <c r="D325" s="68" t="s">
        <v>1998</v>
      </c>
      <c r="M325" s="69"/>
      <c r="N325" s="70"/>
      <c r="O325" s="71"/>
      <c r="P325" s="72"/>
    </row>
    <row r="326" spans="3:16" ht="15.75" customHeight="1">
      <c r="C326" s="13" t="s">
        <v>2016</v>
      </c>
      <c r="D326" s="68" t="s">
        <v>1998</v>
      </c>
      <c r="M326" s="69"/>
      <c r="N326" s="70"/>
      <c r="O326" s="71"/>
      <c r="P326" s="72"/>
    </row>
    <row r="327" spans="3:16" ht="15.75" customHeight="1">
      <c r="C327" s="13" t="s">
        <v>2017</v>
      </c>
      <c r="D327" s="68" t="s">
        <v>1998</v>
      </c>
      <c r="M327" s="69"/>
      <c r="N327" s="70"/>
      <c r="O327" s="71"/>
      <c r="P327" s="72"/>
    </row>
    <row r="328" spans="3:16" ht="15.75" customHeight="1">
      <c r="C328" s="13" t="s">
        <v>2018</v>
      </c>
      <c r="D328" s="68" t="s">
        <v>1998</v>
      </c>
      <c r="M328" s="69"/>
      <c r="N328" s="70"/>
      <c r="O328" s="71"/>
      <c r="P328" s="72"/>
    </row>
    <row r="329" spans="3:16" ht="15.75" customHeight="1">
      <c r="C329" s="13" t="s">
        <v>2019</v>
      </c>
      <c r="D329" s="68" t="s">
        <v>1998</v>
      </c>
      <c r="M329" s="69"/>
      <c r="N329" s="70"/>
      <c r="O329" s="71"/>
      <c r="P329" s="72"/>
    </row>
    <row r="330" spans="3:16" ht="15.75" customHeight="1">
      <c r="C330" s="13" t="s">
        <v>2020</v>
      </c>
      <c r="D330" s="68" t="s">
        <v>1999</v>
      </c>
      <c r="M330" s="69"/>
      <c r="N330" s="70"/>
      <c r="O330" s="71"/>
      <c r="P330" s="72"/>
    </row>
    <row r="331" spans="3:16" ht="15.75" customHeight="1">
      <c r="C331" s="13" t="s">
        <v>2021</v>
      </c>
      <c r="D331" s="68" t="s">
        <v>1999</v>
      </c>
      <c r="M331" s="69"/>
      <c r="N331" s="70"/>
      <c r="O331" s="71"/>
      <c r="P331" s="72"/>
    </row>
    <row r="332" spans="3:16" ht="15.75" customHeight="1">
      <c r="C332" s="13" t="s">
        <v>2022</v>
      </c>
      <c r="D332" s="68" t="s">
        <v>1999</v>
      </c>
      <c r="M332" s="69"/>
      <c r="N332" s="70"/>
      <c r="O332" s="71"/>
      <c r="P332" s="72"/>
    </row>
    <row r="333" spans="3:16" ht="15.75" customHeight="1">
      <c r="C333" s="13" t="s">
        <v>2023</v>
      </c>
      <c r="D333" s="68" t="s">
        <v>1999</v>
      </c>
      <c r="M333" s="69"/>
      <c r="N333" s="70"/>
      <c r="O333" s="71"/>
      <c r="P333" s="72"/>
    </row>
    <row r="334" spans="3:16" ht="15.75" customHeight="1">
      <c r="C334" s="13" t="s">
        <v>2024</v>
      </c>
      <c r="D334" s="68" t="s">
        <v>1999</v>
      </c>
      <c r="M334" s="69"/>
      <c r="N334" s="70"/>
      <c r="O334" s="71"/>
      <c r="P334" s="72"/>
    </row>
    <row r="335" spans="3:16" ht="15.75" customHeight="1">
      <c r="C335" s="13" t="s">
        <v>2025</v>
      </c>
      <c r="D335" s="68" t="s">
        <v>1999</v>
      </c>
      <c r="M335" s="69"/>
      <c r="N335" s="70"/>
      <c r="O335" s="71"/>
      <c r="P335" s="72"/>
    </row>
    <row r="336" spans="3:16" ht="15.75" customHeight="1">
      <c r="C336" s="13" t="s">
        <v>2026</v>
      </c>
      <c r="D336" s="68" t="s">
        <v>2000</v>
      </c>
      <c r="M336" s="69"/>
      <c r="N336" s="70"/>
      <c r="O336" s="71"/>
      <c r="P336" s="72"/>
    </row>
    <row r="337" spans="3:16" ht="15.75" customHeight="1">
      <c r="C337" s="13" t="s">
        <v>2027</v>
      </c>
      <c r="D337" s="68" t="s">
        <v>2000</v>
      </c>
      <c r="M337" s="69"/>
      <c r="N337" s="70"/>
      <c r="O337" s="71"/>
      <c r="P337" s="72"/>
    </row>
    <row r="338" spans="3:16" ht="15.75" customHeight="1">
      <c r="C338" s="13" t="s">
        <v>2028</v>
      </c>
      <c r="D338" s="68" t="s">
        <v>2000</v>
      </c>
      <c r="M338" s="69"/>
      <c r="N338" s="70"/>
      <c r="O338" s="71"/>
      <c r="P338" s="72"/>
    </row>
    <row r="339" spans="3:16" ht="15.75" customHeight="1">
      <c r="C339" s="13" t="s">
        <v>2029</v>
      </c>
      <c r="D339" s="68" t="s">
        <v>2000</v>
      </c>
      <c r="M339" s="69"/>
      <c r="N339" s="70"/>
      <c r="O339" s="71"/>
      <c r="P339" s="72"/>
    </row>
    <row r="340" spans="3:16" ht="15.75" customHeight="1">
      <c r="C340" s="13" t="s">
        <v>2030</v>
      </c>
      <c r="D340" s="68" t="s">
        <v>2000</v>
      </c>
      <c r="M340" s="69"/>
      <c r="N340" s="70"/>
      <c r="O340" s="71"/>
      <c r="P340" s="72"/>
    </row>
    <row r="341" spans="3:16" ht="15.75" customHeight="1">
      <c r="C341" s="13" t="s">
        <v>2031</v>
      </c>
      <c r="D341" s="68" t="s">
        <v>2000</v>
      </c>
      <c r="M341" s="69"/>
      <c r="N341" s="70"/>
      <c r="O341" s="71"/>
      <c r="P341" s="72"/>
    </row>
    <row r="342" spans="3:16" ht="15.75" customHeight="1">
      <c r="D342" s="68"/>
      <c r="M342" s="69"/>
      <c r="N342" s="70"/>
      <c r="O342" s="71"/>
      <c r="P342" s="72"/>
    </row>
    <row r="343" spans="3:16" ht="15.75" customHeight="1">
      <c r="D343" s="68"/>
      <c r="M343" s="69"/>
      <c r="N343" s="70"/>
      <c r="O343" s="71"/>
      <c r="P343" s="72"/>
    </row>
    <row r="344" spans="3:16" ht="15.75" customHeight="1">
      <c r="D344" s="68"/>
      <c r="M344" s="69"/>
      <c r="N344" s="70"/>
      <c r="O344" s="71"/>
      <c r="P344" s="72"/>
    </row>
    <row r="345" spans="3:16" ht="15.75" customHeight="1">
      <c r="D345" s="68"/>
      <c r="M345" s="69"/>
      <c r="N345" s="70"/>
      <c r="O345" s="71"/>
      <c r="P345" s="72"/>
    </row>
    <row r="346" spans="3:16" ht="15.75" customHeight="1">
      <c r="D346" s="68"/>
      <c r="M346" s="69"/>
      <c r="N346" s="70"/>
      <c r="O346" s="71"/>
      <c r="P346" s="72"/>
    </row>
    <row r="347" spans="3:16" ht="15.75" customHeight="1">
      <c r="D347" s="68"/>
      <c r="M347" s="69"/>
      <c r="N347" s="70"/>
      <c r="O347" s="71"/>
      <c r="P347" s="72"/>
    </row>
    <row r="348" spans="3:16" ht="15.75" customHeight="1">
      <c r="D348" s="68"/>
      <c r="M348" s="69"/>
      <c r="N348" s="70"/>
      <c r="O348" s="71"/>
      <c r="P348" s="72"/>
    </row>
    <row r="349" spans="3:16" ht="15.75" customHeight="1">
      <c r="D349" s="68"/>
      <c r="M349" s="69"/>
      <c r="N349" s="70"/>
      <c r="O349" s="71"/>
      <c r="P349" s="72"/>
    </row>
    <row r="350" spans="3:16" ht="15.75" customHeight="1">
      <c r="D350" s="68"/>
      <c r="M350" s="69"/>
      <c r="N350" s="70"/>
      <c r="O350" s="71"/>
      <c r="P350" s="72"/>
    </row>
    <row r="351" spans="3:16" ht="15.75" customHeight="1">
      <c r="D351" s="68"/>
      <c r="M351" s="69"/>
      <c r="N351" s="70"/>
      <c r="O351" s="71"/>
      <c r="P351" s="72"/>
    </row>
    <row r="352" spans="3:16" ht="15.75" customHeight="1">
      <c r="D352" s="68"/>
      <c r="M352" s="69"/>
      <c r="N352" s="70"/>
      <c r="O352" s="71"/>
      <c r="P352" s="72"/>
    </row>
    <row r="353" spans="4:16" ht="15.75" customHeight="1">
      <c r="D353" s="68"/>
      <c r="M353" s="69"/>
      <c r="N353" s="70"/>
      <c r="O353" s="71"/>
      <c r="P353" s="72"/>
    </row>
    <row r="354" spans="4:16" ht="15.75" customHeight="1">
      <c r="D354" s="68"/>
      <c r="M354" s="69"/>
      <c r="N354" s="70"/>
      <c r="O354" s="71"/>
      <c r="P354" s="72"/>
    </row>
    <row r="355" spans="4:16" ht="15.75" customHeight="1">
      <c r="D355" s="68"/>
      <c r="M355" s="69"/>
      <c r="N355" s="70"/>
      <c r="O355" s="71"/>
      <c r="P355" s="72"/>
    </row>
    <row r="356" spans="4:16" ht="15.75" customHeight="1">
      <c r="D356" s="68"/>
      <c r="M356" s="69"/>
      <c r="N356" s="70"/>
      <c r="O356" s="71"/>
      <c r="P356" s="72"/>
    </row>
    <row r="357" spans="4:16" ht="15.75" customHeight="1">
      <c r="D357" s="68"/>
      <c r="M357" s="69"/>
      <c r="N357" s="70"/>
      <c r="O357" s="71"/>
      <c r="P357" s="72"/>
    </row>
    <row r="358" spans="4:16" ht="15.75" customHeight="1">
      <c r="D358" s="68"/>
      <c r="M358" s="69"/>
      <c r="N358" s="70"/>
      <c r="O358" s="71"/>
      <c r="P358" s="72"/>
    </row>
    <row r="359" spans="4:16" ht="15.75" customHeight="1">
      <c r="D359" s="68"/>
      <c r="M359" s="69"/>
      <c r="N359" s="70"/>
      <c r="O359" s="71"/>
      <c r="P359" s="72"/>
    </row>
    <row r="360" spans="4:16" ht="15.75" customHeight="1">
      <c r="D360" s="68"/>
      <c r="M360" s="69"/>
      <c r="N360" s="70"/>
      <c r="O360" s="71"/>
      <c r="P360" s="72"/>
    </row>
    <row r="361" spans="4:16" ht="15.75" customHeight="1">
      <c r="D361" s="68"/>
      <c r="M361" s="69"/>
      <c r="N361" s="70"/>
      <c r="O361" s="71"/>
      <c r="P361" s="72"/>
    </row>
    <row r="362" spans="4:16" ht="15.75" customHeight="1">
      <c r="D362" s="68"/>
      <c r="M362" s="69"/>
      <c r="N362" s="70"/>
      <c r="O362" s="71"/>
      <c r="P362" s="72"/>
    </row>
    <row r="363" spans="4:16" ht="15.75" customHeight="1">
      <c r="D363" s="68"/>
      <c r="M363" s="69"/>
      <c r="N363" s="70"/>
      <c r="O363" s="71"/>
      <c r="P363" s="72"/>
    </row>
    <row r="364" spans="4:16" ht="15.75" customHeight="1">
      <c r="D364" s="68"/>
      <c r="M364" s="69"/>
      <c r="N364" s="70"/>
      <c r="O364" s="71"/>
      <c r="P364" s="72"/>
    </row>
    <row r="365" spans="4:16" ht="15.75" customHeight="1">
      <c r="D365" s="68"/>
      <c r="M365" s="69"/>
      <c r="N365" s="70"/>
      <c r="O365" s="71"/>
      <c r="P365" s="72"/>
    </row>
    <row r="366" spans="4:16" ht="15.75" customHeight="1">
      <c r="D366" s="68"/>
      <c r="M366" s="69"/>
      <c r="N366" s="70"/>
      <c r="O366" s="71"/>
      <c r="P366" s="72"/>
    </row>
    <row r="367" spans="4:16" ht="15.75" customHeight="1">
      <c r="D367" s="68"/>
      <c r="M367" s="69"/>
      <c r="N367" s="70"/>
      <c r="O367" s="71"/>
      <c r="P367" s="72"/>
    </row>
    <row r="368" spans="4:16" ht="15.75" customHeight="1">
      <c r="D368" s="68"/>
      <c r="M368" s="69"/>
      <c r="N368" s="70"/>
      <c r="O368" s="71"/>
      <c r="P368" s="72"/>
    </row>
    <row r="369" spans="4:16" ht="15.75" customHeight="1">
      <c r="D369" s="68"/>
      <c r="M369" s="69"/>
      <c r="N369" s="70"/>
      <c r="O369" s="71"/>
      <c r="P369" s="72"/>
    </row>
    <row r="370" spans="4:16" ht="15.75" customHeight="1">
      <c r="D370" s="68"/>
      <c r="M370" s="69"/>
      <c r="N370" s="70"/>
      <c r="O370" s="71"/>
      <c r="P370" s="72"/>
    </row>
    <row r="371" spans="4:16" ht="15.75" customHeight="1">
      <c r="D371" s="68"/>
      <c r="M371" s="69"/>
      <c r="N371" s="70"/>
      <c r="O371" s="71"/>
      <c r="P371" s="72"/>
    </row>
    <row r="372" spans="4:16" ht="15.75" customHeight="1">
      <c r="D372" s="68"/>
      <c r="M372" s="69"/>
      <c r="N372" s="70"/>
      <c r="O372" s="71"/>
      <c r="P372" s="72"/>
    </row>
    <row r="373" spans="4:16" ht="15.75" customHeight="1">
      <c r="D373" s="68"/>
      <c r="M373" s="69"/>
      <c r="N373" s="70"/>
      <c r="O373" s="71"/>
      <c r="P373" s="72"/>
    </row>
    <row r="374" spans="4:16" ht="15.75" customHeight="1">
      <c r="D374" s="68"/>
      <c r="M374" s="69"/>
      <c r="N374" s="70"/>
      <c r="O374" s="71"/>
      <c r="P374" s="72"/>
    </row>
    <row r="375" spans="4:16" ht="15.75" customHeight="1">
      <c r="D375" s="68"/>
      <c r="M375" s="69"/>
      <c r="N375" s="70"/>
      <c r="O375" s="71"/>
      <c r="P375" s="72"/>
    </row>
    <row r="376" spans="4:16" ht="15.75" customHeight="1">
      <c r="D376" s="68"/>
      <c r="M376" s="69"/>
      <c r="N376" s="70"/>
      <c r="O376" s="71"/>
      <c r="P376" s="72"/>
    </row>
    <row r="377" spans="4:16" ht="15.75" customHeight="1">
      <c r="D377" s="68"/>
      <c r="M377" s="69"/>
      <c r="N377" s="70"/>
      <c r="O377" s="71"/>
      <c r="P377" s="72"/>
    </row>
    <row r="378" spans="4:16" ht="15.75" customHeight="1">
      <c r="D378" s="68"/>
      <c r="M378" s="69"/>
      <c r="N378" s="70"/>
      <c r="O378" s="71"/>
      <c r="P378" s="72"/>
    </row>
    <row r="379" spans="4:16" ht="15.75" customHeight="1">
      <c r="D379" s="68"/>
      <c r="M379" s="69"/>
      <c r="N379" s="70"/>
      <c r="O379" s="71"/>
      <c r="P379" s="72"/>
    </row>
    <row r="380" spans="4:16" ht="15.75" customHeight="1">
      <c r="D380" s="68"/>
      <c r="M380" s="69"/>
      <c r="N380" s="70"/>
      <c r="O380" s="71"/>
      <c r="P380" s="72"/>
    </row>
    <row r="381" spans="4:16" ht="15.75" customHeight="1">
      <c r="D381" s="68"/>
      <c r="M381" s="69"/>
      <c r="N381" s="70"/>
      <c r="O381" s="71"/>
      <c r="P381" s="72"/>
    </row>
    <row r="382" spans="4:16" ht="15.75" customHeight="1">
      <c r="D382" s="68"/>
      <c r="M382" s="69"/>
      <c r="N382" s="70"/>
      <c r="O382" s="71"/>
      <c r="P382" s="72"/>
    </row>
    <row r="383" spans="4:16" ht="15.75" customHeight="1">
      <c r="D383" s="68"/>
      <c r="M383" s="69"/>
      <c r="N383" s="70"/>
      <c r="O383" s="71"/>
      <c r="P383" s="72"/>
    </row>
    <row r="384" spans="4:16" ht="15.75" customHeight="1">
      <c r="D384" s="68"/>
      <c r="M384" s="69"/>
      <c r="N384" s="70"/>
      <c r="O384" s="71"/>
      <c r="P384" s="72"/>
    </row>
    <row r="385" spans="4:16" ht="15.75" customHeight="1">
      <c r="D385" s="68"/>
      <c r="M385" s="69"/>
      <c r="N385" s="70"/>
      <c r="O385" s="71"/>
      <c r="P385" s="72"/>
    </row>
    <row r="386" spans="4:16" ht="15.75" customHeight="1">
      <c r="D386" s="68"/>
      <c r="M386" s="69"/>
      <c r="N386" s="70"/>
      <c r="O386" s="71"/>
      <c r="P386" s="72"/>
    </row>
    <row r="387" spans="4:16" ht="15.75" customHeight="1">
      <c r="D387" s="68"/>
      <c r="M387" s="69"/>
      <c r="N387" s="70"/>
      <c r="O387" s="71"/>
      <c r="P387" s="72"/>
    </row>
    <row r="388" spans="4:16" ht="15.75" customHeight="1">
      <c r="D388" s="68"/>
      <c r="M388" s="69"/>
      <c r="N388" s="70"/>
      <c r="O388" s="71"/>
      <c r="P388" s="72"/>
    </row>
    <row r="389" spans="4:16" ht="15.75" customHeight="1">
      <c r="D389" s="68"/>
      <c r="M389" s="69"/>
      <c r="N389" s="70"/>
      <c r="O389" s="71"/>
      <c r="P389" s="72"/>
    </row>
    <row r="390" spans="4:16" ht="15.75" customHeight="1">
      <c r="D390" s="68"/>
      <c r="M390" s="69"/>
      <c r="N390" s="70"/>
      <c r="O390" s="71"/>
      <c r="P390" s="72"/>
    </row>
    <row r="391" spans="4:16" ht="15.75" customHeight="1">
      <c r="D391" s="68"/>
      <c r="M391" s="69"/>
      <c r="N391" s="70"/>
      <c r="O391" s="71"/>
      <c r="P391" s="72"/>
    </row>
    <row r="392" spans="4:16" ht="15.75" customHeight="1">
      <c r="D392" s="68"/>
      <c r="M392" s="69"/>
      <c r="N392" s="70"/>
      <c r="O392" s="71"/>
      <c r="P392" s="72"/>
    </row>
    <row r="393" spans="4:16" ht="15.75" customHeight="1">
      <c r="D393" s="68"/>
      <c r="M393" s="69"/>
      <c r="N393" s="70"/>
      <c r="O393" s="71"/>
      <c r="P393" s="72"/>
    </row>
    <row r="394" spans="4:16" ht="15.75" customHeight="1">
      <c r="D394" s="68"/>
      <c r="M394" s="69"/>
      <c r="N394" s="70"/>
      <c r="O394" s="71"/>
      <c r="P394" s="72"/>
    </row>
    <row r="395" spans="4:16" ht="15.75" customHeight="1">
      <c r="D395" s="68"/>
      <c r="M395" s="69"/>
      <c r="N395" s="70"/>
      <c r="O395" s="71"/>
      <c r="P395" s="72"/>
    </row>
    <row r="396" spans="4:16" ht="15.75" customHeight="1">
      <c r="D396" s="68"/>
      <c r="M396" s="69"/>
      <c r="N396" s="70"/>
      <c r="O396" s="71"/>
      <c r="P396" s="72"/>
    </row>
    <row r="397" spans="4:16" ht="15.75" customHeight="1">
      <c r="D397" s="68"/>
      <c r="M397" s="69"/>
      <c r="N397" s="70"/>
      <c r="O397" s="71"/>
      <c r="P397" s="72"/>
    </row>
    <row r="398" spans="4:16" ht="15.75" customHeight="1">
      <c r="D398" s="68"/>
      <c r="M398" s="69"/>
      <c r="N398" s="70"/>
      <c r="O398" s="71"/>
      <c r="P398" s="72"/>
    </row>
    <row r="399" spans="4:16" ht="15.75" customHeight="1">
      <c r="D399" s="68"/>
      <c r="M399" s="69"/>
      <c r="N399" s="70"/>
      <c r="O399" s="71"/>
      <c r="P399" s="72"/>
    </row>
    <row r="400" spans="4:16" ht="15.75" customHeight="1">
      <c r="D400" s="68"/>
      <c r="M400" s="69"/>
      <c r="N400" s="70"/>
      <c r="O400" s="71"/>
      <c r="P400" s="72"/>
    </row>
    <row r="401" spans="4:16" ht="15.75" customHeight="1">
      <c r="D401" s="68"/>
      <c r="M401" s="69"/>
      <c r="N401" s="70"/>
      <c r="O401" s="71"/>
      <c r="P401" s="72"/>
    </row>
    <row r="402" spans="4:16" ht="15.75" customHeight="1">
      <c r="D402" s="68"/>
      <c r="M402" s="69"/>
      <c r="N402" s="70"/>
      <c r="O402" s="71"/>
      <c r="P402" s="72"/>
    </row>
    <row r="403" spans="4:16" ht="15.75" customHeight="1">
      <c r="D403" s="68"/>
      <c r="M403" s="69"/>
      <c r="N403" s="70"/>
      <c r="O403" s="71"/>
      <c r="P403" s="72"/>
    </row>
    <row r="404" spans="4:16" ht="15.75" customHeight="1">
      <c r="D404" s="68"/>
      <c r="M404" s="69"/>
      <c r="N404" s="70"/>
      <c r="O404" s="71"/>
      <c r="P404" s="72"/>
    </row>
    <row r="405" spans="4:16" ht="15.75" customHeight="1">
      <c r="D405" s="68"/>
      <c r="M405" s="69"/>
      <c r="N405" s="70"/>
      <c r="O405" s="71"/>
      <c r="P405" s="72"/>
    </row>
    <row r="406" spans="4:16" ht="15.75" customHeight="1">
      <c r="D406" s="68"/>
      <c r="M406" s="69"/>
      <c r="N406" s="70"/>
      <c r="O406" s="71"/>
      <c r="P406" s="72"/>
    </row>
    <row r="407" spans="4:16" ht="15.75" customHeight="1">
      <c r="D407" s="68"/>
      <c r="M407" s="69"/>
      <c r="N407" s="70"/>
      <c r="O407" s="71"/>
      <c r="P407" s="72"/>
    </row>
    <row r="408" spans="4:16" ht="15.75" customHeight="1">
      <c r="D408" s="68"/>
      <c r="M408" s="69"/>
      <c r="N408" s="70"/>
      <c r="O408" s="71"/>
      <c r="P408" s="72"/>
    </row>
    <row r="409" spans="4:16" ht="15.75" customHeight="1">
      <c r="D409" s="68"/>
      <c r="M409" s="69"/>
      <c r="N409" s="70"/>
      <c r="O409" s="71"/>
      <c r="P409" s="72"/>
    </row>
    <row r="410" spans="4:16" ht="15.75" customHeight="1">
      <c r="D410" s="68"/>
      <c r="M410" s="69"/>
      <c r="N410" s="70"/>
      <c r="O410" s="71"/>
      <c r="P410" s="72"/>
    </row>
    <row r="411" spans="4:16" ht="15.75" customHeight="1">
      <c r="D411" s="68"/>
      <c r="M411" s="69"/>
      <c r="N411" s="70"/>
      <c r="O411" s="71"/>
      <c r="P411" s="72"/>
    </row>
    <row r="412" spans="4:16" ht="15.75" customHeight="1">
      <c r="D412" s="68"/>
      <c r="M412" s="69"/>
      <c r="N412" s="70"/>
      <c r="O412" s="71"/>
      <c r="P412" s="72"/>
    </row>
    <row r="413" spans="4:16" ht="15.75" customHeight="1">
      <c r="D413" s="68"/>
      <c r="M413" s="69"/>
      <c r="N413" s="70"/>
      <c r="O413" s="71"/>
      <c r="P413" s="72"/>
    </row>
    <row r="414" spans="4:16" ht="15.75" customHeight="1">
      <c r="D414" s="68"/>
      <c r="M414" s="69"/>
      <c r="N414" s="70"/>
      <c r="O414" s="71"/>
      <c r="P414" s="72"/>
    </row>
    <row r="415" spans="4:16" ht="15.75" customHeight="1">
      <c r="D415" s="68"/>
      <c r="M415" s="69"/>
      <c r="N415" s="70"/>
      <c r="O415" s="71"/>
      <c r="P415" s="72"/>
    </row>
    <row r="416" spans="4:16" ht="15.75" customHeight="1">
      <c r="D416" s="68"/>
      <c r="M416" s="69"/>
      <c r="N416" s="70"/>
      <c r="O416" s="71"/>
      <c r="P416" s="72"/>
    </row>
    <row r="417" spans="4:16" ht="15.75" customHeight="1">
      <c r="D417" s="68"/>
      <c r="M417" s="69"/>
      <c r="N417" s="70"/>
      <c r="O417" s="71"/>
      <c r="P417" s="72"/>
    </row>
    <row r="418" spans="4:16" ht="15.75" customHeight="1">
      <c r="D418" s="68"/>
      <c r="M418" s="69"/>
      <c r="N418" s="70"/>
      <c r="O418" s="71"/>
      <c r="P418" s="72"/>
    </row>
    <row r="419" spans="4:16" ht="15.75" customHeight="1">
      <c r="D419" s="68"/>
      <c r="M419" s="69"/>
      <c r="N419" s="70"/>
      <c r="O419" s="71"/>
      <c r="P419" s="72"/>
    </row>
    <row r="420" spans="4:16" ht="15.75" customHeight="1">
      <c r="D420" s="68"/>
      <c r="M420" s="69"/>
      <c r="N420" s="70"/>
      <c r="O420" s="71"/>
      <c r="P420" s="72"/>
    </row>
    <row r="421" spans="4:16" ht="15.75" customHeight="1">
      <c r="D421" s="68"/>
      <c r="M421" s="69"/>
      <c r="N421" s="70"/>
      <c r="O421" s="71"/>
      <c r="P421" s="72"/>
    </row>
    <row r="422" spans="4:16" ht="15.75" customHeight="1">
      <c r="D422" s="68"/>
      <c r="M422" s="69"/>
      <c r="N422" s="70"/>
      <c r="O422" s="71"/>
      <c r="P422" s="72"/>
    </row>
    <row r="423" spans="4:16" ht="15.75" customHeight="1">
      <c r="D423" s="68"/>
      <c r="M423" s="69"/>
      <c r="N423" s="70"/>
      <c r="O423" s="71"/>
      <c r="P423" s="72"/>
    </row>
    <row r="424" spans="4:16" ht="15.75" customHeight="1">
      <c r="D424" s="68"/>
      <c r="M424" s="69"/>
      <c r="N424" s="70"/>
      <c r="O424" s="71"/>
      <c r="P424" s="72"/>
    </row>
    <row r="425" spans="4:16" ht="15.75" customHeight="1">
      <c r="D425" s="68"/>
      <c r="M425" s="69"/>
      <c r="N425" s="70"/>
      <c r="O425" s="71"/>
      <c r="P425" s="72"/>
    </row>
    <row r="426" spans="4:16" ht="15.75" customHeight="1">
      <c r="D426" s="68"/>
      <c r="M426" s="69"/>
      <c r="N426" s="70"/>
      <c r="O426" s="71"/>
      <c r="P426" s="72"/>
    </row>
    <row r="427" spans="4:16" ht="15.75" customHeight="1">
      <c r="D427" s="68"/>
      <c r="M427" s="69"/>
      <c r="N427" s="70"/>
      <c r="O427" s="71"/>
      <c r="P427" s="72"/>
    </row>
    <row r="428" spans="4:16" ht="15.75" customHeight="1">
      <c r="D428" s="68"/>
      <c r="M428" s="69"/>
      <c r="N428" s="70"/>
      <c r="O428" s="71"/>
      <c r="P428" s="72"/>
    </row>
    <row r="429" spans="4:16" ht="15.75" customHeight="1">
      <c r="D429" s="68"/>
      <c r="M429" s="69"/>
      <c r="N429" s="70"/>
      <c r="O429" s="71"/>
      <c r="P429" s="72"/>
    </row>
    <row r="430" spans="4:16" ht="15.75" customHeight="1">
      <c r="D430" s="68"/>
      <c r="M430" s="69"/>
      <c r="N430" s="70"/>
      <c r="O430" s="71"/>
      <c r="P430" s="72"/>
    </row>
    <row r="431" spans="4:16" ht="15.75" customHeight="1">
      <c r="D431" s="68"/>
      <c r="M431" s="69"/>
      <c r="N431" s="70"/>
      <c r="O431" s="71"/>
      <c r="P431" s="72"/>
    </row>
    <row r="432" spans="4:16" ht="15.75" customHeight="1">
      <c r="D432" s="68"/>
      <c r="M432" s="69"/>
      <c r="N432" s="70"/>
      <c r="O432" s="71"/>
      <c r="P432" s="72"/>
    </row>
    <row r="433" spans="4:16" ht="15.75" customHeight="1">
      <c r="D433" s="68"/>
      <c r="M433" s="69"/>
      <c r="N433" s="70"/>
      <c r="O433" s="71"/>
      <c r="P433" s="72"/>
    </row>
    <row r="434" spans="4:16" ht="15.75" customHeight="1">
      <c r="D434" s="68"/>
      <c r="M434" s="69"/>
      <c r="N434" s="70"/>
      <c r="O434" s="71"/>
      <c r="P434" s="72"/>
    </row>
    <row r="435" spans="4:16" ht="15.75" customHeight="1">
      <c r="D435" s="68"/>
      <c r="M435" s="69"/>
      <c r="N435" s="70"/>
      <c r="O435" s="71"/>
      <c r="P435" s="72"/>
    </row>
    <row r="436" spans="4:16" ht="15.75" customHeight="1">
      <c r="D436" s="68"/>
      <c r="M436" s="69"/>
      <c r="N436" s="70"/>
      <c r="O436" s="71"/>
      <c r="P436" s="72"/>
    </row>
    <row r="437" spans="4:16" ht="15.75" customHeight="1">
      <c r="D437" s="68"/>
      <c r="M437" s="69"/>
      <c r="N437" s="70"/>
      <c r="O437" s="71"/>
      <c r="P437" s="72"/>
    </row>
    <row r="438" spans="4:16" ht="15.75" customHeight="1">
      <c r="D438" s="68"/>
      <c r="M438" s="69"/>
      <c r="N438" s="70"/>
      <c r="O438" s="71"/>
      <c r="P438" s="72"/>
    </row>
    <row r="439" spans="4:16" ht="15.75" customHeight="1">
      <c r="D439" s="68"/>
      <c r="M439" s="69"/>
      <c r="N439" s="70"/>
      <c r="O439" s="71"/>
      <c r="P439" s="72"/>
    </row>
    <row r="440" spans="4:16" ht="15.75" customHeight="1">
      <c r="D440" s="68"/>
      <c r="M440" s="69"/>
      <c r="N440" s="70"/>
      <c r="O440" s="71"/>
      <c r="P440" s="72"/>
    </row>
    <row r="441" spans="4:16" ht="15.75" customHeight="1">
      <c r="D441" s="68"/>
      <c r="M441" s="69"/>
      <c r="N441" s="70"/>
      <c r="O441" s="71"/>
      <c r="P441" s="72"/>
    </row>
    <row r="442" spans="4:16" ht="15.75" customHeight="1">
      <c r="D442" s="68"/>
      <c r="M442" s="69"/>
      <c r="N442" s="70"/>
      <c r="O442" s="71"/>
      <c r="P442" s="72"/>
    </row>
    <row r="443" spans="4:16" ht="15.75" customHeight="1">
      <c r="D443" s="68"/>
      <c r="M443" s="69"/>
      <c r="N443" s="70"/>
      <c r="O443" s="71"/>
      <c r="P443" s="72"/>
    </row>
    <row r="444" spans="4:16" ht="15.75" customHeight="1">
      <c r="D444" s="68"/>
      <c r="M444" s="69"/>
      <c r="N444" s="70"/>
      <c r="O444" s="71"/>
      <c r="P444" s="72"/>
    </row>
    <row r="445" spans="4:16" ht="15.75" customHeight="1">
      <c r="D445" s="68"/>
      <c r="M445" s="69"/>
      <c r="N445" s="70"/>
      <c r="O445" s="71"/>
      <c r="P445" s="72"/>
    </row>
    <row r="446" spans="4:16" ht="15.75" customHeight="1">
      <c r="D446" s="68"/>
      <c r="M446" s="69"/>
      <c r="N446" s="70"/>
      <c r="O446" s="71"/>
      <c r="P446" s="72"/>
    </row>
    <row r="447" spans="4:16" ht="15.75" customHeight="1">
      <c r="D447" s="68"/>
      <c r="M447" s="69"/>
      <c r="N447" s="70"/>
      <c r="O447" s="71"/>
      <c r="P447" s="72"/>
    </row>
    <row r="448" spans="4:16" ht="15.75" customHeight="1">
      <c r="D448" s="68"/>
      <c r="M448" s="69"/>
      <c r="N448" s="70"/>
      <c r="O448" s="71"/>
      <c r="P448" s="72"/>
    </row>
    <row r="449" spans="4:16" ht="15.75" customHeight="1">
      <c r="D449" s="68"/>
      <c r="M449" s="69"/>
      <c r="N449" s="70"/>
      <c r="O449" s="71"/>
      <c r="P449" s="72"/>
    </row>
    <row r="450" spans="4:16" ht="15.75" customHeight="1">
      <c r="D450" s="68"/>
      <c r="M450" s="69"/>
      <c r="N450" s="70"/>
      <c r="O450" s="71"/>
      <c r="P450" s="72"/>
    </row>
    <row r="451" spans="4:16" ht="15.75" customHeight="1">
      <c r="D451" s="68"/>
      <c r="M451" s="69"/>
      <c r="N451" s="70"/>
      <c r="O451" s="71"/>
      <c r="P451" s="72"/>
    </row>
    <row r="452" spans="4:16" ht="15.75" customHeight="1">
      <c r="D452" s="68"/>
      <c r="M452" s="69"/>
      <c r="N452" s="70"/>
      <c r="O452" s="71"/>
      <c r="P452" s="72"/>
    </row>
    <row r="453" spans="4:16" ht="15.75" customHeight="1">
      <c r="D453" s="68"/>
      <c r="M453" s="69"/>
      <c r="N453" s="70"/>
      <c r="O453" s="71"/>
      <c r="P453" s="72"/>
    </row>
    <row r="454" spans="4:16" ht="15.75" customHeight="1">
      <c r="D454" s="68"/>
      <c r="M454" s="69"/>
      <c r="N454" s="70"/>
      <c r="O454" s="71"/>
      <c r="P454" s="72"/>
    </row>
    <row r="455" spans="4:16" ht="15.75" customHeight="1">
      <c r="D455" s="68"/>
      <c r="M455" s="69"/>
      <c r="N455" s="70"/>
      <c r="O455" s="71"/>
      <c r="P455" s="72"/>
    </row>
    <row r="456" spans="4:16" ht="15.75" customHeight="1">
      <c r="D456" s="68"/>
      <c r="M456" s="69"/>
      <c r="N456" s="70"/>
      <c r="O456" s="71"/>
      <c r="P456" s="72"/>
    </row>
    <row r="457" spans="4:16" ht="15.75" customHeight="1">
      <c r="D457" s="68"/>
      <c r="M457" s="69"/>
      <c r="N457" s="70"/>
      <c r="O457" s="71"/>
      <c r="P457" s="72"/>
    </row>
    <row r="458" spans="4:16" ht="15.75" customHeight="1">
      <c r="D458" s="68"/>
      <c r="M458" s="69"/>
      <c r="N458" s="70"/>
      <c r="O458" s="71"/>
      <c r="P458" s="72"/>
    </row>
    <row r="459" spans="4:16" ht="15.75" customHeight="1">
      <c r="D459" s="68"/>
      <c r="M459" s="69"/>
      <c r="N459" s="70"/>
      <c r="O459" s="71"/>
      <c r="P459" s="72"/>
    </row>
    <row r="460" spans="4:16" ht="15.75" customHeight="1">
      <c r="D460" s="68"/>
      <c r="M460" s="69"/>
      <c r="N460" s="70"/>
      <c r="O460" s="71"/>
      <c r="P460" s="72"/>
    </row>
    <row r="461" spans="4:16" ht="15.75" customHeight="1">
      <c r="D461" s="68"/>
      <c r="M461" s="69"/>
      <c r="N461" s="70"/>
      <c r="O461" s="71"/>
      <c r="P461" s="72"/>
    </row>
    <row r="462" spans="4:16" ht="15.75" customHeight="1">
      <c r="D462" s="68"/>
      <c r="M462" s="69"/>
      <c r="N462" s="70"/>
      <c r="O462" s="71"/>
      <c r="P462" s="72"/>
    </row>
    <row r="463" spans="4:16" ht="15.75" customHeight="1">
      <c r="D463" s="68"/>
      <c r="M463" s="69"/>
      <c r="N463" s="70"/>
      <c r="O463" s="71"/>
      <c r="P463" s="72"/>
    </row>
    <row r="464" spans="4:16" ht="15.75" customHeight="1">
      <c r="D464" s="68"/>
      <c r="M464" s="69"/>
      <c r="N464" s="70"/>
      <c r="O464" s="71"/>
      <c r="P464" s="72"/>
    </row>
    <row r="465" spans="4:16" ht="15.75" customHeight="1">
      <c r="D465" s="68"/>
      <c r="M465" s="69"/>
      <c r="N465" s="70"/>
      <c r="O465" s="71"/>
      <c r="P465" s="72"/>
    </row>
    <row r="466" spans="4:16" ht="15.75" customHeight="1">
      <c r="D466" s="68"/>
      <c r="M466" s="69"/>
      <c r="N466" s="70"/>
      <c r="O466" s="71"/>
      <c r="P466" s="72"/>
    </row>
    <row r="467" spans="4:16" ht="15.75" customHeight="1">
      <c r="D467" s="68"/>
      <c r="M467" s="69"/>
      <c r="N467" s="70"/>
      <c r="O467" s="71"/>
      <c r="P467" s="72"/>
    </row>
    <row r="468" spans="4:16" ht="15.75" customHeight="1">
      <c r="D468" s="68"/>
      <c r="M468" s="69"/>
      <c r="N468" s="70"/>
      <c r="O468" s="71"/>
      <c r="P468" s="72"/>
    </row>
    <row r="469" spans="4:16" ht="15.75" customHeight="1">
      <c r="D469" s="68"/>
      <c r="M469" s="69"/>
      <c r="N469" s="70"/>
      <c r="O469" s="71"/>
      <c r="P469" s="72"/>
    </row>
    <row r="470" spans="4:16" ht="15.75" customHeight="1">
      <c r="D470" s="68"/>
      <c r="M470" s="69"/>
      <c r="N470" s="70"/>
      <c r="O470" s="71"/>
      <c r="P470" s="72"/>
    </row>
    <row r="471" spans="4:16" ht="15.75" customHeight="1">
      <c r="D471" s="68"/>
      <c r="M471" s="69"/>
      <c r="N471" s="70"/>
      <c r="O471" s="71"/>
      <c r="P471" s="72"/>
    </row>
    <row r="472" spans="4:16" ht="15.75" customHeight="1">
      <c r="D472" s="68"/>
      <c r="M472" s="69"/>
      <c r="N472" s="70"/>
      <c r="O472" s="71"/>
      <c r="P472" s="72"/>
    </row>
    <row r="473" spans="4:16" ht="15.75" customHeight="1">
      <c r="D473" s="68"/>
      <c r="M473" s="69"/>
      <c r="N473" s="70"/>
      <c r="O473" s="71"/>
      <c r="P473" s="72"/>
    </row>
    <row r="474" spans="4:16" ht="15.75" customHeight="1">
      <c r="D474" s="68"/>
      <c r="M474" s="69"/>
      <c r="N474" s="70"/>
      <c r="O474" s="71"/>
      <c r="P474" s="72"/>
    </row>
    <row r="475" spans="4:16" ht="15.75" customHeight="1">
      <c r="D475" s="68"/>
      <c r="M475" s="69"/>
      <c r="N475" s="70"/>
      <c r="O475" s="71"/>
      <c r="P475" s="72"/>
    </row>
    <row r="476" spans="4:16" ht="15.75" customHeight="1">
      <c r="D476" s="68"/>
      <c r="M476" s="69"/>
      <c r="N476" s="70"/>
      <c r="O476" s="71"/>
      <c r="P476" s="72"/>
    </row>
    <row r="477" spans="4:16" ht="15.75" customHeight="1">
      <c r="D477" s="68"/>
      <c r="M477" s="69"/>
      <c r="N477" s="70"/>
      <c r="O477" s="71"/>
      <c r="P477" s="72"/>
    </row>
    <row r="478" spans="4:16" ht="15.75" customHeight="1">
      <c r="D478" s="68"/>
      <c r="M478" s="69"/>
      <c r="N478" s="70"/>
      <c r="O478" s="71"/>
      <c r="P478" s="72"/>
    </row>
    <row r="479" spans="4:16" ht="15.75" customHeight="1">
      <c r="D479" s="68"/>
      <c r="M479" s="69"/>
      <c r="N479" s="70"/>
      <c r="O479" s="71"/>
      <c r="P479" s="72"/>
    </row>
    <row r="480" spans="4:16" ht="15.75" customHeight="1">
      <c r="D480" s="68"/>
      <c r="M480" s="69"/>
      <c r="N480" s="70"/>
      <c r="O480" s="71"/>
      <c r="P480" s="72"/>
    </row>
    <row r="481" spans="4:16" ht="15.75" customHeight="1">
      <c r="D481" s="68"/>
      <c r="M481" s="69"/>
      <c r="N481" s="70"/>
      <c r="O481" s="71"/>
      <c r="P481" s="72"/>
    </row>
    <row r="482" spans="4:16" ht="15.75" customHeight="1">
      <c r="D482" s="68"/>
      <c r="M482" s="69"/>
      <c r="N482" s="70"/>
      <c r="O482" s="71"/>
      <c r="P482" s="72"/>
    </row>
    <row r="483" spans="4:16" ht="15.75" customHeight="1">
      <c r="D483" s="68"/>
      <c r="M483" s="69"/>
      <c r="N483" s="70"/>
      <c r="O483" s="71"/>
      <c r="P483" s="72"/>
    </row>
    <row r="484" spans="4:16" ht="15.75" customHeight="1">
      <c r="D484" s="68"/>
      <c r="M484" s="69"/>
      <c r="N484" s="70"/>
      <c r="O484" s="71"/>
      <c r="P484" s="72"/>
    </row>
    <row r="485" spans="4:16" ht="15.75" customHeight="1">
      <c r="D485" s="68"/>
      <c r="M485" s="69"/>
      <c r="N485" s="70"/>
      <c r="O485" s="71"/>
      <c r="P485" s="72"/>
    </row>
    <row r="486" spans="4:16" ht="15.75" customHeight="1">
      <c r="D486" s="68"/>
      <c r="M486" s="69"/>
      <c r="N486" s="70"/>
      <c r="O486" s="71"/>
      <c r="P486" s="72"/>
    </row>
    <row r="487" spans="4:16" ht="15.75" customHeight="1">
      <c r="D487" s="68"/>
      <c r="M487" s="69"/>
      <c r="N487" s="70"/>
      <c r="O487" s="71"/>
      <c r="P487" s="72"/>
    </row>
    <row r="488" spans="4:16" ht="15.75" customHeight="1">
      <c r="D488" s="68"/>
      <c r="M488" s="69"/>
      <c r="N488" s="70"/>
      <c r="O488" s="71"/>
      <c r="P488" s="72"/>
    </row>
    <row r="489" spans="4:16" ht="15.75" customHeight="1">
      <c r="D489" s="68"/>
      <c r="M489" s="69"/>
      <c r="N489" s="70"/>
      <c r="O489" s="71"/>
      <c r="P489" s="72"/>
    </row>
    <row r="490" spans="4:16" ht="15.75" customHeight="1">
      <c r="D490" s="68"/>
      <c r="M490" s="69"/>
      <c r="N490" s="70"/>
      <c r="O490" s="71"/>
      <c r="P490" s="72"/>
    </row>
    <row r="491" spans="4:16" ht="15.75" customHeight="1">
      <c r="D491" s="68"/>
      <c r="M491" s="69"/>
      <c r="N491" s="70"/>
      <c r="O491" s="71"/>
      <c r="P491" s="72"/>
    </row>
    <row r="492" spans="4:16" ht="15.75" customHeight="1">
      <c r="D492" s="68"/>
      <c r="M492" s="69"/>
      <c r="N492" s="70"/>
      <c r="O492" s="71"/>
      <c r="P492" s="72"/>
    </row>
    <row r="493" spans="4:16" ht="15.75" customHeight="1">
      <c r="D493" s="68"/>
      <c r="M493" s="69"/>
      <c r="N493" s="70"/>
      <c r="O493" s="71"/>
      <c r="P493" s="72"/>
    </row>
    <row r="494" spans="4:16" ht="15.75" customHeight="1">
      <c r="D494" s="68"/>
      <c r="M494" s="69"/>
      <c r="N494" s="70"/>
      <c r="O494" s="71"/>
      <c r="P494" s="72"/>
    </row>
    <row r="495" spans="4:16" ht="15.75" customHeight="1">
      <c r="D495" s="68"/>
      <c r="M495" s="69"/>
      <c r="N495" s="70"/>
      <c r="O495" s="71"/>
      <c r="P495" s="72"/>
    </row>
    <row r="496" spans="4:16" ht="15.75" customHeight="1">
      <c r="D496" s="68"/>
      <c r="M496" s="69"/>
      <c r="N496" s="70"/>
      <c r="O496" s="71"/>
      <c r="P496" s="72"/>
    </row>
    <row r="497" spans="4:16" ht="15.75" customHeight="1">
      <c r="D497" s="68"/>
      <c r="M497" s="69"/>
      <c r="N497" s="70"/>
      <c r="O497" s="71"/>
      <c r="P497" s="72"/>
    </row>
    <row r="498" spans="4:16" ht="15.75" customHeight="1">
      <c r="D498" s="68"/>
      <c r="M498" s="69"/>
      <c r="N498" s="70"/>
      <c r="O498" s="71"/>
      <c r="P498" s="72"/>
    </row>
    <row r="499" spans="4:16" ht="15.75" customHeight="1">
      <c r="D499" s="68"/>
      <c r="M499" s="69"/>
      <c r="N499" s="70"/>
      <c r="O499" s="71"/>
      <c r="P499" s="72"/>
    </row>
    <row r="500" spans="4:16" ht="15.75" customHeight="1">
      <c r="D500" s="68"/>
      <c r="M500" s="69"/>
      <c r="N500" s="70"/>
      <c r="O500" s="71"/>
      <c r="P500" s="72"/>
    </row>
    <row r="501" spans="4:16" ht="15.75" customHeight="1">
      <c r="D501" s="68"/>
      <c r="M501" s="69"/>
      <c r="N501" s="70"/>
      <c r="O501" s="71"/>
      <c r="P501" s="72"/>
    </row>
    <row r="502" spans="4:16" ht="15.75" customHeight="1">
      <c r="D502" s="68"/>
      <c r="M502" s="69"/>
      <c r="N502" s="70"/>
      <c r="O502" s="71"/>
      <c r="P502" s="72"/>
    </row>
    <row r="503" spans="4:16" ht="15.75" customHeight="1">
      <c r="D503" s="68"/>
      <c r="M503" s="69"/>
      <c r="N503" s="70"/>
      <c r="O503" s="71"/>
      <c r="P503" s="72"/>
    </row>
    <row r="504" spans="4:16" ht="15.75" customHeight="1">
      <c r="D504" s="68"/>
      <c r="M504" s="69"/>
      <c r="N504" s="70"/>
      <c r="O504" s="71"/>
      <c r="P504" s="72"/>
    </row>
    <row r="505" spans="4:16" ht="15.75" customHeight="1">
      <c r="D505" s="68"/>
      <c r="M505" s="69"/>
      <c r="N505" s="70"/>
      <c r="O505" s="71"/>
      <c r="P505" s="72"/>
    </row>
    <row r="506" spans="4:16" ht="15.75" customHeight="1">
      <c r="D506" s="68"/>
      <c r="M506" s="69"/>
      <c r="N506" s="70"/>
      <c r="O506" s="71"/>
      <c r="P506" s="72"/>
    </row>
    <row r="507" spans="4:16" ht="15.75" customHeight="1">
      <c r="D507" s="68"/>
      <c r="M507" s="69"/>
      <c r="N507" s="70"/>
      <c r="O507" s="71"/>
      <c r="P507" s="72"/>
    </row>
    <row r="508" spans="4:16" ht="15.75" customHeight="1">
      <c r="D508" s="68"/>
      <c r="M508" s="69"/>
      <c r="N508" s="70"/>
      <c r="O508" s="71"/>
      <c r="P508" s="72"/>
    </row>
    <row r="509" spans="4:16" ht="15.75" customHeight="1">
      <c r="D509" s="68"/>
      <c r="M509" s="69"/>
      <c r="N509" s="70"/>
      <c r="O509" s="71"/>
      <c r="P509" s="72"/>
    </row>
    <row r="510" spans="4:16" ht="15.75" customHeight="1">
      <c r="D510" s="68"/>
      <c r="M510" s="69"/>
      <c r="N510" s="70"/>
      <c r="O510" s="71"/>
      <c r="P510" s="72"/>
    </row>
    <row r="511" spans="4:16" ht="15.75" customHeight="1">
      <c r="D511" s="68"/>
      <c r="M511" s="69"/>
      <c r="N511" s="70"/>
      <c r="O511" s="71"/>
      <c r="P511" s="72"/>
    </row>
    <row r="512" spans="4:16" ht="15.75" customHeight="1">
      <c r="D512" s="68"/>
      <c r="M512" s="69"/>
      <c r="N512" s="70"/>
      <c r="O512" s="71"/>
      <c r="P512" s="72"/>
    </row>
    <row r="513" spans="4:16" ht="15.75" customHeight="1">
      <c r="D513" s="68"/>
      <c r="M513" s="69"/>
      <c r="N513" s="70"/>
      <c r="O513" s="71"/>
      <c r="P513" s="72"/>
    </row>
    <row r="514" spans="4:16" ht="15.75" customHeight="1">
      <c r="D514" s="68"/>
      <c r="M514" s="69"/>
      <c r="N514" s="70"/>
      <c r="O514" s="71"/>
      <c r="P514" s="72"/>
    </row>
    <row r="515" spans="4:16" ht="15.75" customHeight="1">
      <c r="D515" s="68"/>
      <c r="M515" s="69"/>
      <c r="N515" s="70"/>
      <c r="O515" s="71"/>
      <c r="P515" s="72"/>
    </row>
    <row r="516" spans="4:16" ht="15.75" customHeight="1">
      <c r="D516" s="68"/>
      <c r="M516" s="69"/>
      <c r="N516" s="70"/>
      <c r="O516" s="71"/>
      <c r="P516" s="72"/>
    </row>
    <row r="517" spans="4:16" ht="15.75" customHeight="1">
      <c r="D517" s="68"/>
      <c r="M517" s="69"/>
      <c r="N517" s="70"/>
      <c r="O517" s="71"/>
      <c r="P517" s="72"/>
    </row>
    <row r="518" spans="4:16" ht="15.75" customHeight="1">
      <c r="D518" s="68"/>
      <c r="M518" s="69"/>
      <c r="N518" s="70"/>
      <c r="O518" s="71"/>
      <c r="P518" s="72"/>
    </row>
    <row r="519" spans="4:16" ht="15.75" customHeight="1">
      <c r="D519" s="68"/>
      <c r="M519" s="69"/>
      <c r="N519" s="70"/>
      <c r="O519" s="71"/>
      <c r="P519" s="72"/>
    </row>
    <row r="520" spans="4:16" ht="15.75" customHeight="1">
      <c r="D520" s="68"/>
      <c r="M520" s="69"/>
      <c r="N520" s="70"/>
      <c r="O520" s="71"/>
      <c r="P520" s="72"/>
    </row>
    <row r="521" spans="4:16" ht="15.75" customHeight="1">
      <c r="D521" s="68"/>
      <c r="M521" s="69"/>
      <c r="N521" s="70"/>
      <c r="O521" s="71"/>
      <c r="P521" s="72"/>
    </row>
    <row r="522" spans="4:16" ht="15.75" customHeight="1">
      <c r="D522" s="68"/>
      <c r="M522" s="69"/>
      <c r="N522" s="70"/>
      <c r="O522" s="71"/>
      <c r="P522" s="72"/>
    </row>
    <row r="523" spans="4:16" ht="15.75" customHeight="1">
      <c r="D523" s="68"/>
      <c r="M523" s="69"/>
      <c r="N523" s="70"/>
      <c r="O523" s="71"/>
      <c r="P523" s="72"/>
    </row>
    <row r="524" spans="4:16" ht="15.75" customHeight="1">
      <c r="D524" s="68"/>
      <c r="M524" s="69"/>
      <c r="N524" s="70"/>
      <c r="O524" s="71"/>
      <c r="P524" s="72"/>
    </row>
    <row r="525" spans="4:16" ht="15.75" customHeight="1">
      <c r="D525" s="68"/>
      <c r="M525" s="69"/>
      <c r="N525" s="70"/>
      <c r="O525" s="71"/>
      <c r="P525" s="72"/>
    </row>
    <row r="526" spans="4:16" ht="15.75" customHeight="1">
      <c r="D526" s="68"/>
      <c r="M526" s="69"/>
      <c r="N526" s="70"/>
      <c r="O526" s="71"/>
      <c r="P526" s="72"/>
    </row>
    <row r="527" spans="4:16" ht="15.75" customHeight="1">
      <c r="D527" s="68"/>
      <c r="M527" s="69"/>
      <c r="N527" s="70"/>
      <c r="O527" s="71"/>
      <c r="P527" s="72"/>
    </row>
    <row r="528" spans="4:16" ht="15.75" customHeight="1">
      <c r="D528" s="68"/>
      <c r="M528" s="69"/>
      <c r="N528" s="70"/>
      <c r="O528" s="71"/>
      <c r="P528" s="72"/>
    </row>
    <row r="529" spans="4:16" ht="15.75" customHeight="1">
      <c r="D529" s="68"/>
      <c r="M529" s="69"/>
      <c r="N529" s="70"/>
      <c r="O529" s="71"/>
      <c r="P529" s="72"/>
    </row>
    <row r="530" spans="4:16" ht="15.75" customHeight="1">
      <c r="D530" s="68"/>
      <c r="M530" s="69"/>
      <c r="N530" s="70"/>
      <c r="O530" s="71"/>
      <c r="P530" s="72"/>
    </row>
    <row r="531" spans="4:16" ht="15.75" customHeight="1">
      <c r="D531" s="68"/>
      <c r="M531" s="69"/>
      <c r="N531" s="70"/>
      <c r="O531" s="71"/>
      <c r="P531" s="72"/>
    </row>
    <row r="532" spans="4:16" ht="15.75" customHeight="1">
      <c r="D532" s="68"/>
      <c r="M532" s="69"/>
      <c r="N532" s="70"/>
      <c r="O532" s="71"/>
      <c r="P532" s="72"/>
    </row>
    <row r="533" spans="4:16" ht="15.75" customHeight="1">
      <c r="D533" s="68"/>
      <c r="M533" s="69"/>
      <c r="N533" s="70"/>
      <c r="O533" s="71"/>
      <c r="P533" s="72"/>
    </row>
    <row r="534" spans="4:16" ht="15.75" customHeight="1">
      <c r="D534" s="68"/>
      <c r="M534" s="69"/>
      <c r="N534" s="70"/>
      <c r="O534" s="71"/>
      <c r="P534" s="72"/>
    </row>
    <row r="535" spans="4:16" ht="15.75" customHeight="1">
      <c r="D535" s="68"/>
      <c r="M535" s="69"/>
      <c r="N535" s="70"/>
      <c r="O535" s="71"/>
      <c r="P535" s="72"/>
    </row>
    <row r="536" spans="4:16" ht="15.75" customHeight="1">
      <c r="D536" s="68"/>
      <c r="M536" s="69"/>
      <c r="N536" s="70"/>
      <c r="O536" s="71"/>
      <c r="P536" s="72"/>
    </row>
    <row r="537" spans="4:16" ht="15.75" customHeight="1">
      <c r="D537" s="68"/>
      <c r="M537" s="69"/>
      <c r="N537" s="70"/>
      <c r="O537" s="71"/>
      <c r="P537" s="72"/>
    </row>
    <row r="538" spans="4:16" ht="15.75" customHeight="1">
      <c r="D538" s="68"/>
      <c r="M538" s="69"/>
      <c r="N538" s="70"/>
      <c r="O538" s="71"/>
      <c r="P538" s="72"/>
    </row>
    <row r="539" spans="4:16" ht="15.75" customHeight="1">
      <c r="D539" s="68"/>
      <c r="M539" s="69"/>
      <c r="N539" s="70"/>
      <c r="O539" s="71"/>
      <c r="P539" s="72"/>
    </row>
    <row r="540" spans="4:16" ht="15.75" customHeight="1">
      <c r="D540" s="68"/>
      <c r="M540" s="69"/>
      <c r="N540" s="70"/>
      <c r="O540" s="71"/>
      <c r="P540" s="72"/>
    </row>
    <row r="541" spans="4:16" ht="15.75" customHeight="1">
      <c r="D541" s="68"/>
      <c r="M541" s="69"/>
      <c r="N541" s="70"/>
      <c r="O541" s="71"/>
      <c r="P541" s="72"/>
    </row>
    <row r="542" spans="4:16" ht="15.75" customHeight="1">
      <c r="D542" s="68"/>
      <c r="M542" s="69"/>
      <c r="N542" s="70"/>
      <c r="O542" s="71"/>
      <c r="P542" s="72"/>
    </row>
    <row r="543" spans="4:16" ht="15.75" customHeight="1">
      <c r="D543" s="68"/>
      <c r="M543" s="69"/>
      <c r="N543" s="70"/>
      <c r="O543" s="71"/>
      <c r="P543" s="72"/>
    </row>
    <row r="544" spans="4:16" ht="15.75" customHeight="1">
      <c r="D544" s="68"/>
      <c r="M544" s="69"/>
      <c r="N544" s="70"/>
      <c r="O544" s="71"/>
      <c r="P544" s="72"/>
    </row>
    <row r="545" spans="4:16" ht="15.75" customHeight="1">
      <c r="D545" s="68"/>
      <c r="M545" s="69"/>
      <c r="N545" s="70"/>
      <c r="O545" s="71"/>
      <c r="P545" s="72"/>
    </row>
    <row r="546" spans="4:16" ht="15.75" customHeight="1">
      <c r="D546" s="68"/>
      <c r="M546" s="69"/>
      <c r="N546" s="70"/>
      <c r="O546" s="71"/>
      <c r="P546" s="72"/>
    </row>
    <row r="547" spans="4:16" ht="15.75" customHeight="1">
      <c r="D547" s="68"/>
      <c r="M547" s="69"/>
      <c r="N547" s="70"/>
      <c r="O547" s="71"/>
      <c r="P547" s="72"/>
    </row>
    <row r="548" spans="4:16" ht="15.75" customHeight="1">
      <c r="D548" s="68"/>
      <c r="M548" s="69"/>
      <c r="N548" s="70"/>
      <c r="O548" s="71"/>
      <c r="P548" s="72"/>
    </row>
    <row r="549" spans="4:16" ht="15.75" customHeight="1">
      <c r="D549" s="68"/>
      <c r="M549" s="69"/>
      <c r="N549" s="70"/>
      <c r="O549" s="71"/>
      <c r="P549" s="72"/>
    </row>
    <row r="550" spans="4:16" ht="15.75" customHeight="1">
      <c r="D550" s="68"/>
      <c r="M550" s="69"/>
      <c r="N550" s="70"/>
      <c r="O550" s="71"/>
      <c r="P550" s="72"/>
    </row>
    <row r="551" spans="4:16" ht="15.75" customHeight="1">
      <c r="D551" s="68"/>
      <c r="M551" s="69"/>
      <c r="N551" s="70"/>
      <c r="O551" s="71"/>
      <c r="P551" s="72"/>
    </row>
    <row r="552" spans="4:16" ht="15.75" customHeight="1">
      <c r="D552" s="68"/>
      <c r="M552" s="69"/>
      <c r="N552" s="70"/>
      <c r="O552" s="71"/>
      <c r="P552" s="72"/>
    </row>
    <row r="553" spans="4:16" ht="15.75" customHeight="1">
      <c r="D553" s="68"/>
      <c r="M553" s="69"/>
      <c r="N553" s="70"/>
      <c r="O553" s="71"/>
      <c r="P553" s="72"/>
    </row>
    <row r="554" spans="4:16" ht="15.75" customHeight="1">
      <c r="D554" s="68"/>
      <c r="M554" s="69"/>
      <c r="N554" s="70"/>
      <c r="O554" s="71"/>
      <c r="P554" s="72"/>
    </row>
    <row r="555" spans="4:16" ht="15.75" customHeight="1">
      <c r="D555" s="68"/>
      <c r="M555" s="69"/>
      <c r="N555" s="70"/>
      <c r="O555" s="71"/>
      <c r="P555" s="72"/>
    </row>
    <row r="556" spans="4:16" ht="15.75" customHeight="1">
      <c r="D556" s="68"/>
      <c r="M556" s="69"/>
      <c r="N556" s="70"/>
      <c r="O556" s="71"/>
      <c r="P556" s="72"/>
    </row>
    <row r="557" spans="4:16" ht="15.75" customHeight="1">
      <c r="D557" s="68"/>
      <c r="M557" s="69"/>
      <c r="N557" s="70"/>
      <c r="O557" s="71"/>
      <c r="P557" s="72"/>
    </row>
    <row r="558" spans="4:16" ht="15.75" customHeight="1">
      <c r="D558" s="68"/>
      <c r="M558" s="69"/>
      <c r="N558" s="70"/>
      <c r="O558" s="71"/>
      <c r="P558" s="72"/>
    </row>
    <row r="559" spans="4:16" ht="15.75" customHeight="1">
      <c r="D559" s="68"/>
      <c r="M559" s="69"/>
      <c r="N559" s="70"/>
      <c r="O559" s="71"/>
      <c r="P559" s="72"/>
    </row>
    <row r="560" spans="4:16" ht="15.75" customHeight="1">
      <c r="D560" s="68"/>
      <c r="M560" s="69"/>
      <c r="N560" s="70"/>
      <c r="O560" s="71"/>
      <c r="P560" s="72"/>
    </row>
    <row r="561" spans="4:16" ht="15.75" customHeight="1">
      <c r="D561" s="68"/>
      <c r="M561" s="69"/>
      <c r="N561" s="70"/>
      <c r="O561" s="71"/>
      <c r="P561" s="72"/>
    </row>
    <row r="562" spans="4:16" ht="15.75" customHeight="1">
      <c r="D562" s="68"/>
      <c r="M562" s="69"/>
      <c r="N562" s="70"/>
      <c r="O562" s="71"/>
      <c r="P562" s="72"/>
    </row>
    <row r="563" spans="4:16" ht="15.75" customHeight="1">
      <c r="D563" s="68"/>
      <c r="M563" s="69"/>
      <c r="N563" s="70"/>
      <c r="O563" s="71"/>
      <c r="P563" s="72"/>
    </row>
    <row r="564" spans="4:16" ht="15.75" customHeight="1">
      <c r="D564" s="68"/>
      <c r="M564" s="69"/>
      <c r="N564" s="70"/>
      <c r="O564" s="71"/>
      <c r="P564" s="72"/>
    </row>
    <row r="565" spans="4:16" ht="15.75" customHeight="1">
      <c r="D565" s="68"/>
      <c r="M565" s="69"/>
      <c r="N565" s="70"/>
      <c r="O565" s="71"/>
      <c r="P565" s="72"/>
    </row>
    <row r="566" spans="4:16" ht="15.75" customHeight="1">
      <c r="D566" s="68"/>
      <c r="M566" s="69"/>
      <c r="N566" s="70"/>
      <c r="O566" s="71"/>
      <c r="P566" s="72"/>
    </row>
    <row r="567" spans="4:16" ht="15.75" customHeight="1">
      <c r="D567" s="68"/>
      <c r="M567" s="69"/>
      <c r="N567" s="70"/>
      <c r="O567" s="71"/>
      <c r="P567" s="72"/>
    </row>
    <row r="568" spans="4:16" ht="15.75" customHeight="1">
      <c r="D568" s="68"/>
      <c r="M568" s="69"/>
      <c r="N568" s="70"/>
      <c r="O568" s="71"/>
      <c r="P568" s="72"/>
    </row>
    <row r="569" spans="4:16" ht="15.75" customHeight="1">
      <c r="D569" s="68"/>
      <c r="M569" s="69"/>
      <c r="N569" s="70"/>
      <c r="O569" s="71"/>
      <c r="P569" s="72"/>
    </row>
    <row r="570" spans="4:16" ht="15.75" customHeight="1">
      <c r="D570" s="68"/>
      <c r="M570" s="69"/>
      <c r="N570" s="70"/>
      <c r="O570" s="71"/>
      <c r="P570" s="72"/>
    </row>
    <row r="571" spans="4:16" ht="15.75" customHeight="1">
      <c r="D571" s="68"/>
      <c r="M571" s="69"/>
      <c r="N571" s="70"/>
      <c r="O571" s="71"/>
      <c r="P571" s="72"/>
    </row>
    <row r="572" spans="4:16" ht="15.75" customHeight="1">
      <c r="D572" s="68"/>
      <c r="M572" s="69"/>
      <c r="N572" s="70"/>
      <c r="O572" s="71"/>
      <c r="P572" s="72"/>
    </row>
    <row r="573" spans="4:16" ht="15.75" customHeight="1">
      <c r="D573" s="68"/>
      <c r="M573" s="69"/>
      <c r="N573" s="70"/>
      <c r="O573" s="71"/>
      <c r="P573" s="72"/>
    </row>
    <row r="574" spans="4:16" ht="15.75" customHeight="1">
      <c r="D574" s="68"/>
      <c r="M574" s="69"/>
      <c r="N574" s="70"/>
      <c r="O574" s="71"/>
      <c r="P574" s="72"/>
    </row>
    <row r="575" spans="4:16" ht="15.75" customHeight="1">
      <c r="D575" s="68"/>
      <c r="M575" s="69"/>
      <c r="N575" s="70"/>
      <c r="O575" s="71"/>
      <c r="P575" s="72"/>
    </row>
    <row r="576" spans="4:16" ht="15.75" customHeight="1">
      <c r="D576" s="68"/>
      <c r="M576" s="69"/>
      <c r="N576" s="70"/>
      <c r="O576" s="71"/>
      <c r="P576" s="72"/>
    </row>
    <row r="577" spans="4:16" ht="15.75" customHeight="1">
      <c r="D577" s="68"/>
      <c r="M577" s="69"/>
      <c r="N577" s="70"/>
      <c r="O577" s="71"/>
      <c r="P577" s="72"/>
    </row>
    <row r="578" spans="4:16" ht="15.75" customHeight="1">
      <c r="D578" s="68"/>
      <c r="M578" s="69"/>
      <c r="N578" s="70"/>
      <c r="O578" s="71"/>
      <c r="P578" s="72"/>
    </row>
    <row r="579" spans="4:16" ht="15.75" customHeight="1">
      <c r="D579" s="68"/>
      <c r="M579" s="69"/>
      <c r="N579" s="70"/>
      <c r="O579" s="71"/>
      <c r="P579" s="72"/>
    </row>
    <row r="580" spans="4:16" ht="15.75" customHeight="1">
      <c r="D580" s="68"/>
      <c r="M580" s="69"/>
      <c r="N580" s="70"/>
      <c r="O580" s="71"/>
      <c r="P580" s="72"/>
    </row>
    <row r="581" spans="4:16" ht="15.75" customHeight="1">
      <c r="D581" s="68"/>
      <c r="M581" s="69"/>
      <c r="N581" s="70"/>
      <c r="O581" s="71"/>
      <c r="P581" s="72"/>
    </row>
    <row r="582" spans="4:16" ht="15.75" customHeight="1">
      <c r="D582" s="68"/>
      <c r="M582" s="69"/>
      <c r="N582" s="70"/>
      <c r="O582" s="71"/>
      <c r="P582" s="72"/>
    </row>
    <row r="583" spans="4:16" ht="15.75" customHeight="1">
      <c r="D583" s="68"/>
      <c r="M583" s="69"/>
      <c r="N583" s="70"/>
      <c r="O583" s="71"/>
      <c r="P583" s="72"/>
    </row>
    <row r="584" spans="4:16" ht="15.75" customHeight="1">
      <c r="D584" s="68"/>
      <c r="M584" s="69"/>
      <c r="N584" s="70"/>
      <c r="O584" s="71"/>
      <c r="P584" s="72"/>
    </row>
    <row r="585" spans="4:16" ht="15.75" customHeight="1">
      <c r="D585" s="68"/>
      <c r="M585" s="69"/>
      <c r="N585" s="70"/>
      <c r="O585" s="71"/>
      <c r="P585" s="72"/>
    </row>
    <row r="586" spans="4:16" ht="15.75" customHeight="1">
      <c r="D586" s="68"/>
      <c r="M586" s="69"/>
      <c r="N586" s="70"/>
      <c r="O586" s="71"/>
      <c r="P586" s="72"/>
    </row>
    <row r="587" spans="4:16" ht="15.75" customHeight="1">
      <c r="D587" s="68"/>
      <c r="M587" s="69"/>
      <c r="N587" s="70"/>
      <c r="O587" s="71"/>
      <c r="P587" s="72"/>
    </row>
    <row r="588" spans="4:16" ht="15.75" customHeight="1">
      <c r="D588" s="68"/>
      <c r="M588" s="69"/>
      <c r="N588" s="70"/>
      <c r="O588" s="71"/>
      <c r="P588" s="72"/>
    </row>
    <row r="589" spans="4:16" ht="15.75" customHeight="1">
      <c r="D589" s="68"/>
      <c r="M589" s="69"/>
      <c r="N589" s="70"/>
      <c r="O589" s="71"/>
      <c r="P589" s="72"/>
    </row>
    <row r="590" spans="4:16" ht="15.75" customHeight="1">
      <c r="D590" s="68"/>
      <c r="M590" s="69"/>
      <c r="N590" s="70"/>
      <c r="O590" s="71"/>
      <c r="P590" s="72"/>
    </row>
    <row r="591" spans="4:16" ht="15.75" customHeight="1">
      <c r="D591" s="68"/>
      <c r="M591" s="69"/>
      <c r="N591" s="70"/>
      <c r="O591" s="71"/>
      <c r="P591" s="72"/>
    </row>
    <row r="592" spans="4:16" ht="15.75" customHeight="1">
      <c r="D592" s="68"/>
      <c r="M592" s="69"/>
      <c r="N592" s="70"/>
      <c r="O592" s="71"/>
      <c r="P592" s="72"/>
    </row>
    <row r="593" spans="4:16" ht="15.75" customHeight="1">
      <c r="D593" s="68"/>
      <c r="M593" s="69"/>
      <c r="N593" s="70"/>
      <c r="O593" s="71"/>
      <c r="P593" s="72"/>
    </row>
    <row r="594" spans="4:16" ht="15.75" customHeight="1">
      <c r="D594" s="68"/>
      <c r="M594" s="69"/>
      <c r="N594" s="70"/>
      <c r="O594" s="71"/>
      <c r="P594" s="72"/>
    </row>
    <row r="595" spans="4:16" ht="15.75" customHeight="1">
      <c r="D595" s="68"/>
      <c r="M595" s="69"/>
      <c r="N595" s="70"/>
      <c r="O595" s="71"/>
      <c r="P595" s="72"/>
    </row>
    <row r="596" spans="4:16" ht="15.75" customHeight="1">
      <c r="D596" s="68"/>
      <c r="M596" s="69"/>
      <c r="N596" s="70"/>
      <c r="O596" s="71"/>
      <c r="P596" s="72"/>
    </row>
    <row r="597" spans="4:16" ht="15.75" customHeight="1">
      <c r="D597" s="68"/>
      <c r="M597" s="69"/>
      <c r="N597" s="70"/>
      <c r="O597" s="71"/>
      <c r="P597" s="72"/>
    </row>
    <row r="598" spans="4:16" ht="15.75" customHeight="1">
      <c r="D598" s="68"/>
      <c r="M598" s="69"/>
      <c r="N598" s="70"/>
      <c r="O598" s="71"/>
      <c r="P598" s="72"/>
    </row>
    <row r="599" spans="4:16" ht="15.75" customHeight="1">
      <c r="D599" s="68"/>
      <c r="M599" s="69"/>
      <c r="N599" s="70"/>
      <c r="O599" s="71"/>
      <c r="P599" s="72"/>
    </row>
    <row r="600" spans="4:16" ht="15.75" customHeight="1">
      <c r="D600" s="68"/>
      <c r="M600" s="69"/>
      <c r="N600" s="70"/>
      <c r="O600" s="71"/>
      <c r="P600" s="72"/>
    </row>
    <row r="601" spans="4:16" ht="15.75" customHeight="1">
      <c r="D601" s="68"/>
      <c r="M601" s="69"/>
      <c r="N601" s="70"/>
      <c r="O601" s="71"/>
      <c r="P601" s="72"/>
    </row>
    <row r="602" spans="4:16" ht="15.75" customHeight="1">
      <c r="D602" s="68"/>
      <c r="M602" s="69"/>
      <c r="N602" s="70"/>
      <c r="O602" s="71"/>
      <c r="P602" s="72"/>
    </row>
    <row r="603" spans="4:16" ht="15.75" customHeight="1">
      <c r="D603" s="68"/>
      <c r="M603" s="69"/>
      <c r="N603" s="70"/>
      <c r="O603" s="71"/>
      <c r="P603" s="72"/>
    </row>
    <row r="604" spans="4:16" ht="15.75" customHeight="1">
      <c r="D604" s="68"/>
      <c r="M604" s="69"/>
      <c r="N604" s="70"/>
      <c r="O604" s="71"/>
      <c r="P604" s="72"/>
    </row>
    <row r="605" spans="4:16" ht="15.75" customHeight="1">
      <c r="D605" s="68"/>
      <c r="M605" s="69"/>
      <c r="N605" s="70"/>
      <c r="O605" s="71"/>
      <c r="P605" s="72"/>
    </row>
    <row r="606" spans="4:16" ht="15.75" customHeight="1">
      <c r="D606" s="68"/>
      <c r="M606" s="69"/>
      <c r="N606" s="70"/>
      <c r="O606" s="71"/>
      <c r="P606" s="72"/>
    </row>
    <row r="607" spans="4:16" ht="15.75" customHeight="1">
      <c r="D607" s="68"/>
      <c r="M607" s="69"/>
      <c r="N607" s="70"/>
      <c r="O607" s="71"/>
      <c r="P607" s="72"/>
    </row>
    <row r="608" spans="4:16" ht="15.75" customHeight="1">
      <c r="D608" s="68"/>
      <c r="M608" s="69"/>
      <c r="N608" s="70"/>
      <c r="O608" s="71"/>
      <c r="P608" s="72"/>
    </row>
    <row r="609" spans="4:16" ht="15.75" customHeight="1">
      <c r="D609" s="68"/>
      <c r="M609" s="69"/>
      <c r="N609" s="70"/>
      <c r="O609" s="71"/>
      <c r="P609" s="72"/>
    </row>
    <row r="610" spans="4:16" ht="15.75" customHeight="1">
      <c r="D610" s="68"/>
      <c r="M610" s="69"/>
      <c r="N610" s="70"/>
      <c r="O610" s="71"/>
      <c r="P610" s="72"/>
    </row>
    <row r="611" spans="4:16" ht="15.75" customHeight="1">
      <c r="D611" s="68"/>
      <c r="M611" s="69"/>
      <c r="N611" s="70"/>
      <c r="O611" s="71"/>
      <c r="P611" s="72"/>
    </row>
    <row r="612" spans="4:16" ht="15.75" customHeight="1">
      <c r="D612" s="68"/>
      <c r="M612" s="69"/>
      <c r="N612" s="70"/>
      <c r="O612" s="71"/>
      <c r="P612" s="72"/>
    </row>
    <row r="613" spans="4:16" ht="15.75" customHeight="1">
      <c r="D613" s="68"/>
      <c r="M613" s="69"/>
      <c r="N613" s="70"/>
      <c r="O613" s="71"/>
      <c r="P613" s="72"/>
    </row>
    <row r="614" spans="4:16" ht="15.75" customHeight="1">
      <c r="D614" s="68"/>
      <c r="M614" s="69"/>
      <c r="N614" s="70"/>
      <c r="O614" s="71"/>
      <c r="P614" s="72"/>
    </row>
    <row r="615" spans="4:16" ht="15.75" customHeight="1">
      <c r="D615" s="68"/>
      <c r="M615" s="69"/>
      <c r="N615" s="70"/>
      <c r="O615" s="71"/>
      <c r="P615" s="72"/>
    </row>
    <row r="616" spans="4:16" ht="15.75" customHeight="1">
      <c r="D616" s="68"/>
      <c r="M616" s="69"/>
      <c r="N616" s="70"/>
      <c r="O616" s="71"/>
      <c r="P616" s="72"/>
    </row>
    <row r="617" spans="4:16" ht="15.75" customHeight="1">
      <c r="D617" s="68"/>
      <c r="M617" s="69"/>
      <c r="N617" s="70"/>
      <c r="O617" s="71"/>
      <c r="P617" s="72"/>
    </row>
    <row r="618" spans="4:16" ht="15.75" customHeight="1">
      <c r="D618" s="68"/>
      <c r="M618" s="69"/>
      <c r="N618" s="70"/>
      <c r="O618" s="71"/>
      <c r="P618" s="72"/>
    </row>
    <row r="619" spans="4:16" ht="15.75" customHeight="1">
      <c r="D619" s="68"/>
      <c r="M619" s="69"/>
      <c r="N619" s="70"/>
      <c r="O619" s="71"/>
      <c r="P619" s="72"/>
    </row>
    <row r="620" spans="4:16" ht="15.75" customHeight="1">
      <c r="D620" s="68"/>
      <c r="M620" s="69"/>
      <c r="N620" s="70"/>
      <c r="O620" s="71"/>
      <c r="P620" s="72"/>
    </row>
    <row r="621" spans="4:16" ht="15.75" customHeight="1">
      <c r="D621" s="68"/>
      <c r="M621" s="69"/>
      <c r="N621" s="70"/>
      <c r="O621" s="71"/>
      <c r="P621" s="72"/>
    </row>
    <row r="622" spans="4:16" ht="15.75" customHeight="1">
      <c r="D622" s="68"/>
      <c r="M622" s="69"/>
      <c r="N622" s="70"/>
      <c r="O622" s="71"/>
      <c r="P622" s="72"/>
    </row>
    <row r="623" spans="4:16" ht="15.75" customHeight="1">
      <c r="D623" s="68"/>
      <c r="M623" s="69"/>
      <c r="N623" s="70"/>
      <c r="O623" s="71"/>
      <c r="P623" s="72"/>
    </row>
    <row r="624" spans="4:16" ht="15.75" customHeight="1">
      <c r="D624" s="68"/>
      <c r="M624" s="69"/>
      <c r="N624" s="70"/>
      <c r="O624" s="71"/>
      <c r="P624" s="72"/>
    </row>
    <row r="625" spans="4:16" ht="15.75" customHeight="1">
      <c r="D625" s="68"/>
      <c r="M625" s="69"/>
      <c r="N625" s="70"/>
      <c r="O625" s="71"/>
      <c r="P625" s="72"/>
    </row>
    <row r="626" spans="4:16" ht="15.75" customHeight="1">
      <c r="D626" s="68"/>
      <c r="M626" s="69"/>
      <c r="N626" s="70"/>
      <c r="O626" s="71"/>
      <c r="P626" s="72"/>
    </row>
    <row r="627" spans="4:16" ht="15.75" customHeight="1">
      <c r="D627" s="68"/>
      <c r="M627" s="69"/>
      <c r="N627" s="70"/>
      <c r="O627" s="71"/>
      <c r="P627" s="72"/>
    </row>
    <row r="628" spans="4:16" ht="15.75" customHeight="1">
      <c r="D628" s="68"/>
      <c r="M628" s="69"/>
      <c r="N628" s="70"/>
      <c r="O628" s="71"/>
      <c r="P628" s="72"/>
    </row>
    <row r="629" spans="4:16" ht="15.75" customHeight="1">
      <c r="D629" s="68"/>
      <c r="M629" s="69"/>
      <c r="N629" s="70"/>
      <c r="O629" s="71"/>
      <c r="P629" s="72"/>
    </row>
    <row r="630" spans="4:16" ht="15.75" customHeight="1">
      <c r="D630" s="68"/>
      <c r="M630" s="69"/>
      <c r="N630" s="70"/>
      <c r="O630" s="71"/>
      <c r="P630" s="72"/>
    </row>
    <row r="631" spans="4:16" ht="15.75" customHeight="1">
      <c r="D631" s="68"/>
      <c r="M631" s="69"/>
      <c r="N631" s="70"/>
      <c r="O631" s="71"/>
      <c r="P631" s="72"/>
    </row>
    <row r="632" spans="4:16" ht="15.75" customHeight="1">
      <c r="D632" s="68"/>
      <c r="M632" s="69"/>
      <c r="N632" s="70"/>
      <c r="O632" s="71"/>
      <c r="P632" s="72"/>
    </row>
    <row r="633" spans="4:16" ht="15.75" customHeight="1">
      <c r="D633" s="68"/>
      <c r="M633" s="69"/>
      <c r="N633" s="70"/>
      <c r="O633" s="71"/>
      <c r="P633" s="72"/>
    </row>
    <row r="634" spans="4:16" ht="15.75" customHeight="1">
      <c r="D634" s="68"/>
      <c r="M634" s="69"/>
      <c r="N634" s="70"/>
      <c r="O634" s="71"/>
      <c r="P634" s="72"/>
    </row>
    <row r="635" spans="4:16" ht="15.75" customHeight="1">
      <c r="D635" s="68"/>
      <c r="M635" s="69"/>
      <c r="N635" s="70"/>
      <c r="O635" s="71"/>
      <c r="P635" s="72"/>
    </row>
    <row r="636" spans="4:16" ht="15.75" customHeight="1">
      <c r="D636" s="68"/>
      <c r="M636" s="69"/>
      <c r="N636" s="70"/>
      <c r="O636" s="71"/>
      <c r="P636" s="72"/>
    </row>
    <row r="637" spans="4:16" ht="15.75" customHeight="1">
      <c r="D637" s="68"/>
      <c r="M637" s="69"/>
      <c r="N637" s="70"/>
      <c r="O637" s="71"/>
      <c r="P637" s="72"/>
    </row>
    <row r="638" spans="4:16" ht="15.75" customHeight="1">
      <c r="D638" s="68"/>
      <c r="M638" s="69"/>
      <c r="N638" s="70"/>
      <c r="O638" s="71"/>
      <c r="P638" s="72"/>
    </row>
    <row r="639" spans="4:16" ht="15.75" customHeight="1">
      <c r="D639" s="68"/>
      <c r="M639" s="69"/>
      <c r="N639" s="70"/>
      <c r="O639" s="71"/>
      <c r="P639" s="72"/>
    </row>
    <row r="640" spans="4:16" ht="15.75" customHeight="1">
      <c r="D640" s="68"/>
      <c r="M640" s="69"/>
      <c r="N640" s="70"/>
      <c r="O640" s="71"/>
      <c r="P640" s="72"/>
    </row>
    <row r="641" spans="4:16" ht="15.75" customHeight="1">
      <c r="D641" s="68"/>
      <c r="M641" s="69"/>
      <c r="N641" s="70"/>
      <c r="O641" s="71"/>
      <c r="P641" s="72"/>
    </row>
    <row r="642" spans="4:16" ht="15.75" customHeight="1">
      <c r="D642" s="68"/>
      <c r="M642" s="69"/>
      <c r="N642" s="70"/>
      <c r="O642" s="71"/>
      <c r="P642" s="72"/>
    </row>
    <row r="643" spans="4:16" ht="15.75" customHeight="1">
      <c r="D643" s="68"/>
      <c r="M643" s="69"/>
      <c r="N643" s="70"/>
      <c r="O643" s="71"/>
      <c r="P643" s="72"/>
    </row>
    <row r="644" spans="4:16" ht="15.75" customHeight="1">
      <c r="D644" s="68"/>
      <c r="M644" s="69"/>
      <c r="N644" s="70"/>
      <c r="O644" s="71"/>
      <c r="P644" s="72"/>
    </row>
    <row r="645" spans="4:16" ht="15.75" customHeight="1">
      <c r="D645" s="68"/>
      <c r="M645" s="69"/>
      <c r="N645" s="70"/>
      <c r="O645" s="71"/>
      <c r="P645" s="72"/>
    </row>
    <row r="646" spans="4:16" ht="15.75" customHeight="1">
      <c r="D646" s="68"/>
      <c r="M646" s="69"/>
      <c r="N646" s="70"/>
      <c r="O646" s="71"/>
      <c r="P646" s="72"/>
    </row>
    <row r="647" spans="4:16" ht="15.75" customHeight="1">
      <c r="D647" s="68"/>
      <c r="M647" s="69"/>
      <c r="N647" s="70"/>
      <c r="O647" s="71"/>
      <c r="P647" s="72"/>
    </row>
    <row r="648" spans="4:16" ht="15.75" customHeight="1">
      <c r="D648" s="68"/>
      <c r="M648" s="69"/>
      <c r="N648" s="70"/>
      <c r="O648" s="71"/>
      <c r="P648" s="72"/>
    </row>
    <row r="649" spans="4:16" ht="15.75" customHeight="1">
      <c r="D649" s="68"/>
      <c r="M649" s="69"/>
      <c r="N649" s="70"/>
      <c r="O649" s="71"/>
      <c r="P649" s="72"/>
    </row>
    <row r="650" spans="4:16" ht="15.75" customHeight="1">
      <c r="D650" s="68"/>
      <c r="M650" s="69"/>
      <c r="N650" s="70"/>
      <c r="O650" s="71"/>
      <c r="P650" s="72"/>
    </row>
    <row r="651" spans="4:16" ht="15.75" customHeight="1">
      <c r="D651" s="68"/>
      <c r="M651" s="69"/>
      <c r="N651" s="70"/>
      <c r="O651" s="71"/>
      <c r="P651" s="72"/>
    </row>
    <row r="652" spans="4:16" ht="15.75" customHeight="1">
      <c r="D652" s="68"/>
      <c r="M652" s="69"/>
      <c r="N652" s="70"/>
      <c r="O652" s="71"/>
      <c r="P652" s="72"/>
    </row>
    <row r="653" spans="4:16" ht="15.75" customHeight="1">
      <c r="D653" s="68"/>
      <c r="M653" s="69"/>
      <c r="N653" s="70"/>
      <c r="O653" s="71"/>
      <c r="P653" s="72"/>
    </row>
    <row r="654" spans="4:16" ht="15.75" customHeight="1">
      <c r="D654" s="68"/>
      <c r="M654" s="69"/>
      <c r="N654" s="70"/>
      <c r="O654" s="71"/>
      <c r="P654" s="72"/>
    </row>
    <row r="655" spans="4:16" ht="15.75" customHeight="1">
      <c r="D655" s="68"/>
      <c r="M655" s="69"/>
      <c r="N655" s="70"/>
      <c r="O655" s="71"/>
      <c r="P655" s="72"/>
    </row>
    <row r="656" spans="4:16" ht="15.75" customHeight="1">
      <c r="D656" s="68"/>
      <c r="M656" s="69"/>
      <c r="N656" s="70"/>
      <c r="O656" s="71"/>
      <c r="P656" s="72"/>
    </row>
    <row r="657" spans="4:16" ht="15.75" customHeight="1">
      <c r="D657" s="68"/>
      <c r="M657" s="69"/>
      <c r="N657" s="70"/>
      <c r="O657" s="71"/>
      <c r="P657" s="72"/>
    </row>
    <row r="658" spans="4:16" ht="15.75" customHeight="1">
      <c r="D658" s="68"/>
      <c r="M658" s="69"/>
      <c r="N658" s="70"/>
      <c r="O658" s="71"/>
      <c r="P658" s="72"/>
    </row>
    <row r="659" spans="4:16" ht="15.75" customHeight="1">
      <c r="D659" s="68"/>
      <c r="M659" s="69"/>
      <c r="N659" s="70"/>
      <c r="O659" s="71"/>
      <c r="P659" s="72"/>
    </row>
    <row r="660" spans="4:16" ht="15.75" customHeight="1">
      <c r="D660" s="68"/>
      <c r="M660" s="69"/>
      <c r="N660" s="70"/>
      <c r="O660" s="71"/>
      <c r="P660" s="72"/>
    </row>
    <row r="661" spans="4:16" ht="15.75" customHeight="1">
      <c r="D661" s="68"/>
      <c r="M661" s="69"/>
      <c r="N661" s="70"/>
      <c r="O661" s="71"/>
      <c r="P661" s="72"/>
    </row>
    <row r="662" spans="4:16" ht="15.75" customHeight="1">
      <c r="D662" s="68"/>
      <c r="M662" s="69"/>
      <c r="N662" s="70"/>
      <c r="O662" s="71"/>
      <c r="P662" s="72"/>
    </row>
    <row r="663" spans="4:16" ht="15.75" customHeight="1">
      <c r="D663" s="68"/>
      <c r="M663" s="69"/>
      <c r="N663" s="70"/>
      <c r="O663" s="71"/>
      <c r="P663" s="72"/>
    </row>
    <row r="664" spans="4:16" ht="15.75" customHeight="1">
      <c r="D664" s="68"/>
      <c r="M664" s="69"/>
      <c r="N664" s="70"/>
      <c r="O664" s="71"/>
      <c r="P664" s="72"/>
    </row>
    <row r="665" spans="4:16" ht="15.75" customHeight="1">
      <c r="D665" s="68"/>
      <c r="M665" s="69"/>
      <c r="N665" s="70"/>
      <c r="O665" s="71"/>
      <c r="P665" s="72"/>
    </row>
    <row r="666" spans="4:16" ht="15.75" customHeight="1">
      <c r="D666" s="68"/>
      <c r="M666" s="69"/>
      <c r="N666" s="70"/>
      <c r="O666" s="71"/>
      <c r="P666" s="72"/>
    </row>
    <row r="667" spans="4:16" ht="15.75" customHeight="1">
      <c r="D667" s="68"/>
      <c r="M667" s="69"/>
      <c r="N667" s="70"/>
      <c r="O667" s="71"/>
      <c r="P667" s="72"/>
    </row>
    <row r="668" spans="4:16" ht="15.75" customHeight="1">
      <c r="D668" s="68"/>
      <c r="M668" s="69"/>
      <c r="N668" s="70"/>
      <c r="O668" s="71"/>
      <c r="P668" s="72"/>
    </row>
    <row r="669" spans="4:16" ht="15.75" customHeight="1">
      <c r="D669" s="68"/>
      <c r="M669" s="69"/>
      <c r="N669" s="70"/>
      <c r="O669" s="71"/>
      <c r="P669" s="72"/>
    </row>
    <row r="670" spans="4:16" ht="15.75" customHeight="1">
      <c r="D670" s="68"/>
      <c r="M670" s="69"/>
      <c r="N670" s="70"/>
      <c r="O670" s="71"/>
      <c r="P670" s="72"/>
    </row>
    <row r="671" spans="4:16" ht="15.75" customHeight="1">
      <c r="D671" s="68"/>
      <c r="M671" s="69"/>
      <c r="N671" s="70"/>
      <c r="O671" s="71"/>
      <c r="P671" s="72"/>
    </row>
    <row r="672" spans="4:16" ht="15.75" customHeight="1">
      <c r="D672" s="68"/>
      <c r="M672" s="69"/>
      <c r="N672" s="70"/>
      <c r="O672" s="71"/>
      <c r="P672" s="72"/>
    </row>
    <row r="673" spans="4:16" ht="15.75" customHeight="1">
      <c r="D673" s="68"/>
      <c r="M673" s="69"/>
      <c r="N673" s="70"/>
      <c r="O673" s="71"/>
      <c r="P673" s="72"/>
    </row>
    <row r="674" spans="4:16" ht="15.75" customHeight="1">
      <c r="D674" s="68"/>
      <c r="M674" s="69"/>
      <c r="N674" s="70"/>
      <c r="O674" s="71"/>
      <c r="P674" s="72"/>
    </row>
    <row r="675" spans="4:16" ht="15.75" customHeight="1">
      <c r="D675" s="68"/>
      <c r="M675" s="69"/>
      <c r="N675" s="70"/>
      <c r="O675" s="71"/>
      <c r="P675" s="72"/>
    </row>
    <row r="676" spans="4:16" ht="15.75" customHeight="1">
      <c r="D676" s="68"/>
      <c r="M676" s="69"/>
      <c r="N676" s="70"/>
      <c r="O676" s="71"/>
      <c r="P676" s="72"/>
    </row>
    <row r="677" spans="4:16" ht="15.75" customHeight="1">
      <c r="D677" s="68"/>
      <c r="M677" s="69"/>
      <c r="N677" s="70"/>
      <c r="O677" s="71"/>
      <c r="P677" s="72"/>
    </row>
    <row r="678" spans="4:16" ht="15.75" customHeight="1">
      <c r="D678" s="68"/>
      <c r="M678" s="69"/>
      <c r="N678" s="70"/>
      <c r="O678" s="71"/>
      <c r="P678" s="72"/>
    </row>
    <row r="679" spans="4:16" ht="15.75" customHeight="1">
      <c r="D679" s="68"/>
      <c r="M679" s="69"/>
      <c r="N679" s="70"/>
      <c r="O679" s="71"/>
      <c r="P679" s="72"/>
    </row>
    <row r="680" spans="4:16" ht="15.75" customHeight="1">
      <c r="D680" s="68"/>
      <c r="M680" s="69"/>
      <c r="N680" s="70"/>
      <c r="O680" s="71"/>
      <c r="P680" s="72"/>
    </row>
    <row r="681" spans="4:16" ht="15.75" customHeight="1">
      <c r="D681" s="68"/>
      <c r="M681" s="69"/>
      <c r="N681" s="70"/>
      <c r="O681" s="71"/>
      <c r="P681" s="72"/>
    </row>
    <row r="682" spans="4:16" ht="15.75" customHeight="1">
      <c r="D682" s="68"/>
      <c r="M682" s="69"/>
      <c r="N682" s="70"/>
      <c r="O682" s="71"/>
      <c r="P682" s="72"/>
    </row>
    <row r="683" spans="4:16" ht="15.75" customHeight="1">
      <c r="D683" s="68"/>
      <c r="M683" s="69"/>
      <c r="N683" s="70"/>
      <c r="O683" s="71"/>
      <c r="P683" s="72"/>
    </row>
    <row r="684" spans="4:16" ht="15.75" customHeight="1">
      <c r="D684" s="68"/>
      <c r="M684" s="69"/>
      <c r="N684" s="70"/>
      <c r="O684" s="71"/>
      <c r="P684" s="72"/>
    </row>
    <row r="685" spans="4:16" ht="15.75" customHeight="1">
      <c r="D685" s="68"/>
      <c r="M685" s="69"/>
      <c r="N685" s="70"/>
      <c r="O685" s="71"/>
      <c r="P685" s="72"/>
    </row>
    <row r="686" spans="4:16" ht="15.75" customHeight="1">
      <c r="D686" s="68"/>
      <c r="M686" s="69"/>
      <c r="N686" s="70"/>
      <c r="O686" s="71"/>
      <c r="P686" s="72"/>
    </row>
    <row r="687" spans="4:16" ht="15.75" customHeight="1">
      <c r="D687" s="68"/>
      <c r="M687" s="69"/>
      <c r="N687" s="70"/>
      <c r="O687" s="71"/>
      <c r="P687" s="72"/>
    </row>
    <row r="688" spans="4:16" ht="15.75" customHeight="1">
      <c r="D688" s="68"/>
      <c r="M688" s="69"/>
      <c r="N688" s="70"/>
      <c r="O688" s="71"/>
      <c r="P688" s="72"/>
    </row>
    <row r="689" spans="4:16" ht="15.75" customHeight="1">
      <c r="D689" s="68"/>
      <c r="M689" s="69"/>
      <c r="N689" s="70"/>
      <c r="O689" s="71"/>
      <c r="P689" s="72"/>
    </row>
    <row r="690" spans="4:16" ht="15.75" customHeight="1">
      <c r="D690" s="68"/>
      <c r="M690" s="69"/>
      <c r="N690" s="70"/>
      <c r="O690" s="71"/>
      <c r="P690" s="72"/>
    </row>
    <row r="691" spans="4:16" ht="15.75" customHeight="1">
      <c r="D691" s="68"/>
      <c r="M691" s="69"/>
      <c r="N691" s="70"/>
      <c r="O691" s="71"/>
      <c r="P691" s="72"/>
    </row>
    <row r="692" spans="4:16" ht="15.75" customHeight="1">
      <c r="D692" s="68"/>
      <c r="M692" s="69"/>
      <c r="N692" s="70"/>
      <c r="O692" s="71"/>
      <c r="P692" s="72"/>
    </row>
    <row r="693" spans="4:16" ht="15.75" customHeight="1">
      <c r="D693" s="68"/>
      <c r="M693" s="69"/>
      <c r="N693" s="70"/>
      <c r="O693" s="71"/>
      <c r="P693" s="72"/>
    </row>
    <row r="694" spans="4:16" ht="15.75" customHeight="1">
      <c r="D694" s="68"/>
      <c r="M694" s="69"/>
      <c r="N694" s="70"/>
      <c r="O694" s="71"/>
      <c r="P694" s="72"/>
    </row>
    <row r="695" spans="4:16" ht="15.75" customHeight="1">
      <c r="D695" s="68"/>
      <c r="M695" s="69"/>
      <c r="N695" s="70"/>
      <c r="O695" s="71"/>
      <c r="P695" s="72"/>
    </row>
    <row r="696" spans="4:16" ht="15.75" customHeight="1">
      <c r="D696" s="68"/>
      <c r="M696" s="69"/>
      <c r="N696" s="70"/>
      <c r="O696" s="71"/>
      <c r="P696" s="72"/>
    </row>
    <row r="697" spans="4:16" ht="15.75" customHeight="1">
      <c r="D697" s="68"/>
      <c r="M697" s="69"/>
      <c r="N697" s="70"/>
      <c r="O697" s="71"/>
      <c r="P697" s="72"/>
    </row>
    <row r="698" spans="4:16" ht="15.75" customHeight="1">
      <c r="D698" s="68"/>
      <c r="M698" s="69"/>
      <c r="N698" s="70"/>
      <c r="O698" s="71"/>
      <c r="P698" s="72"/>
    </row>
    <row r="699" spans="4:16" ht="15.75" customHeight="1">
      <c r="D699" s="68"/>
      <c r="M699" s="69"/>
      <c r="N699" s="70"/>
      <c r="O699" s="71"/>
      <c r="P699" s="72"/>
    </row>
    <row r="700" spans="4:16" ht="15.75" customHeight="1">
      <c r="D700" s="68"/>
      <c r="M700" s="69"/>
      <c r="N700" s="70"/>
      <c r="O700" s="71"/>
      <c r="P700" s="72"/>
    </row>
    <row r="701" spans="4:16" ht="15.75" customHeight="1">
      <c r="D701" s="68"/>
      <c r="M701" s="69"/>
      <c r="N701" s="70"/>
      <c r="O701" s="71"/>
      <c r="P701" s="72"/>
    </row>
    <row r="702" spans="4:16" ht="15.75" customHeight="1">
      <c r="D702" s="68"/>
      <c r="M702" s="69"/>
      <c r="N702" s="70"/>
      <c r="O702" s="71"/>
      <c r="P702" s="72"/>
    </row>
    <row r="703" spans="4:16" ht="15.75" customHeight="1">
      <c r="D703" s="68"/>
      <c r="M703" s="69"/>
      <c r="N703" s="70"/>
      <c r="O703" s="71"/>
      <c r="P703" s="72"/>
    </row>
    <row r="704" spans="4:16" ht="15.75" customHeight="1">
      <c r="D704" s="68"/>
      <c r="M704" s="69"/>
      <c r="N704" s="70"/>
      <c r="O704" s="71"/>
      <c r="P704" s="72"/>
    </row>
    <row r="705" spans="4:16" ht="15.75" customHeight="1">
      <c r="D705" s="68"/>
      <c r="M705" s="69"/>
      <c r="N705" s="70"/>
      <c r="O705" s="71"/>
      <c r="P705" s="72"/>
    </row>
    <row r="706" spans="4:16" ht="15.75" customHeight="1">
      <c r="D706" s="68"/>
      <c r="M706" s="69"/>
      <c r="N706" s="70"/>
      <c r="O706" s="71"/>
      <c r="P706" s="72"/>
    </row>
    <row r="707" spans="4:16" ht="15.75" customHeight="1">
      <c r="D707" s="68"/>
      <c r="M707" s="69"/>
      <c r="N707" s="70"/>
      <c r="O707" s="71"/>
      <c r="P707" s="72"/>
    </row>
    <row r="708" spans="4:16" ht="15.75" customHeight="1">
      <c r="D708" s="68"/>
      <c r="M708" s="69"/>
      <c r="N708" s="70"/>
      <c r="O708" s="71"/>
      <c r="P708" s="72"/>
    </row>
    <row r="709" spans="4:16" ht="15.75" customHeight="1">
      <c r="D709" s="68"/>
      <c r="M709" s="69"/>
      <c r="N709" s="70"/>
      <c r="O709" s="71"/>
      <c r="P709" s="72"/>
    </row>
    <row r="710" spans="4:16" ht="15.75" customHeight="1">
      <c r="D710" s="68"/>
      <c r="M710" s="69"/>
      <c r="N710" s="70"/>
      <c r="O710" s="71"/>
      <c r="P710" s="72"/>
    </row>
    <row r="711" spans="4:16" ht="15.75" customHeight="1">
      <c r="D711" s="68"/>
      <c r="M711" s="69"/>
      <c r="N711" s="70"/>
      <c r="O711" s="71"/>
      <c r="P711" s="72"/>
    </row>
    <row r="712" spans="4:16" ht="15.75" customHeight="1">
      <c r="D712" s="68"/>
      <c r="M712" s="69"/>
      <c r="N712" s="70"/>
      <c r="O712" s="71"/>
      <c r="P712" s="72"/>
    </row>
    <row r="713" spans="4:16" ht="15.75" customHeight="1">
      <c r="D713" s="68"/>
      <c r="M713" s="69"/>
      <c r="N713" s="70"/>
      <c r="O713" s="71"/>
      <c r="P713" s="72"/>
    </row>
    <row r="714" spans="4:16" ht="15.75" customHeight="1">
      <c r="D714" s="68"/>
      <c r="M714" s="69"/>
      <c r="N714" s="70"/>
      <c r="O714" s="71"/>
      <c r="P714" s="72"/>
    </row>
    <row r="715" spans="4:16" ht="15.75" customHeight="1">
      <c r="D715" s="68"/>
      <c r="M715" s="69"/>
      <c r="N715" s="70"/>
      <c r="O715" s="71"/>
      <c r="P715" s="72"/>
    </row>
    <row r="716" spans="4:16" ht="15.75" customHeight="1">
      <c r="D716" s="68"/>
      <c r="M716" s="69"/>
      <c r="N716" s="70"/>
      <c r="O716" s="71"/>
      <c r="P716" s="72"/>
    </row>
    <row r="717" spans="4:16" ht="15.75" customHeight="1">
      <c r="D717" s="68"/>
      <c r="M717" s="69"/>
      <c r="N717" s="70"/>
      <c r="O717" s="71"/>
      <c r="P717" s="72"/>
    </row>
    <row r="718" spans="4:16" ht="15.75" customHeight="1">
      <c r="D718" s="68"/>
      <c r="M718" s="69"/>
      <c r="N718" s="70"/>
      <c r="O718" s="71"/>
      <c r="P718" s="72"/>
    </row>
    <row r="719" spans="4:16" ht="15.75" customHeight="1">
      <c r="D719" s="68"/>
      <c r="M719" s="69"/>
      <c r="N719" s="70"/>
      <c r="O719" s="71"/>
      <c r="P719" s="72"/>
    </row>
    <row r="720" spans="4:16" ht="15.75" customHeight="1">
      <c r="D720" s="68"/>
      <c r="M720" s="69"/>
      <c r="N720" s="70"/>
      <c r="O720" s="71"/>
      <c r="P720" s="72"/>
    </row>
    <row r="721" spans="4:16" ht="15.75" customHeight="1">
      <c r="D721" s="68"/>
      <c r="M721" s="69"/>
      <c r="N721" s="70"/>
      <c r="O721" s="71"/>
      <c r="P721" s="72"/>
    </row>
    <row r="722" spans="4:16" ht="15.75" customHeight="1">
      <c r="D722" s="68"/>
      <c r="M722" s="69"/>
      <c r="N722" s="70"/>
      <c r="O722" s="71"/>
      <c r="P722" s="72"/>
    </row>
    <row r="723" spans="4:16" ht="15.75" customHeight="1">
      <c r="D723" s="68"/>
      <c r="M723" s="69"/>
      <c r="N723" s="70"/>
      <c r="O723" s="71"/>
      <c r="P723" s="72"/>
    </row>
    <row r="724" spans="4:16" ht="15.75" customHeight="1">
      <c r="D724" s="68"/>
      <c r="M724" s="69"/>
      <c r="N724" s="70"/>
      <c r="O724" s="71"/>
      <c r="P724" s="72"/>
    </row>
    <row r="725" spans="4:16" ht="15.75" customHeight="1">
      <c r="D725" s="68"/>
      <c r="M725" s="69"/>
      <c r="N725" s="70"/>
      <c r="O725" s="71"/>
      <c r="P725" s="72"/>
    </row>
    <row r="726" spans="4:16" ht="15.75" customHeight="1">
      <c r="D726" s="68"/>
      <c r="M726" s="69"/>
      <c r="N726" s="70"/>
      <c r="O726" s="71"/>
      <c r="P726" s="72"/>
    </row>
    <row r="727" spans="4:16" ht="15.75" customHeight="1">
      <c r="D727" s="68"/>
      <c r="M727" s="69"/>
      <c r="N727" s="70"/>
      <c r="O727" s="71"/>
      <c r="P727" s="72"/>
    </row>
    <row r="728" spans="4:16" ht="15.75" customHeight="1">
      <c r="D728" s="68"/>
      <c r="M728" s="69"/>
      <c r="N728" s="70"/>
      <c r="O728" s="71"/>
      <c r="P728" s="72"/>
    </row>
    <row r="729" spans="4:16" ht="15.75" customHeight="1">
      <c r="D729" s="68"/>
      <c r="M729" s="69"/>
      <c r="N729" s="70"/>
      <c r="O729" s="71"/>
      <c r="P729" s="72"/>
    </row>
    <row r="730" spans="4:16" ht="15.75" customHeight="1">
      <c r="D730" s="68"/>
      <c r="M730" s="69"/>
      <c r="N730" s="70"/>
      <c r="O730" s="71"/>
      <c r="P730" s="72"/>
    </row>
    <row r="731" spans="4:16" ht="15.75" customHeight="1">
      <c r="D731" s="68"/>
      <c r="M731" s="69"/>
      <c r="N731" s="70"/>
      <c r="O731" s="71"/>
      <c r="P731" s="72"/>
    </row>
    <row r="732" spans="4:16" ht="15.75" customHeight="1">
      <c r="D732" s="68"/>
      <c r="M732" s="69"/>
      <c r="N732" s="70"/>
      <c r="O732" s="71"/>
      <c r="P732" s="72"/>
    </row>
    <row r="733" spans="4:16" ht="15.75" customHeight="1">
      <c r="D733" s="68"/>
      <c r="M733" s="69"/>
      <c r="N733" s="70"/>
      <c r="O733" s="71"/>
      <c r="P733" s="72"/>
    </row>
    <row r="734" spans="4:16" ht="15.75" customHeight="1">
      <c r="D734" s="68"/>
      <c r="M734" s="69"/>
      <c r="N734" s="70"/>
      <c r="O734" s="71"/>
      <c r="P734" s="72"/>
    </row>
    <row r="735" spans="4:16" ht="15.75" customHeight="1">
      <c r="D735" s="68"/>
      <c r="M735" s="69"/>
      <c r="N735" s="70"/>
      <c r="O735" s="71"/>
      <c r="P735" s="72"/>
    </row>
    <row r="736" spans="4:16" ht="15.75" customHeight="1">
      <c r="D736" s="68"/>
      <c r="M736" s="69"/>
      <c r="N736" s="70"/>
      <c r="O736" s="71"/>
      <c r="P736" s="72"/>
    </row>
    <row r="737" spans="4:16" ht="15.75" customHeight="1">
      <c r="D737" s="68"/>
      <c r="M737" s="69"/>
      <c r="N737" s="70"/>
      <c r="O737" s="71"/>
      <c r="P737" s="72"/>
    </row>
    <row r="738" spans="4:16" ht="15.75" customHeight="1">
      <c r="D738" s="68"/>
      <c r="M738" s="69"/>
      <c r="N738" s="70"/>
      <c r="O738" s="71"/>
      <c r="P738" s="72"/>
    </row>
    <row r="739" spans="4:16" ht="15.75" customHeight="1">
      <c r="D739" s="68"/>
      <c r="M739" s="69"/>
      <c r="N739" s="70"/>
      <c r="O739" s="71"/>
      <c r="P739" s="72"/>
    </row>
    <row r="740" spans="4:16" ht="15.75" customHeight="1">
      <c r="D740" s="68"/>
      <c r="M740" s="69"/>
      <c r="N740" s="70"/>
      <c r="O740" s="71"/>
      <c r="P740" s="72"/>
    </row>
    <row r="741" spans="4:16" ht="15.75" customHeight="1">
      <c r="D741" s="68"/>
      <c r="M741" s="69"/>
      <c r="N741" s="70"/>
      <c r="O741" s="71"/>
      <c r="P741" s="72"/>
    </row>
    <row r="742" spans="4:16" ht="15.75" customHeight="1">
      <c r="D742" s="68"/>
      <c r="M742" s="69"/>
      <c r="N742" s="70"/>
      <c r="O742" s="71"/>
      <c r="P742" s="72"/>
    </row>
    <row r="743" spans="4:16" ht="15.75" customHeight="1">
      <c r="D743" s="68"/>
      <c r="M743" s="69"/>
      <c r="N743" s="70"/>
      <c r="O743" s="71"/>
      <c r="P743" s="72"/>
    </row>
    <row r="744" spans="4:16" ht="15.75" customHeight="1">
      <c r="D744" s="68"/>
      <c r="M744" s="69"/>
      <c r="N744" s="70"/>
      <c r="O744" s="71"/>
      <c r="P744" s="72"/>
    </row>
    <row r="745" spans="4:16" ht="15.75" customHeight="1">
      <c r="D745" s="68"/>
      <c r="M745" s="69"/>
      <c r="N745" s="70"/>
      <c r="O745" s="71"/>
      <c r="P745" s="72"/>
    </row>
    <row r="746" spans="4:16" ht="15.75" customHeight="1">
      <c r="D746" s="68"/>
      <c r="M746" s="69"/>
      <c r="N746" s="70"/>
      <c r="O746" s="71"/>
      <c r="P746" s="72"/>
    </row>
    <row r="747" spans="4:16" ht="15.75" customHeight="1">
      <c r="D747" s="68"/>
      <c r="M747" s="69"/>
      <c r="N747" s="70"/>
      <c r="O747" s="71"/>
      <c r="P747" s="72"/>
    </row>
    <row r="748" spans="4:16" ht="15.75" customHeight="1">
      <c r="D748" s="68"/>
      <c r="M748" s="69"/>
      <c r="N748" s="70"/>
      <c r="O748" s="71"/>
      <c r="P748" s="72"/>
    </row>
    <row r="749" spans="4:16" ht="15.75" customHeight="1">
      <c r="D749" s="68"/>
      <c r="M749" s="69"/>
      <c r="N749" s="70"/>
      <c r="O749" s="71"/>
      <c r="P749" s="72"/>
    </row>
    <row r="750" spans="4:16" ht="15.75" customHeight="1">
      <c r="D750" s="68"/>
      <c r="M750" s="69"/>
      <c r="N750" s="70"/>
      <c r="O750" s="71"/>
      <c r="P750" s="72"/>
    </row>
    <row r="751" spans="4:16" ht="15.75" customHeight="1">
      <c r="D751" s="68"/>
      <c r="M751" s="69"/>
      <c r="N751" s="70"/>
      <c r="O751" s="71"/>
      <c r="P751" s="72"/>
    </row>
    <row r="752" spans="4:16" ht="15.75" customHeight="1">
      <c r="D752" s="68"/>
      <c r="M752" s="69"/>
      <c r="N752" s="70"/>
      <c r="O752" s="71"/>
      <c r="P752" s="72"/>
    </row>
    <row r="753" spans="4:16" ht="15.75" customHeight="1">
      <c r="D753" s="68"/>
      <c r="M753" s="69"/>
      <c r="N753" s="70"/>
      <c r="O753" s="71"/>
      <c r="P753" s="72"/>
    </row>
    <row r="754" spans="4:16" ht="15.75" customHeight="1">
      <c r="D754" s="68"/>
      <c r="M754" s="69"/>
      <c r="N754" s="70"/>
      <c r="O754" s="71"/>
      <c r="P754" s="72"/>
    </row>
    <row r="755" spans="4:16" ht="15.75" customHeight="1">
      <c r="D755" s="68"/>
      <c r="M755" s="69"/>
      <c r="N755" s="70"/>
      <c r="O755" s="71"/>
      <c r="P755" s="72"/>
    </row>
    <row r="756" spans="4:16" ht="15.75" customHeight="1">
      <c r="D756" s="68"/>
      <c r="M756" s="69"/>
      <c r="N756" s="70"/>
      <c r="O756" s="71"/>
      <c r="P756" s="72"/>
    </row>
    <row r="757" spans="4:16" ht="15.75" customHeight="1">
      <c r="D757" s="68"/>
      <c r="M757" s="69"/>
      <c r="N757" s="70"/>
      <c r="O757" s="71"/>
      <c r="P757" s="72"/>
    </row>
    <row r="758" spans="4:16" ht="15.75" customHeight="1">
      <c r="D758" s="68"/>
      <c r="M758" s="69"/>
      <c r="N758" s="70"/>
      <c r="O758" s="71"/>
      <c r="P758" s="72"/>
    </row>
    <row r="759" spans="4:16" ht="15.75" customHeight="1">
      <c r="D759" s="68"/>
      <c r="M759" s="69"/>
      <c r="N759" s="70"/>
      <c r="O759" s="71"/>
      <c r="P759" s="72"/>
    </row>
    <row r="760" spans="4:16" ht="15.75" customHeight="1">
      <c r="D760" s="68"/>
      <c r="M760" s="69"/>
      <c r="N760" s="70"/>
      <c r="O760" s="71"/>
      <c r="P760" s="72"/>
    </row>
    <row r="761" spans="4:16" ht="15.75" customHeight="1">
      <c r="D761" s="68"/>
      <c r="M761" s="69"/>
      <c r="N761" s="70"/>
      <c r="O761" s="71"/>
      <c r="P761" s="72"/>
    </row>
    <row r="762" spans="4:16" ht="15.75" customHeight="1">
      <c r="D762" s="68"/>
      <c r="M762" s="69"/>
      <c r="N762" s="70"/>
      <c r="O762" s="71"/>
      <c r="P762" s="72"/>
    </row>
    <row r="763" spans="4:16" ht="15.75" customHeight="1">
      <c r="D763" s="68"/>
      <c r="M763" s="69"/>
      <c r="N763" s="70"/>
      <c r="O763" s="71"/>
      <c r="P763" s="72"/>
    </row>
    <row r="764" spans="4:16" ht="15.75" customHeight="1">
      <c r="D764" s="68"/>
      <c r="M764" s="69"/>
      <c r="N764" s="70"/>
      <c r="O764" s="71"/>
      <c r="P764" s="72"/>
    </row>
    <row r="765" spans="4:16" ht="15.75" customHeight="1">
      <c r="D765" s="68"/>
      <c r="M765" s="69"/>
      <c r="N765" s="70"/>
      <c r="O765" s="71"/>
      <c r="P765" s="72"/>
    </row>
    <row r="766" spans="4:16" ht="15.75" customHeight="1">
      <c r="D766" s="68"/>
      <c r="M766" s="69"/>
      <c r="N766" s="70"/>
      <c r="O766" s="71"/>
      <c r="P766" s="72"/>
    </row>
    <row r="767" spans="4:16" ht="15.75" customHeight="1">
      <c r="D767" s="68"/>
      <c r="M767" s="69"/>
      <c r="N767" s="70"/>
      <c r="O767" s="71"/>
      <c r="P767" s="72"/>
    </row>
    <row r="768" spans="4:16" ht="15.75" customHeight="1">
      <c r="D768" s="68"/>
      <c r="M768" s="69"/>
      <c r="N768" s="70"/>
      <c r="O768" s="71"/>
      <c r="P768" s="72"/>
    </row>
    <row r="769" spans="4:16" ht="15.75" customHeight="1">
      <c r="D769" s="68"/>
      <c r="M769" s="69"/>
      <c r="N769" s="70"/>
      <c r="O769" s="71"/>
      <c r="P769" s="72"/>
    </row>
    <row r="770" spans="4:16" ht="15.75" customHeight="1">
      <c r="D770" s="68"/>
      <c r="M770" s="69"/>
      <c r="N770" s="70"/>
      <c r="O770" s="71"/>
      <c r="P770" s="72"/>
    </row>
    <row r="771" spans="4:16" ht="15.75" customHeight="1">
      <c r="D771" s="68"/>
      <c r="M771" s="69"/>
      <c r="N771" s="70"/>
      <c r="O771" s="71"/>
      <c r="P771" s="72"/>
    </row>
    <row r="772" spans="4:16" ht="15.75" customHeight="1">
      <c r="D772" s="68"/>
      <c r="M772" s="69"/>
      <c r="N772" s="70"/>
      <c r="O772" s="71"/>
      <c r="P772" s="72"/>
    </row>
    <row r="773" spans="4:16" ht="15.75" customHeight="1">
      <c r="D773" s="68"/>
      <c r="M773" s="69"/>
      <c r="N773" s="70"/>
      <c r="O773" s="71"/>
      <c r="P773" s="72"/>
    </row>
    <row r="774" spans="4:16" ht="15.75" customHeight="1">
      <c r="D774" s="68"/>
      <c r="M774" s="69"/>
      <c r="N774" s="70"/>
      <c r="O774" s="71"/>
      <c r="P774" s="72"/>
    </row>
    <row r="775" spans="4:16" ht="15.75" customHeight="1">
      <c r="D775" s="68"/>
      <c r="M775" s="69"/>
      <c r="N775" s="70"/>
      <c r="O775" s="71"/>
      <c r="P775" s="72"/>
    </row>
    <row r="776" spans="4:16" ht="15.75" customHeight="1">
      <c r="D776" s="68"/>
      <c r="M776" s="69"/>
      <c r="N776" s="70"/>
      <c r="O776" s="71"/>
      <c r="P776" s="72"/>
    </row>
    <row r="777" spans="4:16" ht="15.75" customHeight="1">
      <c r="D777" s="68"/>
      <c r="M777" s="69"/>
      <c r="N777" s="70"/>
      <c r="O777" s="71"/>
      <c r="P777" s="72"/>
    </row>
    <row r="778" spans="4:16" ht="15.75" customHeight="1">
      <c r="D778" s="68"/>
      <c r="M778" s="69"/>
      <c r="N778" s="70"/>
      <c r="O778" s="71"/>
      <c r="P778" s="72"/>
    </row>
    <row r="779" spans="4:16" ht="15.75" customHeight="1">
      <c r="D779" s="68"/>
      <c r="M779" s="69"/>
      <c r="N779" s="70"/>
      <c r="O779" s="71"/>
      <c r="P779" s="72"/>
    </row>
    <row r="780" spans="4:16" ht="15.75" customHeight="1">
      <c r="D780" s="68"/>
      <c r="M780" s="69"/>
      <c r="N780" s="70"/>
      <c r="O780" s="71"/>
      <c r="P780" s="72"/>
    </row>
    <row r="781" spans="4:16" ht="15.75" customHeight="1">
      <c r="D781" s="68"/>
      <c r="M781" s="69"/>
      <c r="N781" s="70"/>
      <c r="O781" s="71"/>
      <c r="P781" s="72"/>
    </row>
    <row r="782" spans="4:16" ht="15.75" customHeight="1">
      <c r="D782" s="68"/>
      <c r="M782" s="69"/>
      <c r="N782" s="70"/>
      <c r="O782" s="71"/>
      <c r="P782" s="72"/>
    </row>
    <row r="783" spans="4:16" ht="15.75" customHeight="1">
      <c r="D783" s="68"/>
      <c r="M783" s="69"/>
      <c r="N783" s="70"/>
      <c r="O783" s="71"/>
      <c r="P783" s="72"/>
    </row>
    <row r="784" spans="4:16" ht="15.75" customHeight="1">
      <c r="D784" s="68"/>
      <c r="M784" s="69"/>
      <c r="N784" s="70"/>
      <c r="O784" s="71"/>
      <c r="P784" s="72"/>
    </row>
    <row r="785" spans="4:16" ht="15.75" customHeight="1">
      <c r="D785" s="68"/>
      <c r="M785" s="69"/>
      <c r="N785" s="70"/>
      <c r="O785" s="71"/>
      <c r="P785" s="72"/>
    </row>
    <row r="786" spans="4:16" ht="15.75" customHeight="1">
      <c r="D786" s="68"/>
      <c r="M786" s="69"/>
      <c r="N786" s="70"/>
      <c r="O786" s="71"/>
      <c r="P786" s="72"/>
    </row>
    <row r="787" spans="4:16" ht="15.75" customHeight="1">
      <c r="D787" s="68"/>
      <c r="M787" s="69"/>
      <c r="N787" s="70"/>
      <c r="O787" s="71"/>
      <c r="P787" s="72"/>
    </row>
    <row r="788" spans="4:16" ht="15.75" customHeight="1">
      <c r="D788" s="68"/>
      <c r="M788" s="69"/>
      <c r="N788" s="70"/>
      <c r="O788" s="71"/>
      <c r="P788" s="72"/>
    </row>
    <row r="789" spans="4:16" ht="15.75" customHeight="1">
      <c r="D789" s="68"/>
      <c r="M789" s="69"/>
      <c r="N789" s="70"/>
      <c r="O789" s="71"/>
      <c r="P789" s="72"/>
    </row>
    <row r="790" spans="4:16" ht="15.75" customHeight="1">
      <c r="D790" s="68"/>
      <c r="M790" s="69"/>
      <c r="N790" s="70"/>
      <c r="O790" s="71"/>
      <c r="P790" s="72"/>
    </row>
    <row r="791" spans="4:16" ht="15.75" customHeight="1">
      <c r="D791" s="68"/>
      <c r="M791" s="69"/>
      <c r="N791" s="70"/>
      <c r="O791" s="71"/>
      <c r="P791" s="72"/>
    </row>
    <row r="792" spans="4:16" ht="15.75" customHeight="1">
      <c r="D792" s="68"/>
      <c r="M792" s="69"/>
      <c r="N792" s="70"/>
      <c r="O792" s="71"/>
      <c r="P792" s="72"/>
    </row>
    <row r="793" spans="4:16" ht="15.75" customHeight="1">
      <c r="D793" s="68"/>
      <c r="M793" s="69"/>
      <c r="N793" s="70"/>
      <c r="O793" s="71"/>
      <c r="P793" s="72"/>
    </row>
    <row r="794" spans="4:16" ht="15.75" customHeight="1">
      <c r="D794" s="68"/>
      <c r="M794" s="69"/>
      <c r="N794" s="70"/>
      <c r="O794" s="71"/>
      <c r="P794" s="72"/>
    </row>
    <row r="795" spans="4:16" ht="15.75" customHeight="1">
      <c r="D795" s="68"/>
      <c r="M795" s="69"/>
      <c r="N795" s="70"/>
      <c r="O795" s="71"/>
      <c r="P795" s="72"/>
    </row>
    <row r="796" spans="4:16" ht="15.75" customHeight="1">
      <c r="D796" s="68"/>
      <c r="M796" s="69"/>
      <c r="N796" s="70"/>
      <c r="O796" s="71"/>
      <c r="P796" s="72"/>
    </row>
    <row r="797" spans="4:16" ht="15.75" customHeight="1">
      <c r="D797" s="68"/>
      <c r="M797" s="69"/>
      <c r="N797" s="70"/>
      <c r="O797" s="71"/>
      <c r="P797" s="72"/>
    </row>
    <row r="798" spans="4:16" ht="15.75" customHeight="1">
      <c r="D798" s="68"/>
      <c r="M798" s="69"/>
      <c r="N798" s="70"/>
      <c r="O798" s="71"/>
      <c r="P798" s="72"/>
    </row>
    <row r="799" spans="4:16" ht="15.75" customHeight="1">
      <c r="D799" s="68"/>
      <c r="M799" s="69"/>
      <c r="N799" s="70"/>
      <c r="O799" s="71"/>
      <c r="P799" s="72"/>
    </row>
    <row r="800" spans="4:16" ht="15.75" customHeight="1">
      <c r="D800" s="68"/>
      <c r="M800" s="69"/>
      <c r="N800" s="70"/>
      <c r="O800" s="71"/>
      <c r="P800" s="72"/>
    </row>
    <row r="801" spans="4:16" ht="15.75" customHeight="1">
      <c r="D801" s="68"/>
      <c r="M801" s="69"/>
      <c r="N801" s="70"/>
      <c r="O801" s="71"/>
      <c r="P801" s="72"/>
    </row>
    <row r="802" spans="4:16" ht="15.75" customHeight="1">
      <c r="D802" s="68"/>
      <c r="M802" s="69"/>
      <c r="N802" s="70"/>
      <c r="O802" s="71"/>
      <c r="P802" s="72"/>
    </row>
    <row r="803" spans="4:16" ht="15.75" customHeight="1">
      <c r="D803" s="68"/>
      <c r="M803" s="69"/>
      <c r="N803" s="70"/>
      <c r="O803" s="71"/>
      <c r="P803" s="72"/>
    </row>
    <row r="804" spans="4:16" ht="15.75" customHeight="1">
      <c r="D804" s="68"/>
      <c r="M804" s="69"/>
      <c r="N804" s="70"/>
      <c r="O804" s="71"/>
      <c r="P804" s="72"/>
    </row>
    <row r="805" spans="4:16" ht="15.75" customHeight="1">
      <c r="D805" s="68"/>
      <c r="M805" s="69"/>
      <c r="N805" s="70"/>
      <c r="O805" s="71"/>
      <c r="P805" s="72"/>
    </row>
    <row r="806" spans="4:16" ht="15.75" customHeight="1">
      <c r="D806" s="68"/>
      <c r="M806" s="69"/>
      <c r="N806" s="70"/>
      <c r="O806" s="71"/>
      <c r="P806" s="72"/>
    </row>
    <row r="807" spans="4:16" ht="15.75" customHeight="1">
      <c r="D807" s="68"/>
      <c r="M807" s="69"/>
      <c r="N807" s="70"/>
      <c r="O807" s="71"/>
      <c r="P807" s="72"/>
    </row>
    <row r="808" spans="4:16" ht="15.75" customHeight="1">
      <c r="D808" s="68"/>
      <c r="M808" s="69"/>
      <c r="N808" s="70"/>
      <c r="O808" s="71"/>
      <c r="P808" s="72"/>
    </row>
    <row r="809" spans="4:16" ht="15.75" customHeight="1">
      <c r="D809" s="68"/>
      <c r="M809" s="69"/>
      <c r="N809" s="70"/>
      <c r="O809" s="71"/>
      <c r="P809" s="72"/>
    </row>
    <row r="810" spans="4:16" ht="15.75" customHeight="1">
      <c r="D810" s="68"/>
      <c r="M810" s="69"/>
      <c r="N810" s="70"/>
      <c r="O810" s="71"/>
      <c r="P810" s="72"/>
    </row>
    <row r="811" spans="4:16" ht="15.75" customHeight="1">
      <c r="D811" s="68"/>
      <c r="M811" s="69"/>
      <c r="N811" s="70"/>
      <c r="O811" s="71"/>
      <c r="P811" s="72"/>
    </row>
    <row r="812" spans="4:16" ht="15.75" customHeight="1">
      <c r="D812" s="68"/>
      <c r="M812" s="69"/>
      <c r="N812" s="70"/>
      <c r="O812" s="71"/>
      <c r="P812" s="72"/>
    </row>
    <row r="813" spans="4:16" ht="15.75" customHeight="1">
      <c r="D813" s="68"/>
      <c r="M813" s="69"/>
      <c r="N813" s="70"/>
      <c r="O813" s="71"/>
      <c r="P813" s="72"/>
    </row>
    <row r="814" spans="4:16" ht="15.75" customHeight="1">
      <c r="D814" s="68"/>
      <c r="M814" s="69"/>
      <c r="N814" s="70"/>
      <c r="O814" s="71"/>
      <c r="P814" s="72"/>
    </row>
    <row r="815" spans="4:16" ht="15.75" customHeight="1">
      <c r="D815" s="68"/>
      <c r="M815" s="69"/>
      <c r="N815" s="70"/>
      <c r="O815" s="71"/>
      <c r="P815" s="72"/>
    </row>
    <row r="816" spans="4:16" ht="15.75" customHeight="1">
      <c r="D816" s="68"/>
      <c r="M816" s="69"/>
      <c r="N816" s="70"/>
      <c r="O816" s="71"/>
      <c r="P816" s="72"/>
    </row>
    <row r="817" spans="4:16" ht="15.75" customHeight="1">
      <c r="D817" s="68"/>
      <c r="M817" s="69"/>
      <c r="N817" s="70"/>
      <c r="O817" s="71"/>
      <c r="P817" s="72"/>
    </row>
    <row r="818" spans="4:16" ht="15.75" customHeight="1">
      <c r="D818" s="68"/>
      <c r="M818" s="69"/>
      <c r="N818" s="70"/>
      <c r="O818" s="71"/>
      <c r="P818" s="72"/>
    </row>
    <row r="819" spans="4:16" ht="15.75" customHeight="1">
      <c r="D819" s="68"/>
      <c r="M819" s="69"/>
      <c r="N819" s="70"/>
      <c r="O819" s="71"/>
      <c r="P819" s="72"/>
    </row>
    <row r="820" spans="4:16" ht="15.75" customHeight="1">
      <c r="D820" s="68"/>
      <c r="M820" s="69"/>
      <c r="N820" s="70"/>
      <c r="O820" s="71"/>
      <c r="P820" s="72"/>
    </row>
    <row r="821" spans="4:16" ht="15.75" customHeight="1">
      <c r="D821" s="68"/>
      <c r="M821" s="69"/>
      <c r="N821" s="70"/>
      <c r="O821" s="71"/>
      <c r="P821" s="72"/>
    </row>
    <row r="822" spans="4:16" ht="15.75" customHeight="1">
      <c r="D822" s="68"/>
      <c r="M822" s="69"/>
      <c r="N822" s="70"/>
      <c r="O822" s="71"/>
      <c r="P822" s="72"/>
    </row>
    <row r="823" spans="4:16" ht="15.75" customHeight="1">
      <c r="D823" s="68"/>
      <c r="M823" s="69"/>
      <c r="N823" s="70"/>
      <c r="O823" s="71"/>
      <c r="P823" s="72"/>
    </row>
    <row r="824" spans="4:16" ht="15.75" customHeight="1">
      <c r="D824" s="68"/>
      <c r="M824" s="69"/>
      <c r="N824" s="70"/>
      <c r="O824" s="71"/>
      <c r="P824" s="72"/>
    </row>
    <row r="825" spans="4:16" ht="15.75" customHeight="1">
      <c r="D825" s="68"/>
      <c r="M825" s="69"/>
      <c r="N825" s="70"/>
      <c r="O825" s="71"/>
      <c r="P825" s="72"/>
    </row>
    <row r="826" spans="4:16" ht="15.75" customHeight="1">
      <c r="D826" s="68"/>
      <c r="M826" s="69"/>
      <c r="N826" s="70"/>
      <c r="O826" s="71"/>
      <c r="P826" s="72"/>
    </row>
    <row r="827" spans="4:16" ht="15.75" customHeight="1">
      <c r="D827" s="68"/>
      <c r="M827" s="69"/>
      <c r="N827" s="70"/>
      <c r="O827" s="71"/>
      <c r="P827" s="72"/>
    </row>
    <row r="828" spans="4:16" ht="15.75" customHeight="1">
      <c r="D828" s="68"/>
      <c r="M828" s="69"/>
      <c r="N828" s="70"/>
      <c r="O828" s="71"/>
      <c r="P828" s="72"/>
    </row>
    <row r="829" spans="4:16" ht="15.75" customHeight="1">
      <c r="D829" s="68"/>
      <c r="M829" s="69"/>
      <c r="N829" s="70"/>
      <c r="O829" s="71"/>
      <c r="P829" s="72"/>
    </row>
    <row r="830" spans="4:16" ht="15.75" customHeight="1">
      <c r="D830" s="68"/>
      <c r="M830" s="69"/>
      <c r="N830" s="70"/>
      <c r="O830" s="71"/>
      <c r="P830" s="72"/>
    </row>
    <row r="831" spans="4:16" ht="15.75" customHeight="1">
      <c r="D831" s="68"/>
      <c r="M831" s="69"/>
      <c r="N831" s="70"/>
      <c r="O831" s="71"/>
      <c r="P831" s="72"/>
    </row>
    <row r="832" spans="4:16" ht="15.75" customHeight="1">
      <c r="D832" s="68"/>
      <c r="M832" s="69"/>
      <c r="N832" s="70"/>
      <c r="O832" s="71"/>
      <c r="P832" s="72"/>
    </row>
    <row r="833" spans="4:16" ht="15.75" customHeight="1">
      <c r="D833" s="68"/>
      <c r="M833" s="69"/>
      <c r="N833" s="70"/>
      <c r="O833" s="71"/>
      <c r="P833" s="72"/>
    </row>
    <row r="834" spans="4:16" ht="15.75" customHeight="1">
      <c r="D834" s="68"/>
      <c r="M834" s="69"/>
      <c r="N834" s="70"/>
      <c r="O834" s="71"/>
      <c r="P834" s="72"/>
    </row>
    <row r="835" spans="4:16" ht="15.75" customHeight="1">
      <c r="D835" s="68"/>
      <c r="M835" s="69"/>
      <c r="N835" s="70"/>
      <c r="O835" s="71"/>
      <c r="P835" s="72"/>
    </row>
    <row r="836" spans="4:16" ht="15.75" customHeight="1">
      <c r="D836" s="68"/>
      <c r="M836" s="69"/>
      <c r="N836" s="70"/>
      <c r="O836" s="71"/>
      <c r="P836" s="72"/>
    </row>
    <row r="837" spans="4:16" ht="15.75" customHeight="1">
      <c r="D837" s="68"/>
      <c r="M837" s="69"/>
      <c r="N837" s="70"/>
      <c r="O837" s="71"/>
      <c r="P837" s="72"/>
    </row>
    <row r="838" spans="4:16" ht="15.75" customHeight="1">
      <c r="D838" s="68"/>
      <c r="M838" s="69"/>
      <c r="N838" s="70"/>
      <c r="O838" s="71"/>
      <c r="P838" s="72"/>
    </row>
    <row r="839" spans="4:16" ht="15.75" customHeight="1">
      <c r="D839" s="68"/>
      <c r="M839" s="69"/>
      <c r="N839" s="70"/>
      <c r="O839" s="71"/>
      <c r="P839" s="72"/>
    </row>
    <row r="840" spans="4:16" ht="15.75" customHeight="1">
      <c r="D840" s="68"/>
      <c r="M840" s="69"/>
      <c r="N840" s="70"/>
      <c r="O840" s="71"/>
      <c r="P840" s="72"/>
    </row>
    <row r="841" spans="4:16" ht="15.75" customHeight="1">
      <c r="D841" s="68"/>
      <c r="M841" s="69"/>
      <c r="N841" s="70"/>
      <c r="O841" s="71"/>
      <c r="P841" s="72"/>
    </row>
    <row r="842" spans="4:16" ht="15.75" customHeight="1">
      <c r="D842" s="68"/>
      <c r="M842" s="69"/>
      <c r="N842" s="70"/>
      <c r="O842" s="71"/>
      <c r="P842" s="72"/>
    </row>
    <row r="843" spans="4:16" ht="15.75" customHeight="1">
      <c r="D843" s="68"/>
      <c r="M843" s="69"/>
      <c r="N843" s="70"/>
      <c r="O843" s="71"/>
      <c r="P843" s="72"/>
    </row>
    <row r="844" spans="4:16" ht="15.75" customHeight="1">
      <c r="D844" s="68"/>
      <c r="M844" s="69"/>
      <c r="N844" s="70"/>
      <c r="O844" s="71"/>
      <c r="P844" s="72"/>
    </row>
    <row r="845" spans="4:16" ht="15.75" customHeight="1">
      <c r="D845" s="68"/>
      <c r="M845" s="69"/>
      <c r="N845" s="70"/>
      <c r="O845" s="71"/>
      <c r="P845" s="72"/>
    </row>
    <row r="846" spans="4:16" ht="15.75" customHeight="1">
      <c r="D846" s="68"/>
      <c r="M846" s="69"/>
      <c r="N846" s="70"/>
      <c r="O846" s="71"/>
      <c r="P846" s="72"/>
    </row>
    <row r="847" spans="4:16" ht="15.75" customHeight="1">
      <c r="D847" s="68"/>
      <c r="M847" s="69"/>
      <c r="N847" s="70"/>
      <c r="O847" s="71"/>
      <c r="P847" s="72"/>
    </row>
    <row r="848" spans="4:16" ht="15.75" customHeight="1">
      <c r="D848" s="68"/>
      <c r="M848" s="69"/>
      <c r="N848" s="70"/>
      <c r="O848" s="71"/>
      <c r="P848" s="72"/>
    </row>
    <row r="849" spans="4:16" ht="15.75" customHeight="1">
      <c r="D849" s="68"/>
      <c r="M849" s="69"/>
      <c r="N849" s="70"/>
      <c r="O849" s="71"/>
      <c r="P849" s="72"/>
    </row>
    <row r="850" spans="4:16" ht="15.75" customHeight="1">
      <c r="D850" s="68"/>
      <c r="M850" s="69"/>
      <c r="N850" s="70"/>
      <c r="O850" s="71"/>
      <c r="P850" s="72"/>
    </row>
    <row r="851" spans="4:16" ht="15.75" customHeight="1">
      <c r="D851" s="68"/>
      <c r="M851" s="69"/>
      <c r="N851" s="70"/>
      <c r="O851" s="71"/>
      <c r="P851" s="72"/>
    </row>
    <row r="852" spans="4:16" ht="15.75" customHeight="1">
      <c r="D852" s="68"/>
      <c r="M852" s="69"/>
      <c r="N852" s="70"/>
      <c r="O852" s="71"/>
      <c r="P852" s="72"/>
    </row>
    <row r="853" spans="4:16" ht="15.75" customHeight="1">
      <c r="D853" s="68"/>
      <c r="M853" s="69"/>
      <c r="N853" s="70"/>
      <c r="O853" s="71"/>
      <c r="P853" s="72"/>
    </row>
    <row r="854" spans="4:16" ht="15.75" customHeight="1">
      <c r="D854" s="68"/>
      <c r="M854" s="69"/>
      <c r="N854" s="70"/>
      <c r="O854" s="71"/>
      <c r="P854" s="72"/>
    </row>
    <row r="855" spans="4:16" ht="15.75" customHeight="1">
      <c r="D855" s="68"/>
      <c r="M855" s="69"/>
      <c r="N855" s="70"/>
      <c r="O855" s="71"/>
      <c r="P855" s="72"/>
    </row>
    <row r="856" spans="4:16" ht="15.75" customHeight="1">
      <c r="D856" s="68"/>
      <c r="M856" s="69"/>
      <c r="N856" s="70"/>
      <c r="O856" s="71"/>
      <c r="P856" s="72"/>
    </row>
    <row r="857" spans="4:16" ht="15.75" customHeight="1">
      <c r="D857" s="68"/>
      <c r="M857" s="69"/>
      <c r="N857" s="70"/>
      <c r="O857" s="71"/>
      <c r="P857" s="72"/>
    </row>
    <row r="858" spans="4:16" ht="15.75" customHeight="1">
      <c r="D858" s="68"/>
      <c r="M858" s="69"/>
      <c r="N858" s="70"/>
      <c r="O858" s="71"/>
      <c r="P858" s="72"/>
    </row>
    <row r="859" spans="4:16" ht="15.75" customHeight="1">
      <c r="D859" s="68"/>
      <c r="M859" s="69"/>
      <c r="N859" s="70"/>
      <c r="O859" s="71"/>
      <c r="P859" s="72"/>
    </row>
    <row r="860" spans="4:16" ht="15.75" customHeight="1">
      <c r="D860" s="68"/>
      <c r="M860" s="69"/>
      <c r="N860" s="70"/>
      <c r="O860" s="71"/>
      <c r="P860" s="72"/>
    </row>
    <row r="861" spans="4:16" ht="15.75" customHeight="1">
      <c r="D861" s="68"/>
      <c r="M861" s="69"/>
      <c r="N861" s="70"/>
      <c r="O861" s="71"/>
      <c r="P861" s="72"/>
    </row>
    <row r="862" spans="4:16" ht="15.75" customHeight="1">
      <c r="D862" s="68"/>
      <c r="M862" s="69"/>
      <c r="N862" s="70"/>
      <c r="O862" s="71"/>
      <c r="P862" s="72"/>
    </row>
    <row r="863" spans="4:16" ht="15.75" customHeight="1">
      <c r="D863" s="68"/>
      <c r="M863" s="69"/>
      <c r="N863" s="70"/>
      <c r="O863" s="71"/>
      <c r="P863" s="72"/>
    </row>
    <row r="864" spans="4:16" ht="15.75" customHeight="1">
      <c r="D864" s="68"/>
      <c r="M864" s="69"/>
      <c r="N864" s="70"/>
      <c r="O864" s="71"/>
      <c r="P864" s="72"/>
    </row>
    <row r="865" spans="4:16" ht="15.75" customHeight="1">
      <c r="D865" s="68"/>
      <c r="M865" s="69"/>
      <c r="N865" s="70"/>
      <c r="O865" s="71"/>
      <c r="P865" s="72"/>
    </row>
    <row r="866" spans="4:16" ht="15.75" customHeight="1">
      <c r="D866" s="68"/>
      <c r="M866" s="69"/>
      <c r="N866" s="70"/>
      <c r="O866" s="71"/>
      <c r="P866" s="72"/>
    </row>
    <row r="867" spans="4:16" ht="15.75" customHeight="1">
      <c r="D867" s="68"/>
      <c r="M867" s="69"/>
      <c r="N867" s="70"/>
      <c r="O867" s="71"/>
      <c r="P867" s="72"/>
    </row>
    <row r="868" spans="4:16" ht="15.75" customHeight="1">
      <c r="D868" s="68"/>
      <c r="M868" s="69"/>
      <c r="N868" s="70"/>
      <c r="O868" s="71"/>
      <c r="P868" s="72"/>
    </row>
    <row r="869" spans="4:16" ht="15.75" customHeight="1">
      <c r="D869" s="68"/>
      <c r="M869" s="69"/>
      <c r="N869" s="70"/>
      <c r="O869" s="71"/>
      <c r="P869" s="72"/>
    </row>
    <row r="870" spans="4:16" ht="15.75" customHeight="1">
      <c r="D870" s="68"/>
      <c r="M870" s="69"/>
      <c r="N870" s="70"/>
      <c r="O870" s="71"/>
      <c r="P870" s="72"/>
    </row>
    <row r="871" spans="4:16" ht="15.75" customHeight="1">
      <c r="D871" s="68"/>
      <c r="M871" s="69"/>
      <c r="N871" s="70"/>
      <c r="O871" s="71"/>
      <c r="P871" s="72"/>
    </row>
    <row r="872" spans="4:16" ht="15.75" customHeight="1">
      <c r="D872" s="68"/>
      <c r="M872" s="69"/>
      <c r="N872" s="70"/>
      <c r="O872" s="71"/>
      <c r="P872" s="72"/>
    </row>
    <row r="873" spans="4:16" ht="15.75" customHeight="1">
      <c r="D873" s="68"/>
      <c r="M873" s="69"/>
      <c r="N873" s="70"/>
      <c r="O873" s="71"/>
      <c r="P873" s="72"/>
    </row>
    <row r="874" spans="4:16" ht="15.75" customHeight="1">
      <c r="D874" s="68"/>
      <c r="M874" s="69"/>
      <c r="N874" s="70"/>
      <c r="O874" s="71"/>
      <c r="P874" s="72"/>
    </row>
    <row r="875" spans="4:16" ht="15.75" customHeight="1">
      <c r="D875" s="68"/>
      <c r="M875" s="69"/>
      <c r="N875" s="70"/>
      <c r="O875" s="71"/>
      <c r="P875" s="72"/>
    </row>
    <row r="876" spans="4:16" ht="15.75" customHeight="1">
      <c r="D876" s="68"/>
      <c r="M876" s="69"/>
      <c r="N876" s="70"/>
      <c r="O876" s="71"/>
      <c r="P876" s="72"/>
    </row>
    <row r="877" spans="4:16" ht="15.75" customHeight="1">
      <c r="D877" s="68"/>
      <c r="M877" s="69"/>
      <c r="N877" s="70"/>
      <c r="O877" s="71"/>
      <c r="P877" s="72"/>
    </row>
    <row r="878" spans="4:16" ht="15.75" customHeight="1">
      <c r="D878" s="68"/>
      <c r="M878" s="69"/>
      <c r="N878" s="70"/>
      <c r="O878" s="71"/>
      <c r="P878" s="72"/>
    </row>
    <row r="879" spans="4:16" ht="15.75" customHeight="1">
      <c r="D879" s="68"/>
      <c r="M879" s="69"/>
      <c r="N879" s="70"/>
      <c r="O879" s="71"/>
      <c r="P879" s="72"/>
    </row>
    <row r="880" spans="4:16" ht="15.75" customHeight="1">
      <c r="D880" s="68"/>
      <c r="M880" s="69"/>
      <c r="N880" s="70"/>
      <c r="O880" s="71"/>
      <c r="P880" s="72"/>
    </row>
    <row r="881" spans="4:16" ht="15.75" customHeight="1">
      <c r="D881" s="68"/>
      <c r="M881" s="69"/>
      <c r="N881" s="70"/>
      <c r="O881" s="71"/>
      <c r="P881" s="72"/>
    </row>
    <row r="882" spans="4:16" ht="15.75" customHeight="1">
      <c r="D882" s="68"/>
      <c r="M882" s="69"/>
      <c r="N882" s="70"/>
      <c r="O882" s="71"/>
      <c r="P882" s="72"/>
    </row>
    <row r="883" spans="4:16" ht="15.75" customHeight="1">
      <c r="D883" s="68"/>
      <c r="M883" s="69"/>
      <c r="N883" s="70"/>
      <c r="O883" s="71"/>
      <c r="P883" s="72"/>
    </row>
    <row r="884" spans="4:16" ht="15.75" customHeight="1">
      <c r="D884" s="68"/>
      <c r="M884" s="69"/>
      <c r="N884" s="70"/>
      <c r="O884" s="71"/>
      <c r="P884" s="72"/>
    </row>
    <row r="885" spans="4:16" ht="15.75" customHeight="1">
      <c r="D885" s="68"/>
      <c r="M885" s="69"/>
      <c r="N885" s="70"/>
      <c r="O885" s="71"/>
      <c r="P885" s="72"/>
    </row>
    <row r="886" spans="4:16" ht="15.75" customHeight="1">
      <c r="D886" s="68"/>
      <c r="M886" s="69"/>
      <c r="N886" s="70"/>
      <c r="O886" s="71"/>
      <c r="P886" s="72"/>
    </row>
    <row r="887" spans="4:16" ht="15.75" customHeight="1">
      <c r="D887" s="68"/>
      <c r="M887" s="69"/>
      <c r="N887" s="70"/>
      <c r="O887" s="71"/>
      <c r="P887" s="72"/>
    </row>
    <row r="888" spans="4:16" ht="15.75" customHeight="1">
      <c r="D888" s="68"/>
      <c r="M888" s="69"/>
      <c r="N888" s="70"/>
      <c r="O888" s="71"/>
      <c r="P888" s="72"/>
    </row>
    <row r="889" spans="4:16" ht="15.75" customHeight="1">
      <c r="D889" s="68"/>
      <c r="M889" s="69"/>
      <c r="N889" s="70"/>
      <c r="O889" s="71"/>
      <c r="P889" s="72"/>
    </row>
    <row r="890" spans="4:16" ht="15.75" customHeight="1">
      <c r="D890" s="68"/>
      <c r="M890" s="69"/>
      <c r="N890" s="70"/>
      <c r="O890" s="71"/>
      <c r="P890" s="72"/>
    </row>
    <row r="891" spans="4:16" ht="15.75" customHeight="1">
      <c r="D891" s="68"/>
      <c r="M891" s="69"/>
      <c r="N891" s="70"/>
      <c r="O891" s="71"/>
      <c r="P891" s="72"/>
    </row>
    <row r="892" spans="4:16" ht="15.75" customHeight="1">
      <c r="D892" s="68"/>
      <c r="M892" s="69"/>
      <c r="N892" s="70"/>
      <c r="O892" s="71"/>
      <c r="P892" s="72"/>
    </row>
    <row r="893" spans="4:16" ht="15.75" customHeight="1">
      <c r="D893" s="68"/>
      <c r="M893" s="69"/>
      <c r="N893" s="70"/>
      <c r="O893" s="71"/>
      <c r="P893" s="72"/>
    </row>
    <row r="894" spans="4:16" ht="15.75" customHeight="1">
      <c r="D894" s="68"/>
      <c r="M894" s="69"/>
      <c r="N894" s="70"/>
      <c r="O894" s="71"/>
      <c r="P894" s="72"/>
    </row>
    <row r="895" spans="4:16" ht="15.75" customHeight="1">
      <c r="D895" s="68"/>
      <c r="M895" s="69"/>
      <c r="N895" s="70"/>
      <c r="O895" s="71"/>
      <c r="P895" s="72"/>
    </row>
    <row r="896" spans="4:16" ht="15.75" customHeight="1">
      <c r="D896" s="68"/>
      <c r="M896" s="69"/>
      <c r="N896" s="70"/>
      <c r="O896" s="71"/>
      <c r="P896" s="72"/>
    </row>
    <row r="897" spans="4:16" ht="15.75" customHeight="1">
      <c r="D897" s="68"/>
      <c r="M897" s="69"/>
      <c r="N897" s="70"/>
      <c r="O897" s="71"/>
      <c r="P897" s="72"/>
    </row>
    <row r="898" spans="4:16" ht="15.75" customHeight="1">
      <c r="D898" s="68"/>
      <c r="M898" s="69"/>
      <c r="N898" s="70"/>
      <c r="O898" s="71"/>
      <c r="P898" s="72"/>
    </row>
    <row r="899" spans="4:16" ht="15.75" customHeight="1">
      <c r="D899" s="68"/>
      <c r="M899" s="69"/>
      <c r="N899" s="70"/>
      <c r="O899" s="71"/>
      <c r="P899" s="72"/>
    </row>
    <row r="900" spans="4:16" ht="15.75" customHeight="1">
      <c r="D900" s="68"/>
      <c r="M900" s="69"/>
      <c r="N900" s="70"/>
      <c r="O900" s="71"/>
      <c r="P900" s="72"/>
    </row>
    <row r="901" spans="4:16" ht="15.75" customHeight="1">
      <c r="D901" s="68"/>
      <c r="M901" s="69"/>
      <c r="N901" s="70"/>
      <c r="O901" s="71"/>
      <c r="P901" s="72"/>
    </row>
    <row r="902" spans="4:16" ht="15.75" customHeight="1">
      <c r="D902" s="68"/>
      <c r="M902" s="69"/>
      <c r="N902" s="70"/>
      <c r="O902" s="71"/>
      <c r="P902" s="72"/>
    </row>
    <row r="903" spans="4:16" ht="15.75" customHeight="1">
      <c r="D903" s="68"/>
      <c r="M903" s="69"/>
      <c r="N903" s="70"/>
      <c r="O903" s="71"/>
      <c r="P903" s="72"/>
    </row>
    <row r="904" spans="4:16" ht="15.75" customHeight="1">
      <c r="D904" s="68"/>
      <c r="M904" s="69"/>
      <c r="N904" s="70"/>
      <c r="O904" s="71"/>
      <c r="P904" s="72"/>
    </row>
    <row r="905" spans="4:16" ht="15.75" customHeight="1">
      <c r="D905" s="68"/>
      <c r="M905" s="69"/>
      <c r="N905" s="70"/>
      <c r="O905" s="71"/>
      <c r="P905" s="72"/>
    </row>
    <row r="906" spans="4:16" ht="15.75" customHeight="1">
      <c r="D906" s="68"/>
      <c r="M906" s="69"/>
      <c r="N906" s="70"/>
      <c r="O906" s="71"/>
      <c r="P906" s="72"/>
    </row>
    <row r="907" spans="4:16" ht="15.75" customHeight="1">
      <c r="D907" s="68"/>
      <c r="M907" s="69"/>
      <c r="N907" s="70"/>
      <c r="O907" s="71"/>
      <c r="P907" s="72"/>
    </row>
    <row r="908" spans="4:16" ht="15.75" customHeight="1">
      <c r="D908" s="68"/>
      <c r="M908" s="69"/>
      <c r="N908" s="70"/>
      <c r="O908" s="71"/>
      <c r="P908" s="72"/>
    </row>
    <row r="909" spans="4:16" ht="15.75" customHeight="1">
      <c r="D909" s="68"/>
      <c r="M909" s="69"/>
      <c r="N909" s="70"/>
      <c r="O909" s="71"/>
      <c r="P909" s="72"/>
    </row>
    <row r="910" spans="4:16" ht="15.75" customHeight="1">
      <c r="D910" s="68"/>
      <c r="M910" s="69"/>
      <c r="N910" s="70"/>
      <c r="O910" s="71"/>
      <c r="P910" s="72"/>
    </row>
    <row r="911" spans="4:16" ht="15.75" customHeight="1">
      <c r="D911" s="68"/>
      <c r="M911" s="69"/>
      <c r="N911" s="70"/>
      <c r="O911" s="71"/>
      <c r="P911" s="72"/>
    </row>
    <row r="912" spans="4:16" ht="15.75" customHeight="1">
      <c r="D912" s="68"/>
      <c r="M912" s="69"/>
      <c r="N912" s="70"/>
      <c r="O912" s="71"/>
      <c r="P912" s="72"/>
    </row>
    <row r="913" spans="4:16" ht="15.75" customHeight="1">
      <c r="D913" s="68"/>
      <c r="M913" s="69"/>
      <c r="N913" s="70"/>
      <c r="O913" s="71"/>
      <c r="P913" s="72"/>
    </row>
    <row r="914" spans="4:16" ht="15.75" customHeight="1">
      <c r="D914" s="68"/>
      <c r="M914" s="69"/>
      <c r="N914" s="70"/>
      <c r="O914" s="71"/>
      <c r="P914" s="72"/>
    </row>
    <row r="915" spans="4:16" ht="15.75" customHeight="1">
      <c r="D915" s="68"/>
      <c r="M915" s="69"/>
      <c r="N915" s="70"/>
      <c r="O915" s="71"/>
      <c r="P915" s="72"/>
    </row>
    <row r="916" spans="4:16" ht="15.75" customHeight="1">
      <c r="D916" s="68"/>
      <c r="M916" s="69"/>
      <c r="N916" s="70"/>
      <c r="O916" s="71"/>
      <c r="P916" s="72"/>
    </row>
    <row r="917" spans="4:16" ht="15.75" customHeight="1">
      <c r="D917" s="68"/>
      <c r="M917" s="69"/>
      <c r="N917" s="70"/>
      <c r="O917" s="71"/>
      <c r="P917" s="72"/>
    </row>
    <row r="918" spans="4:16" ht="15.75" customHeight="1">
      <c r="D918" s="68"/>
      <c r="M918" s="69"/>
      <c r="N918" s="70"/>
      <c r="O918" s="71"/>
      <c r="P918" s="72"/>
    </row>
    <row r="919" spans="4:16" ht="15.75" customHeight="1">
      <c r="D919" s="68"/>
      <c r="M919" s="69"/>
      <c r="N919" s="70"/>
      <c r="O919" s="71"/>
      <c r="P919" s="72"/>
    </row>
    <row r="920" spans="4:16" ht="15.75" customHeight="1">
      <c r="D920" s="68"/>
      <c r="M920" s="69"/>
      <c r="N920" s="70"/>
      <c r="O920" s="71"/>
      <c r="P920" s="72"/>
    </row>
    <row r="921" spans="4:16" ht="15.75" customHeight="1">
      <c r="D921" s="68"/>
      <c r="M921" s="69"/>
      <c r="N921" s="70"/>
      <c r="O921" s="71"/>
      <c r="P921" s="72"/>
    </row>
    <row r="922" spans="4:16" ht="15.75" customHeight="1">
      <c r="D922" s="68"/>
      <c r="M922" s="69"/>
      <c r="N922" s="70"/>
      <c r="O922" s="71"/>
      <c r="P922" s="72"/>
    </row>
    <row r="923" spans="4:16" ht="15.75" customHeight="1">
      <c r="D923" s="68"/>
      <c r="M923" s="69"/>
      <c r="N923" s="70"/>
      <c r="O923" s="71"/>
      <c r="P923" s="72"/>
    </row>
    <row r="924" spans="4:16" ht="15.75" customHeight="1">
      <c r="D924" s="68"/>
      <c r="M924" s="69"/>
      <c r="N924" s="70"/>
      <c r="O924" s="71"/>
      <c r="P924" s="72"/>
    </row>
    <row r="925" spans="4:16" ht="15.75" customHeight="1">
      <c r="D925" s="68"/>
      <c r="M925" s="69"/>
      <c r="N925" s="70"/>
      <c r="O925" s="71"/>
      <c r="P925" s="72"/>
    </row>
    <row r="926" spans="4:16" ht="15.75" customHeight="1">
      <c r="D926" s="68"/>
      <c r="M926" s="69"/>
      <c r="N926" s="70"/>
      <c r="O926" s="71"/>
      <c r="P926" s="72"/>
    </row>
    <row r="927" spans="4:16" ht="15.75" customHeight="1">
      <c r="D927" s="68"/>
      <c r="M927" s="69"/>
      <c r="N927" s="70"/>
      <c r="O927" s="71"/>
      <c r="P927" s="72"/>
    </row>
    <row r="928" spans="4:16" ht="15.75" customHeight="1">
      <c r="D928" s="68"/>
      <c r="M928" s="69"/>
      <c r="N928" s="70"/>
      <c r="O928" s="71"/>
      <c r="P928" s="72"/>
    </row>
    <row r="929" spans="4:16" ht="15.75" customHeight="1">
      <c r="D929" s="68"/>
      <c r="M929" s="69"/>
      <c r="N929" s="70"/>
      <c r="O929" s="71"/>
      <c r="P929" s="72"/>
    </row>
    <row r="930" spans="4:16" ht="15.75" customHeight="1">
      <c r="D930" s="68"/>
      <c r="M930" s="69"/>
      <c r="N930" s="70"/>
      <c r="O930" s="71"/>
      <c r="P930" s="72"/>
    </row>
    <row r="931" spans="4:16" ht="15.75" customHeight="1">
      <c r="D931" s="68"/>
      <c r="M931" s="69"/>
      <c r="N931" s="70"/>
      <c r="O931" s="71"/>
      <c r="P931" s="72"/>
    </row>
    <row r="932" spans="4:16" ht="15.75" customHeight="1">
      <c r="D932" s="68"/>
      <c r="M932" s="69"/>
      <c r="N932" s="70"/>
      <c r="O932" s="71"/>
      <c r="P932" s="72"/>
    </row>
    <row r="933" spans="4:16" ht="15.75" customHeight="1">
      <c r="D933" s="68"/>
      <c r="M933" s="69"/>
      <c r="N933" s="70"/>
      <c r="O933" s="71"/>
      <c r="P933" s="72"/>
    </row>
    <row r="934" spans="4:16" ht="15.75" customHeight="1">
      <c r="D934" s="68"/>
      <c r="M934" s="69"/>
      <c r="N934" s="70"/>
      <c r="O934" s="71"/>
      <c r="P934" s="72"/>
    </row>
    <row r="935" spans="4:16" ht="15.75" customHeight="1">
      <c r="D935" s="68"/>
      <c r="M935" s="69"/>
      <c r="N935" s="70"/>
      <c r="O935" s="71"/>
      <c r="P935" s="72"/>
    </row>
    <row r="936" spans="4:16" ht="15.75" customHeight="1">
      <c r="D936" s="68"/>
      <c r="M936" s="69"/>
      <c r="N936" s="70"/>
      <c r="O936" s="71"/>
      <c r="P936" s="72"/>
    </row>
    <row r="937" spans="4:16" ht="15.75" customHeight="1">
      <c r="D937" s="68"/>
      <c r="M937" s="69"/>
      <c r="N937" s="70"/>
      <c r="O937" s="71"/>
      <c r="P937" s="72"/>
    </row>
    <row r="938" spans="4:16" ht="15.75" customHeight="1">
      <c r="D938" s="68"/>
      <c r="M938" s="69"/>
      <c r="N938" s="70"/>
      <c r="O938" s="71"/>
      <c r="P938" s="72"/>
    </row>
    <row r="939" spans="4:16" ht="15.75" customHeight="1">
      <c r="D939" s="68"/>
      <c r="M939" s="69"/>
      <c r="N939" s="70"/>
      <c r="O939" s="71"/>
      <c r="P939" s="72"/>
    </row>
    <row r="940" spans="4:16" ht="15.75" customHeight="1">
      <c r="D940" s="68"/>
      <c r="M940" s="69"/>
      <c r="N940" s="70"/>
      <c r="O940" s="71"/>
      <c r="P940" s="72"/>
    </row>
    <row r="941" spans="4:16" ht="15.75" customHeight="1">
      <c r="D941" s="68"/>
      <c r="M941" s="69"/>
      <c r="N941" s="70"/>
      <c r="O941" s="71"/>
      <c r="P941" s="72"/>
    </row>
    <row r="942" spans="4:16" ht="15.75" customHeight="1">
      <c r="D942" s="68"/>
      <c r="M942" s="69"/>
      <c r="N942" s="70"/>
      <c r="O942" s="71"/>
      <c r="P942" s="72"/>
    </row>
    <row r="943" spans="4:16" ht="15.75" customHeight="1">
      <c r="D943" s="68"/>
      <c r="M943" s="69"/>
      <c r="N943" s="70"/>
      <c r="O943" s="71"/>
      <c r="P943" s="72"/>
    </row>
    <row r="944" spans="4:16" ht="15.75" customHeight="1">
      <c r="D944" s="68"/>
      <c r="M944" s="69"/>
      <c r="N944" s="70"/>
      <c r="O944" s="71"/>
      <c r="P944" s="72"/>
    </row>
    <row r="945" spans="4:16" ht="15.75" customHeight="1">
      <c r="D945" s="68"/>
      <c r="M945" s="69"/>
      <c r="N945" s="70"/>
      <c r="O945" s="71"/>
      <c r="P945" s="72"/>
    </row>
    <row r="946" spans="4:16" ht="15.75" customHeight="1">
      <c r="D946" s="68"/>
      <c r="M946" s="69"/>
      <c r="N946" s="70"/>
      <c r="O946" s="71"/>
      <c r="P946" s="72"/>
    </row>
    <row r="947" spans="4:16" ht="15.75" customHeight="1">
      <c r="D947" s="68"/>
      <c r="M947" s="69"/>
      <c r="N947" s="70"/>
      <c r="O947" s="71"/>
      <c r="P947" s="72"/>
    </row>
    <row r="948" spans="4:16" ht="15.75" customHeight="1">
      <c r="D948" s="68"/>
      <c r="M948" s="69"/>
      <c r="N948" s="70"/>
      <c r="O948" s="71"/>
      <c r="P948" s="72"/>
    </row>
    <row r="949" spans="4:16" ht="15.75" customHeight="1">
      <c r="D949" s="68"/>
      <c r="M949" s="69"/>
      <c r="N949" s="70"/>
      <c r="O949" s="71"/>
      <c r="P949" s="72"/>
    </row>
    <row r="950" spans="4:16" ht="15.75" customHeight="1">
      <c r="D950" s="68"/>
      <c r="M950" s="69"/>
      <c r="N950" s="70"/>
      <c r="O950" s="71"/>
      <c r="P950" s="72"/>
    </row>
    <row r="951" spans="4:16" ht="15.75" customHeight="1">
      <c r="D951" s="68"/>
      <c r="M951" s="69"/>
      <c r="N951" s="70"/>
      <c r="O951" s="71"/>
      <c r="P951" s="72"/>
    </row>
    <row r="952" spans="4:16" ht="15.75" customHeight="1">
      <c r="D952" s="68"/>
      <c r="M952" s="69"/>
      <c r="N952" s="70"/>
      <c r="O952" s="71"/>
      <c r="P952" s="72"/>
    </row>
    <row r="953" spans="4:16" ht="15.75" customHeight="1">
      <c r="D953" s="68"/>
      <c r="M953" s="69"/>
      <c r="N953" s="70"/>
      <c r="O953" s="71"/>
      <c r="P953" s="72"/>
    </row>
    <row r="954" spans="4:16" ht="15.75" customHeight="1">
      <c r="D954" s="68"/>
      <c r="M954" s="69"/>
      <c r="N954" s="70"/>
      <c r="O954" s="71"/>
      <c r="P954" s="72"/>
    </row>
    <row r="955" spans="4:16" ht="15.75" customHeight="1">
      <c r="D955" s="68"/>
      <c r="M955" s="69"/>
      <c r="N955" s="70"/>
      <c r="O955" s="71"/>
      <c r="P955" s="72"/>
    </row>
    <row r="956" spans="4:16" ht="15.75" customHeight="1">
      <c r="D956" s="68"/>
      <c r="M956" s="69"/>
      <c r="N956" s="70"/>
      <c r="O956" s="71"/>
      <c r="P956" s="72"/>
    </row>
    <row r="957" spans="4:16" ht="15.75" customHeight="1">
      <c r="D957" s="68"/>
      <c r="M957" s="69"/>
      <c r="N957" s="70"/>
      <c r="O957" s="71"/>
      <c r="P957" s="72"/>
    </row>
    <row r="958" spans="4:16" ht="15.75" customHeight="1">
      <c r="D958" s="68"/>
      <c r="M958" s="69"/>
      <c r="N958" s="70"/>
      <c r="O958" s="71"/>
      <c r="P958" s="72"/>
    </row>
    <row r="959" spans="4:16" ht="15.75" customHeight="1">
      <c r="D959" s="68"/>
      <c r="M959" s="69"/>
      <c r="N959" s="70"/>
      <c r="O959" s="71"/>
      <c r="P959" s="72"/>
    </row>
    <row r="960" spans="4:16" ht="15.75" customHeight="1">
      <c r="D960" s="68"/>
      <c r="M960" s="69"/>
      <c r="N960" s="70"/>
      <c r="O960" s="71"/>
      <c r="P960" s="72"/>
    </row>
    <row r="961" spans="4:16" ht="15.75" customHeight="1">
      <c r="D961" s="68"/>
      <c r="M961" s="69"/>
      <c r="N961" s="70"/>
      <c r="O961" s="71"/>
      <c r="P961" s="72"/>
    </row>
    <row r="962" spans="4:16" ht="15.75" customHeight="1">
      <c r="D962" s="68"/>
      <c r="M962" s="69"/>
      <c r="N962" s="70"/>
      <c r="O962" s="71"/>
      <c r="P962" s="72"/>
    </row>
    <row r="963" spans="4:16" ht="15.75" customHeight="1">
      <c r="D963" s="68"/>
      <c r="M963" s="69"/>
      <c r="N963" s="70"/>
      <c r="O963" s="71"/>
      <c r="P963" s="72"/>
    </row>
    <row r="964" spans="4:16" ht="15.75" customHeight="1">
      <c r="D964" s="68"/>
      <c r="M964" s="69"/>
      <c r="N964" s="70"/>
      <c r="O964" s="71"/>
      <c r="P964" s="72"/>
    </row>
    <row r="965" spans="4:16" ht="15.75" customHeight="1">
      <c r="D965" s="68"/>
      <c r="M965" s="69"/>
      <c r="N965" s="70"/>
      <c r="O965" s="71"/>
      <c r="P965" s="72"/>
    </row>
    <row r="966" spans="4:16" ht="15.75" customHeight="1">
      <c r="D966" s="68"/>
      <c r="M966" s="69"/>
      <c r="N966" s="70"/>
      <c r="O966" s="71"/>
      <c r="P966" s="72"/>
    </row>
    <row r="967" spans="4:16" ht="15.75" customHeight="1">
      <c r="D967" s="68"/>
      <c r="M967" s="69"/>
      <c r="N967" s="70"/>
      <c r="O967" s="71"/>
      <c r="P967" s="72"/>
    </row>
    <row r="968" spans="4:16" ht="15.75" customHeight="1">
      <c r="D968" s="68"/>
      <c r="M968" s="69"/>
      <c r="N968" s="70"/>
      <c r="O968" s="71"/>
      <c r="P968" s="72"/>
    </row>
    <row r="969" spans="4:16" ht="15.75" customHeight="1">
      <c r="D969" s="68"/>
      <c r="M969" s="69"/>
      <c r="N969" s="70"/>
      <c r="O969" s="71"/>
      <c r="P969" s="72"/>
    </row>
    <row r="970" spans="4:16" ht="15.75" customHeight="1">
      <c r="D970" s="68"/>
      <c r="M970" s="69"/>
      <c r="N970" s="70"/>
      <c r="O970" s="71"/>
      <c r="P970" s="72"/>
    </row>
    <row r="971" spans="4:16" ht="15.75" customHeight="1">
      <c r="D971" s="68"/>
      <c r="M971" s="69"/>
      <c r="N971" s="70"/>
      <c r="O971" s="71"/>
      <c r="P971" s="72"/>
    </row>
    <row r="972" spans="4:16" ht="15.75" customHeight="1">
      <c r="D972" s="68"/>
      <c r="M972" s="69"/>
      <c r="N972" s="70"/>
      <c r="O972" s="71"/>
      <c r="P972" s="72"/>
    </row>
    <row r="973" spans="4:16" ht="15.75" customHeight="1">
      <c r="D973" s="68"/>
      <c r="M973" s="69"/>
      <c r="N973" s="70"/>
      <c r="O973" s="71"/>
      <c r="P973" s="72"/>
    </row>
    <row r="974" spans="4:16" ht="15.75" customHeight="1">
      <c r="D974" s="68"/>
      <c r="M974" s="69"/>
      <c r="N974" s="70"/>
      <c r="O974" s="71"/>
      <c r="P974" s="72"/>
    </row>
    <row r="975" spans="4:16" ht="15.75" customHeight="1">
      <c r="D975" s="68"/>
      <c r="M975" s="69"/>
      <c r="N975" s="70"/>
      <c r="O975" s="71"/>
      <c r="P975" s="72"/>
    </row>
    <row r="976" spans="4:16" ht="15.75" customHeight="1">
      <c r="D976" s="68"/>
      <c r="M976" s="69"/>
      <c r="N976" s="70"/>
      <c r="O976" s="71"/>
      <c r="P976" s="72"/>
    </row>
    <row r="977" spans="4:16" ht="15.75" customHeight="1">
      <c r="D977" s="68"/>
      <c r="M977" s="69"/>
      <c r="N977" s="70"/>
      <c r="O977" s="71"/>
      <c r="P977" s="72"/>
    </row>
    <row r="978" spans="4:16" ht="15.75" customHeight="1">
      <c r="D978" s="68"/>
      <c r="M978" s="69"/>
      <c r="N978" s="70"/>
      <c r="O978" s="71"/>
      <c r="P978" s="72"/>
    </row>
    <row r="979" spans="4:16" ht="15.75" customHeight="1">
      <c r="D979" s="68"/>
      <c r="M979" s="69"/>
      <c r="N979" s="70"/>
      <c r="O979" s="71"/>
      <c r="P979" s="72"/>
    </row>
    <row r="980" spans="4:16" ht="15.75" customHeight="1">
      <c r="D980" s="68"/>
      <c r="M980" s="69"/>
      <c r="N980" s="70"/>
      <c r="O980" s="71"/>
      <c r="P980" s="72"/>
    </row>
    <row r="981" spans="4:16" ht="15.75" customHeight="1">
      <c r="D981" s="68"/>
      <c r="M981" s="69"/>
      <c r="N981" s="70"/>
      <c r="O981" s="71"/>
      <c r="P981" s="72"/>
    </row>
    <row r="982" spans="4:16" ht="15.75" customHeight="1">
      <c r="D982" s="68"/>
      <c r="M982" s="69"/>
      <c r="N982" s="70"/>
      <c r="O982" s="71"/>
      <c r="P982" s="72"/>
    </row>
    <row r="983" spans="4:16" ht="15.75" customHeight="1">
      <c r="D983" s="68"/>
      <c r="M983" s="69"/>
      <c r="N983" s="70"/>
      <c r="O983" s="71"/>
      <c r="P983" s="72"/>
    </row>
    <row r="984" spans="4:16" ht="15.75" customHeight="1">
      <c r="D984" s="68"/>
      <c r="M984" s="69"/>
      <c r="N984" s="70"/>
      <c r="O984" s="71"/>
      <c r="P984" s="72"/>
    </row>
    <row r="985" spans="4:16" ht="15.75" customHeight="1">
      <c r="D985" s="68"/>
      <c r="M985" s="69"/>
      <c r="N985" s="70"/>
      <c r="O985" s="71"/>
      <c r="P985" s="72"/>
    </row>
    <row r="986" spans="4:16" ht="15.75" customHeight="1">
      <c r="D986" s="68"/>
      <c r="M986" s="69"/>
      <c r="N986" s="70"/>
      <c r="O986" s="71"/>
      <c r="P986" s="72"/>
    </row>
    <row r="987" spans="4:16" ht="15.75" customHeight="1">
      <c r="D987" s="68"/>
      <c r="M987" s="69"/>
      <c r="N987" s="70"/>
      <c r="O987" s="71"/>
      <c r="P987" s="72"/>
    </row>
    <row r="988" spans="4:16" ht="15.75" customHeight="1">
      <c r="D988" s="68"/>
      <c r="M988" s="69"/>
      <c r="N988" s="70"/>
      <c r="O988" s="71"/>
      <c r="P988" s="72"/>
    </row>
    <row r="989" spans="4:16" ht="15.75" customHeight="1">
      <c r="D989" s="68"/>
      <c r="M989" s="69"/>
      <c r="N989" s="70"/>
      <c r="O989" s="71"/>
      <c r="P989" s="72"/>
    </row>
    <row r="990" spans="4:16" ht="15.75" customHeight="1">
      <c r="D990" s="68"/>
      <c r="M990" s="69"/>
      <c r="N990" s="70"/>
      <c r="O990" s="71"/>
      <c r="P990" s="72"/>
    </row>
    <row r="991" spans="4:16" ht="15.75" customHeight="1">
      <c r="D991" s="68"/>
      <c r="M991" s="69"/>
      <c r="N991" s="70"/>
      <c r="O991" s="71"/>
      <c r="P991" s="72"/>
    </row>
    <row r="992" spans="4:16" ht="15.75" customHeight="1">
      <c r="D992" s="68"/>
      <c r="M992" s="69"/>
      <c r="N992" s="70"/>
      <c r="O992" s="71"/>
      <c r="P992" s="72"/>
    </row>
    <row r="993" spans="4:16" ht="15.75" customHeight="1">
      <c r="D993" s="68"/>
      <c r="M993" s="69"/>
      <c r="N993" s="70"/>
      <c r="O993" s="71"/>
      <c r="P993" s="72"/>
    </row>
    <row r="994" spans="4:16" ht="15.75" customHeight="1">
      <c r="D994" s="68"/>
      <c r="M994" s="69"/>
      <c r="N994" s="70"/>
      <c r="O994" s="71"/>
      <c r="P994" s="72"/>
    </row>
    <row r="995" spans="4:16" ht="15.75" customHeight="1">
      <c r="D995" s="68"/>
      <c r="M995" s="69"/>
      <c r="N995" s="70"/>
      <c r="O995" s="71"/>
      <c r="P995" s="72"/>
    </row>
    <row r="996" spans="4:16" ht="15.75" customHeight="1">
      <c r="D996" s="68"/>
      <c r="M996" s="69"/>
      <c r="N996" s="70"/>
      <c r="O996" s="71"/>
      <c r="P996" s="72"/>
    </row>
    <row r="997" spans="4:16" ht="15.75" customHeight="1">
      <c r="D997" s="68"/>
      <c r="M997" s="69"/>
      <c r="N997" s="70"/>
      <c r="O997" s="71"/>
      <c r="P997" s="72"/>
    </row>
    <row r="998" spans="4:16" ht="15.75" customHeight="1">
      <c r="D998" s="68"/>
      <c r="M998" s="69"/>
      <c r="N998" s="70"/>
      <c r="O998" s="71"/>
      <c r="P998" s="72"/>
    </row>
    <row r="999" spans="4:16" ht="15.75" customHeight="1">
      <c r="D999" s="68"/>
      <c r="M999" s="69"/>
      <c r="N999" s="70"/>
      <c r="O999" s="71"/>
      <c r="P999" s="72"/>
    </row>
    <row r="1000" spans="4:16" ht="15.75" customHeight="1">
      <c r="D1000" s="68"/>
      <c r="M1000" s="69"/>
      <c r="N1000" s="70"/>
      <c r="O1000" s="71"/>
      <c r="P1000" s="72"/>
    </row>
  </sheetData>
  <mergeCells count="80">
    <mergeCell ref="H2:H3"/>
    <mergeCell ref="I2:K2"/>
    <mergeCell ref="L2:P2"/>
    <mergeCell ref="A2:A3"/>
    <mergeCell ref="B2:B3"/>
    <mergeCell ref="C2:C3"/>
    <mergeCell ref="E2:E3"/>
    <mergeCell ref="F2:F3"/>
    <mergeCell ref="G2:G3"/>
    <mergeCell ref="C4:C8"/>
    <mergeCell ref="D7:D8"/>
    <mergeCell ref="D22:D23"/>
    <mergeCell ref="G22:G23"/>
    <mergeCell ref="Q22:S23"/>
    <mergeCell ref="G47:G48"/>
    <mergeCell ref="G49:G50"/>
    <mergeCell ref="D2:D3"/>
    <mergeCell ref="D4:D6"/>
    <mergeCell ref="C9:C16"/>
    <mergeCell ref="D9:D16"/>
    <mergeCell ref="C17:C21"/>
    <mergeCell ref="D18:D21"/>
    <mergeCell ref="C22:C30"/>
    <mergeCell ref="D24:D25"/>
    <mergeCell ref="D26:D30"/>
    <mergeCell ref="G26:G30"/>
    <mergeCell ref="C31:C38"/>
    <mergeCell ref="D31:D33"/>
    <mergeCell ref="D34:D36"/>
    <mergeCell ref="G34:G36"/>
    <mergeCell ref="D268:D272"/>
    <mergeCell ref="D273:D277"/>
    <mergeCell ref="C224:C250"/>
    <mergeCell ref="C251:C277"/>
    <mergeCell ref="C280:C284"/>
    <mergeCell ref="D240:D250"/>
    <mergeCell ref="D224:D239"/>
    <mergeCell ref="D251:D267"/>
    <mergeCell ref="D59:D69"/>
    <mergeCell ref="D70:D72"/>
    <mergeCell ref="D80:D81"/>
    <mergeCell ref="D82:D87"/>
    <mergeCell ref="C39:C46"/>
    <mergeCell ref="D39:D46"/>
    <mergeCell ref="C47:C69"/>
    <mergeCell ref="D47:D50"/>
    <mergeCell ref="D51:D55"/>
    <mergeCell ref="D56:D58"/>
    <mergeCell ref="C70:C88"/>
    <mergeCell ref="D73:D76"/>
    <mergeCell ref="D77:D79"/>
    <mergeCell ref="H137:H140"/>
    <mergeCell ref="H145:H152"/>
    <mergeCell ref="C89:C106"/>
    <mergeCell ref="D89:D96"/>
    <mergeCell ref="D97:D106"/>
    <mergeCell ref="C107:C109"/>
    <mergeCell ref="D107:D108"/>
    <mergeCell ref="D110:D112"/>
    <mergeCell ref="D114:D116"/>
    <mergeCell ref="C110:C116"/>
    <mergeCell ref="C117:C154"/>
    <mergeCell ref="D141:D154"/>
    <mergeCell ref="D117:D124"/>
    <mergeCell ref="D125:D133"/>
    <mergeCell ref="D134:D140"/>
    <mergeCell ref="H212:H223"/>
    <mergeCell ref="H230:H239"/>
    <mergeCell ref="C155:C162"/>
    <mergeCell ref="D155:D156"/>
    <mergeCell ref="D157:D160"/>
    <mergeCell ref="D161:D162"/>
    <mergeCell ref="H200:H211"/>
    <mergeCell ref="C163:C186"/>
    <mergeCell ref="D163:D186"/>
    <mergeCell ref="C187:C193"/>
    <mergeCell ref="D187:D193"/>
    <mergeCell ref="C194:C223"/>
    <mergeCell ref="D194:D199"/>
    <mergeCell ref="D200:D223"/>
  </mergeCells>
  <pageMargins left="0.7" right="0.7" top="0.75" bottom="0.75" header="0" footer="0"/>
  <pageSetup paperSize="5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1:Z1000"/>
  <sheetViews>
    <sheetView workbookViewId="0"/>
  </sheetViews>
  <sheetFormatPr defaultColWidth="14.42578125" defaultRowHeight="15" customHeight="1"/>
  <cols>
    <col min="1" max="1" width="17.140625" customWidth="1"/>
    <col min="2" max="2" width="25.5703125" customWidth="1"/>
    <col min="3" max="3" width="13.28515625" customWidth="1"/>
    <col min="4" max="4" width="8.7109375" customWidth="1"/>
    <col min="5" max="5" width="15.85546875" customWidth="1"/>
    <col min="6" max="7" width="8.7109375" customWidth="1"/>
    <col min="8" max="8" width="22.140625" customWidth="1"/>
    <col min="9" max="10" width="8.7109375" customWidth="1"/>
    <col min="11" max="11" width="19.28515625" customWidth="1"/>
    <col min="12" max="12" width="36.85546875" customWidth="1"/>
    <col min="13" max="26" width="8.710937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spans="1:2" ht="15.75" customHeight="1"/>
    <row r="34" spans="1:2" ht="15.75" customHeight="1"/>
    <row r="35" spans="1:2" ht="15.75" customHeight="1"/>
    <row r="36" spans="1:2" ht="15.75" customHeight="1"/>
    <row r="37" spans="1:2" ht="15.75" customHeight="1"/>
    <row r="38" spans="1:2" ht="15.75" customHeight="1">
      <c r="A38" s="135" t="s">
        <v>2032</v>
      </c>
      <c r="B38" s="136">
        <v>228100056614</v>
      </c>
    </row>
    <row r="39" spans="1:2" ht="15.75" customHeight="1">
      <c r="B39" s="136">
        <v>228100056616</v>
      </c>
    </row>
    <row r="40" spans="1:2" ht="15.75" customHeight="1">
      <c r="B40" s="136">
        <v>228100056680</v>
      </c>
    </row>
    <row r="41" spans="1:2" ht="15.75" customHeight="1">
      <c r="B41" s="136">
        <v>228100056681</v>
      </c>
    </row>
    <row r="42" spans="1:2" ht="15.75" customHeight="1"/>
    <row r="43" spans="1:2" ht="15.75" customHeight="1"/>
    <row r="44" spans="1:2" ht="15.75" customHeight="1"/>
    <row r="45" spans="1:2" ht="15.75" customHeight="1"/>
    <row r="46" spans="1:2" ht="15.75" customHeight="1"/>
    <row r="47" spans="1:2" ht="15.75" customHeight="1"/>
    <row r="48" spans="1:2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spans="2:5" ht="15.75" customHeight="1"/>
    <row r="66" spans="2:5" ht="15.75" customHeight="1"/>
    <row r="67" spans="2:5" ht="15.75" customHeight="1"/>
    <row r="68" spans="2:5" ht="15.75" customHeight="1">
      <c r="B68" s="13" t="s">
        <v>2033</v>
      </c>
      <c r="C68" s="13" t="s">
        <v>2034</v>
      </c>
      <c r="D68" s="13">
        <v>12</v>
      </c>
      <c r="E68" s="13" t="s">
        <v>2035</v>
      </c>
    </row>
    <row r="69" spans="2:5" ht="15.75" customHeight="1">
      <c r="B69" s="13" t="s">
        <v>2036</v>
      </c>
      <c r="C69" s="13" t="s">
        <v>2034</v>
      </c>
      <c r="D69" s="13">
        <v>1</v>
      </c>
      <c r="E69" s="13" t="s">
        <v>2037</v>
      </c>
    </row>
    <row r="70" spans="2:5" ht="15.75" customHeight="1">
      <c r="B70" s="13" t="s">
        <v>2038</v>
      </c>
      <c r="C70" s="13" t="s">
        <v>2034</v>
      </c>
      <c r="D70" s="13">
        <v>1</v>
      </c>
      <c r="E70" s="13" t="s">
        <v>2039</v>
      </c>
    </row>
    <row r="71" spans="2:5" ht="15.75" customHeight="1">
      <c r="B71" s="13" t="s">
        <v>2040</v>
      </c>
      <c r="C71" s="13" t="s">
        <v>2034</v>
      </c>
      <c r="D71" s="13">
        <v>4</v>
      </c>
      <c r="E71" s="13" t="s">
        <v>2041</v>
      </c>
    </row>
    <row r="72" spans="2:5" ht="15.75" customHeight="1">
      <c r="B72" s="13" t="s">
        <v>2042</v>
      </c>
      <c r="C72" s="13" t="s">
        <v>2034</v>
      </c>
      <c r="D72" s="13">
        <v>8</v>
      </c>
      <c r="E72" s="13" t="s">
        <v>1994</v>
      </c>
    </row>
    <row r="73" spans="2:5" ht="15.75" customHeight="1">
      <c r="B73" s="13" t="s">
        <v>2043</v>
      </c>
      <c r="C73" s="13" t="s">
        <v>2034</v>
      </c>
      <c r="D73" s="13">
        <v>4</v>
      </c>
      <c r="E73" s="13" t="s">
        <v>2044</v>
      </c>
    </row>
    <row r="74" spans="2:5" ht="15.75" customHeight="1">
      <c r="B74" s="13" t="s">
        <v>2045</v>
      </c>
      <c r="C74" s="13" t="s">
        <v>2034</v>
      </c>
      <c r="D74" s="13">
        <v>40</v>
      </c>
      <c r="E74" s="13" t="s">
        <v>2046</v>
      </c>
    </row>
    <row r="75" spans="2:5" ht="15.75" customHeight="1">
      <c r="B75" s="13" t="s">
        <v>2047</v>
      </c>
      <c r="C75" s="13" t="s">
        <v>2034</v>
      </c>
      <c r="D75" s="13">
        <v>2</v>
      </c>
      <c r="E75" s="13" t="s">
        <v>2048</v>
      </c>
    </row>
    <row r="76" spans="2:5" ht="15.75" customHeight="1">
      <c r="B76" s="13" t="s">
        <v>2049</v>
      </c>
      <c r="C76" s="13" t="s">
        <v>2034</v>
      </c>
      <c r="D76" s="13">
        <v>3</v>
      </c>
      <c r="E76" s="13" t="s">
        <v>2050</v>
      </c>
    </row>
    <row r="77" spans="2:5" ht="15.75" customHeight="1">
      <c r="B77" s="13" t="s">
        <v>2051</v>
      </c>
      <c r="C77" s="13" t="s">
        <v>2034</v>
      </c>
      <c r="D77" s="13">
        <v>8</v>
      </c>
      <c r="E77" s="13" t="s">
        <v>2052</v>
      </c>
    </row>
    <row r="78" spans="2:5" ht="15.75" customHeight="1">
      <c r="B78" s="13" t="s">
        <v>2053</v>
      </c>
      <c r="C78" s="13" t="s">
        <v>2034</v>
      </c>
      <c r="D78" s="13">
        <v>3</v>
      </c>
      <c r="E78" s="13" t="s">
        <v>2054</v>
      </c>
    </row>
    <row r="79" spans="2:5" ht="15.75" customHeight="1">
      <c r="B79" s="13" t="s">
        <v>2055</v>
      </c>
      <c r="C79" s="13" t="s">
        <v>2034</v>
      </c>
      <c r="D79" s="13">
        <v>8</v>
      </c>
      <c r="E79" s="13" t="s">
        <v>2052</v>
      </c>
    </row>
    <row r="80" spans="2:5" ht="15.75" customHeight="1">
      <c r="B80" s="13" t="s">
        <v>2056</v>
      </c>
      <c r="C80" s="13" t="s">
        <v>2034</v>
      </c>
      <c r="D80" s="13">
        <v>3</v>
      </c>
      <c r="E80" s="13" t="s">
        <v>2054</v>
      </c>
    </row>
    <row r="81" spans="2:5" ht="15.75" customHeight="1">
      <c r="B81" s="13" t="s">
        <v>2057</v>
      </c>
      <c r="C81" s="13" t="s">
        <v>2034</v>
      </c>
      <c r="D81" s="13">
        <v>8</v>
      </c>
      <c r="E81" s="13" t="s">
        <v>2052</v>
      </c>
    </row>
    <row r="82" spans="2:5" ht="15.75" customHeight="1">
      <c r="B82" s="13" t="s">
        <v>2058</v>
      </c>
      <c r="C82" s="13" t="s">
        <v>2034</v>
      </c>
      <c r="D82" s="13">
        <v>3</v>
      </c>
      <c r="E82" s="13" t="s">
        <v>2054</v>
      </c>
    </row>
    <row r="83" spans="2:5" ht="15.75" customHeight="1">
      <c r="B83" s="13" t="s">
        <v>2059</v>
      </c>
      <c r="C83" s="13" t="s">
        <v>2034</v>
      </c>
      <c r="D83" s="13">
        <v>8</v>
      </c>
      <c r="E83" s="13" t="s">
        <v>2052</v>
      </c>
    </row>
    <row r="84" spans="2:5" ht="15.75" customHeight="1">
      <c r="B84" s="13" t="s">
        <v>2060</v>
      </c>
      <c r="C84" s="13" t="s">
        <v>2034</v>
      </c>
      <c r="D84" s="13">
        <v>3</v>
      </c>
      <c r="E84" s="13" t="s">
        <v>2054</v>
      </c>
    </row>
    <row r="85" spans="2:5" ht="15.75" customHeight="1">
      <c r="B85" s="13" t="s">
        <v>2061</v>
      </c>
      <c r="C85" s="13" t="s">
        <v>2034</v>
      </c>
      <c r="D85" s="13">
        <v>8</v>
      </c>
      <c r="E85" s="13" t="s">
        <v>2052</v>
      </c>
    </row>
    <row r="86" spans="2:5" ht="15.75" customHeight="1">
      <c r="B86" s="13" t="s">
        <v>2062</v>
      </c>
      <c r="C86" s="13" t="s">
        <v>2034</v>
      </c>
      <c r="D86" s="13">
        <v>3</v>
      </c>
      <c r="E86" s="13" t="s">
        <v>2054</v>
      </c>
    </row>
    <row r="87" spans="2:5" ht="15.75" customHeight="1">
      <c r="B87" s="13" t="s">
        <v>2063</v>
      </c>
      <c r="C87" s="13" t="s">
        <v>2034</v>
      </c>
      <c r="D87" s="13">
        <v>8</v>
      </c>
      <c r="E87" s="13" t="s">
        <v>2052</v>
      </c>
    </row>
    <row r="88" spans="2:5" ht="15.75" customHeight="1">
      <c r="B88" s="13" t="s">
        <v>2064</v>
      </c>
      <c r="C88" s="13" t="s">
        <v>2034</v>
      </c>
      <c r="D88" s="13">
        <v>3</v>
      </c>
      <c r="E88" s="13" t="s">
        <v>2054</v>
      </c>
    </row>
    <row r="89" spans="2:5" ht="15.75" customHeight="1">
      <c r="B89" s="13" t="s">
        <v>2065</v>
      </c>
      <c r="C89" s="13" t="s">
        <v>2034</v>
      </c>
      <c r="D89" s="13">
        <v>1</v>
      </c>
      <c r="E89" s="13" t="s">
        <v>2066</v>
      </c>
    </row>
    <row r="90" spans="2:5" ht="15.75" customHeight="1">
      <c r="B90" s="13" t="s">
        <v>2067</v>
      </c>
      <c r="C90" s="13" t="s">
        <v>2034</v>
      </c>
      <c r="D90" s="13">
        <v>3</v>
      </c>
      <c r="E90" s="13" t="s">
        <v>2068</v>
      </c>
    </row>
    <row r="91" spans="2:5" ht="15.75" customHeight="1">
      <c r="B91" s="13" t="s">
        <v>2069</v>
      </c>
      <c r="C91" s="13" t="s">
        <v>2034</v>
      </c>
      <c r="D91" s="13">
        <v>1</v>
      </c>
      <c r="E91" s="13" t="s">
        <v>2070</v>
      </c>
    </row>
    <row r="92" spans="2:5" ht="15.75" customHeight="1">
      <c r="B92" s="13" t="s">
        <v>2071</v>
      </c>
      <c r="C92" s="13" t="s">
        <v>2034</v>
      </c>
      <c r="D92" s="13">
        <v>1</v>
      </c>
      <c r="E92" s="13" t="s">
        <v>2072</v>
      </c>
    </row>
    <row r="93" spans="2:5" ht="15.75" customHeight="1"/>
    <row r="94" spans="2:5" ht="15.75" customHeight="1"/>
    <row r="95" spans="2:5" ht="15.75" customHeight="1"/>
    <row r="96" spans="2:5" ht="15.75" customHeight="1"/>
    <row r="97" spans="2:26" ht="15.75" customHeight="1"/>
    <row r="98" spans="2:26" ht="15.75" customHeight="1"/>
    <row r="99" spans="2:26" ht="15.75" customHeight="1"/>
    <row r="100" spans="2:26" ht="15.75" customHeight="1"/>
    <row r="101" spans="2:26" ht="15.75" customHeight="1"/>
    <row r="102" spans="2:26" ht="15.75" customHeight="1"/>
    <row r="103" spans="2:26" ht="15.75" customHeight="1"/>
    <row r="104" spans="2:26" ht="15.75" customHeight="1"/>
    <row r="105" spans="2:26" ht="15.75" customHeight="1"/>
    <row r="106" spans="2:26" ht="15.75" customHeight="1"/>
    <row r="107" spans="2:26" ht="15.75" customHeight="1"/>
    <row r="108" spans="2:26" ht="15.75" customHeight="1"/>
    <row r="109" spans="2:26" ht="15.75" customHeight="1"/>
    <row r="110" spans="2:26" ht="15.75" customHeight="1">
      <c r="B110" s="13">
        <v>12</v>
      </c>
      <c r="C110" s="13">
        <v>1</v>
      </c>
      <c r="D110" s="13">
        <v>1</v>
      </c>
      <c r="E110" s="13">
        <v>4</v>
      </c>
      <c r="F110" s="13">
        <v>8</v>
      </c>
      <c r="G110" s="13">
        <v>4</v>
      </c>
      <c r="H110" s="13">
        <v>40</v>
      </c>
      <c r="I110" s="13">
        <v>2</v>
      </c>
      <c r="J110" s="13">
        <v>3</v>
      </c>
      <c r="K110" s="13">
        <v>8</v>
      </c>
      <c r="L110" s="13">
        <v>3</v>
      </c>
      <c r="M110" s="13">
        <v>8</v>
      </c>
      <c r="N110" s="13">
        <v>3</v>
      </c>
      <c r="O110" s="13">
        <v>8</v>
      </c>
      <c r="P110" s="13">
        <v>3</v>
      </c>
      <c r="Q110" s="13">
        <v>8</v>
      </c>
      <c r="R110" s="13">
        <v>3</v>
      </c>
      <c r="S110" s="13">
        <v>8</v>
      </c>
      <c r="T110" s="13">
        <v>3</v>
      </c>
      <c r="U110" s="13">
        <v>8</v>
      </c>
      <c r="V110" s="13">
        <v>3</v>
      </c>
      <c r="W110" s="13">
        <v>1</v>
      </c>
      <c r="X110" s="13">
        <v>3</v>
      </c>
      <c r="Y110" s="13">
        <v>1</v>
      </c>
      <c r="Z110" s="13">
        <v>1</v>
      </c>
    </row>
    <row r="111" spans="2:26" ht="15.75" customHeight="1">
      <c r="B111" s="13" t="s">
        <v>2035</v>
      </c>
      <c r="C111" s="13" t="s">
        <v>2037</v>
      </c>
      <c r="D111" s="13" t="s">
        <v>2039</v>
      </c>
      <c r="E111" s="13" t="s">
        <v>2041</v>
      </c>
      <c r="F111" s="13" t="s">
        <v>1994</v>
      </c>
      <c r="G111" s="13" t="s">
        <v>2044</v>
      </c>
      <c r="H111" s="13" t="s">
        <v>2046</v>
      </c>
      <c r="I111" s="13" t="s">
        <v>2048</v>
      </c>
      <c r="J111" s="13" t="s">
        <v>2050</v>
      </c>
      <c r="K111" s="13" t="s">
        <v>2052</v>
      </c>
      <c r="L111" s="13" t="s">
        <v>2054</v>
      </c>
      <c r="M111" s="13" t="s">
        <v>2052</v>
      </c>
      <c r="N111" s="13" t="s">
        <v>2054</v>
      </c>
      <c r="O111" s="13" t="s">
        <v>2052</v>
      </c>
      <c r="P111" s="13" t="s">
        <v>2054</v>
      </c>
      <c r="Q111" s="13" t="s">
        <v>2052</v>
      </c>
      <c r="R111" s="13" t="s">
        <v>2054</v>
      </c>
      <c r="S111" s="13" t="s">
        <v>2052</v>
      </c>
      <c r="T111" s="13" t="s">
        <v>2054</v>
      </c>
      <c r="U111" s="13" t="s">
        <v>2052</v>
      </c>
      <c r="V111" s="13" t="s">
        <v>2054</v>
      </c>
      <c r="W111" s="13" t="s">
        <v>2066</v>
      </c>
      <c r="X111" s="13" t="s">
        <v>2068</v>
      </c>
      <c r="Y111" s="13" t="s">
        <v>2070</v>
      </c>
      <c r="Z111" s="13" t="s">
        <v>2072</v>
      </c>
    </row>
    <row r="112" spans="2:26" ht="15.75" customHeight="1">
      <c r="B112" s="137">
        <v>228100056680</v>
      </c>
      <c r="C112" s="69" t="s">
        <v>2073</v>
      </c>
      <c r="D112" s="69" t="s">
        <v>2073</v>
      </c>
      <c r="E112" s="138" t="s">
        <v>2074</v>
      </c>
      <c r="F112" s="69" t="s">
        <v>803</v>
      </c>
      <c r="G112" s="69" t="s">
        <v>2075</v>
      </c>
      <c r="H112" s="22" t="s">
        <v>804</v>
      </c>
      <c r="I112" s="69">
        <v>1</v>
      </c>
      <c r="J112" s="69" t="s">
        <v>2076</v>
      </c>
      <c r="K112" s="69">
        <v>112.5</v>
      </c>
      <c r="L112" s="69" t="s">
        <v>2077</v>
      </c>
      <c r="M112" s="69">
        <v>112.5</v>
      </c>
      <c r="N112" s="69" t="s">
        <v>2077</v>
      </c>
      <c r="O112" s="69">
        <v>112.5</v>
      </c>
      <c r="P112" s="69" t="s">
        <v>2077</v>
      </c>
      <c r="Q112" s="69">
        <v>112.5</v>
      </c>
      <c r="R112" s="69" t="s">
        <v>2077</v>
      </c>
      <c r="S112" s="69">
        <v>112.5</v>
      </c>
      <c r="T112" s="69" t="s">
        <v>2077</v>
      </c>
      <c r="U112" s="69">
        <v>112.5</v>
      </c>
      <c r="V112" s="69" t="s">
        <v>2077</v>
      </c>
      <c r="W112" s="69" t="s">
        <v>2073</v>
      </c>
      <c r="X112" s="69">
        <v>12</v>
      </c>
      <c r="Y112" s="69" t="s">
        <v>2073</v>
      </c>
      <c r="Z112" s="69" t="s">
        <v>2073</v>
      </c>
    </row>
    <row r="113" spans="2:26" ht="15.75" customHeight="1">
      <c r="B113" s="137">
        <v>228100056681</v>
      </c>
      <c r="C113" s="69" t="s">
        <v>2073</v>
      </c>
      <c r="D113" s="69" t="s">
        <v>2073</v>
      </c>
      <c r="E113" s="138" t="s">
        <v>2074</v>
      </c>
      <c r="F113" s="69" t="s">
        <v>803</v>
      </c>
      <c r="G113" s="69" t="s">
        <v>2075</v>
      </c>
      <c r="H113" s="22" t="s">
        <v>804</v>
      </c>
      <c r="I113" s="69">
        <v>1</v>
      </c>
      <c r="J113" s="69" t="s">
        <v>2076</v>
      </c>
      <c r="K113" s="69">
        <v>112.5</v>
      </c>
      <c r="L113" s="69" t="s">
        <v>2077</v>
      </c>
      <c r="M113" s="69">
        <v>112.5</v>
      </c>
      <c r="N113" s="69" t="s">
        <v>2077</v>
      </c>
      <c r="O113" s="69">
        <v>112.5</v>
      </c>
      <c r="P113" s="69" t="s">
        <v>2077</v>
      </c>
      <c r="Q113" s="69">
        <v>112.5</v>
      </c>
      <c r="R113" s="69" t="s">
        <v>2077</v>
      </c>
      <c r="S113" s="69">
        <v>112.5</v>
      </c>
      <c r="T113" s="69" t="s">
        <v>2077</v>
      </c>
      <c r="U113" s="69">
        <v>112.5</v>
      </c>
      <c r="V113" s="69" t="s">
        <v>2077</v>
      </c>
      <c r="W113" s="69" t="s">
        <v>2073</v>
      </c>
      <c r="X113" s="69">
        <v>12</v>
      </c>
      <c r="Y113" s="69" t="s">
        <v>2073</v>
      </c>
      <c r="Z113" s="69" t="s">
        <v>2073</v>
      </c>
    </row>
    <row r="114" spans="2:26" ht="15.75" customHeight="1">
      <c r="B114" s="137">
        <v>228100056616</v>
      </c>
      <c r="C114" s="69" t="s">
        <v>2073</v>
      </c>
      <c r="D114" s="69" t="s">
        <v>2073</v>
      </c>
      <c r="E114" s="138" t="s">
        <v>2078</v>
      </c>
      <c r="F114" s="69" t="s">
        <v>805</v>
      </c>
      <c r="G114" s="69" t="s">
        <v>2075</v>
      </c>
      <c r="H114" s="22" t="s">
        <v>806</v>
      </c>
      <c r="I114" s="69">
        <v>1</v>
      </c>
      <c r="J114" s="69" t="s">
        <v>2076</v>
      </c>
      <c r="K114" s="69">
        <v>112.5</v>
      </c>
      <c r="L114" s="69" t="s">
        <v>2077</v>
      </c>
      <c r="M114" s="69">
        <v>112.5</v>
      </c>
      <c r="N114" s="69" t="s">
        <v>2077</v>
      </c>
      <c r="O114" s="69">
        <v>112.5</v>
      </c>
      <c r="P114" s="69" t="s">
        <v>2077</v>
      </c>
      <c r="Q114" s="69">
        <v>112.5</v>
      </c>
      <c r="R114" s="69" t="s">
        <v>2077</v>
      </c>
      <c r="S114" s="69">
        <v>112.5</v>
      </c>
      <c r="T114" s="69" t="s">
        <v>2077</v>
      </c>
      <c r="U114" s="69">
        <v>112.5</v>
      </c>
      <c r="V114" s="69" t="s">
        <v>2077</v>
      </c>
      <c r="W114" s="69" t="s">
        <v>2073</v>
      </c>
      <c r="X114" s="69">
        <v>12</v>
      </c>
      <c r="Y114" s="69" t="s">
        <v>2073</v>
      </c>
      <c r="Z114" s="69" t="s">
        <v>2073</v>
      </c>
    </row>
    <row r="115" spans="2:26" ht="15.75" customHeight="1">
      <c r="B115" s="137">
        <v>228100056680</v>
      </c>
      <c r="C115" s="69" t="s">
        <v>2073</v>
      </c>
      <c r="D115" s="69" t="s">
        <v>2073</v>
      </c>
      <c r="E115" s="138" t="s">
        <v>2078</v>
      </c>
      <c r="F115" s="69" t="s">
        <v>805</v>
      </c>
      <c r="G115" s="69" t="s">
        <v>2075</v>
      </c>
      <c r="H115" s="22" t="s">
        <v>806</v>
      </c>
      <c r="I115" s="69">
        <v>1</v>
      </c>
      <c r="J115" s="69" t="s">
        <v>2076</v>
      </c>
      <c r="K115" s="69">
        <v>112.5</v>
      </c>
      <c r="L115" s="69" t="s">
        <v>2077</v>
      </c>
      <c r="M115" s="69">
        <v>112.5</v>
      </c>
      <c r="N115" s="69" t="s">
        <v>2077</v>
      </c>
      <c r="O115" s="69">
        <v>112.5</v>
      </c>
      <c r="P115" s="69" t="s">
        <v>2077</v>
      </c>
      <c r="Q115" s="69">
        <v>112.5</v>
      </c>
      <c r="R115" s="69" t="s">
        <v>2077</v>
      </c>
      <c r="S115" s="69">
        <v>112.5</v>
      </c>
      <c r="T115" s="69" t="s">
        <v>2077</v>
      </c>
      <c r="U115" s="69">
        <v>112.5</v>
      </c>
      <c r="V115" s="69" t="s">
        <v>2077</v>
      </c>
      <c r="W115" s="69" t="s">
        <v>2073</v>
      </c>
      <c r="X115" s="69">
        <v>12</v>
      </c>
      <c r="Y115" s="69" t="s">
        <v>2073</v>
      </c>
      <c r="Z115" s="69" t="s">
        <v>2073</v>
      </c>
    </row>
    <row r="116" spans="2:26" ht="15.75" customHeight="1">
      <c r="B116" s="137">
        <v>228100056681</v>
      </c>
      <c r="C116" s="69" t="s">
        <v>2073</v>
      </c>
      <c r="D116" s="69" t="s">
        <v>2073</v>
      </c>
      <c r="E116" s="138" t="s">
        <v>2078</v>
      </c>
      <c r="F116" s="69" t="s">
        <v>805</v>
      </c>
      <c r="G116" s="69" t="s">
        <v>2075</v>
      </c>
      <c r="H116" s="22" t="s">
        <v>806</v>
      </c>
      <c r="I116" s="69">
        <v>1</v>
      </c>
      <c r="J116" s="69" t="s">
        <v>2076</v>
      </c>
      <c r="K116" s="69">
        <v>112.5</v>
      </c>
      <c r="L116" s="69" t="s">
        <v>2077</v>
      </c>
      <c r="M116" s="69">
        <v>112.5</v>
      </c>
      <c r="N116" s="69" t="s">
        <v>2077</v>
      </c>
      <c r="O116" s="69">
        <v>112.5</v>
      </c>
      <c r="P116" s="69" t="s">
        <v>2077</v>
      </c>
      <c r="Q116" s="69">
        <v>112.5</v>
      </c>
      <c r="R116" s="69" t="s">
        <v>2077</v>
      </c>
      <c r="S116" s="69">
        <v>112.5</v>
      </c>
      <c r="T116" s="69" t="s">
        <v>2077</v>
      </c>
      <c r="U116" s="69">
        <v>112.5</v>
      </c>
      <c r="V116" s="69" t="s">
        <v>2077</v>
      </c>
      <c r="W116" s="69" t="s">
        <v>2073</v>
      </c>
      <c r="X116" s="69">
        <v>12</v>
      </c>
      <c r="Y116" s="69" t="s">
        <v>2073</v>
      </c>
      <c r="Z116" s="69" t="s">
        <v>2073</v>
      </c>
    </row>
    <row r="117" spans="2:26" ht="15.75" customHeight="1">
      <c r="B117" s="137">
        <v>228100056616</v>
      </c>
      <c r="C117" s="69" t="s">
        <v>2073</v>
      </c>
      <c r="D117" s="69" t="s">
        <v>2073</v>
      </c>
      <c r="E117" s="138" t="s">
        <v>2079</v>
      </c>
      <c r="F117" s="69" t="s">
        <v>807</v>
      </c>
      <c r="G117" s="69" t="s">
        <v>2075</v>
      </c>
      <c r="H117" s="22" t="s">
        <v>808</v>
      </c>
      <c r="I117" s="69">
        <v>1</v>
      </c>
      <c r="J117" s="69" t="s">
        <v>2076</v>
      </c>
      <c r="K117" s="69">
        <v>112.5</v>
      </c>
      <c r="L117" s="69" t="s">
        <v>2077</v>
      </c>
      <c r="M117" s="69">
        <v>112.5</v>
      </c>
      <c r="N117" s="69" t="s">
        <v>2077</v>
      </c>
      <c r="O117" s="69">
        <v>112.5</v>
      </c>
      <c r="P117" s="69" t="s">
        <v>2077</v>
      </c>
      <c r="Q117" s="69">
        <v>112.5</v>
      </c>
      <c r="R117" s="69" t="s">
        <v>2077</v>
      </c>
      <c r="S117" s="69">
        <v>112.5</v>
      </c>
      <c r="T117" s="69" t="s">
        <v>2077</v>
      </c>
      <c r="U117" s="69">
        <v>112.5</v>
      </c>
      <c r="V117" s="69" t="s">
        <v>2077</v>
      </c>
      <c r="W117" s="69" t="s">
        <v>2073</v>
      </c>
      <c r="X117" s="69">
        <v>12</v>
      </c>
      <c r="Y117" s="69" t="s">
        <v>2073</v>
      </c>
      <c r="Z117" s="69" t="s">
        <v>2073</v>
      </c>
    </row>
    <row r="118" spans="2:26" ht="15.75" customHeight="1">
      <c r="B118" s="137">
        <v>228100056680</v>
      </c>
      <c r="C118" s="69" t="s">
        <v>2073</v>
      </c>
      <c r="D118" s="69" t="s">
        <v>2073</v>
      </c>
      <c r="E118" s="138" t="s">
        <v>2079</v>
      </c>
      <c r="F118" s="69" t="s">
        <v>807</v>
      </c>
      <c r="G118" s="69" t="s">
        <v>2075</v>
      </c>
      <c r="H118" s="22" t="s">
        <v>808</v>
      </c>
      <c r="I118" s="69">
        <v>1</v>
      </c>
      <c r="J118" s="69" t="s">
        <v>2076</v>
      </c>
      <c r="K118" s="69">
        <v>112.5</v>
      </c>
      <c r="L118" s="69" t="s">
        <v>2077</v>
      </c>
      <c r="M118" s="69">
        <v>112.5</v>
      </c>
      <c r="N118" s="69" t="s">
        <v>2077</v>
      </c>
      <c r="O118" s="69">
        <v>112.5</v>
      </c>
      <c r="P118" s="69" t="s">
        <v>2077</v>
      </c>
      <c r="Q118" s="69">
        <v>112.5</v>
      </c>
      <c r="R118" s="69" t="s">
        <v>2077</v>
      </c>
      <c r="S118" s="69">
        <v>112.5</v>
      </c>
      <c r="T118" s="69" t="s">
        <v>2077</v>
      </c>
      <c r="U118" s="69">
        <v>112.5</v>
      </c>
      <c r="V118" s="69" t="s">
        <v>2077</v>
      </c>
      <c r="W118" s="69" t="s">
        <v>2073</v>
      </c>
      <c r="X118" s="69">
        <v>12</v>
      </c>
      <c r="Y118" s="69" t="s">
        <v>2073</v>
      </c>
      <c r="Z118" s="69" t="s">
        <v>2073</v>
      </c>
    </row>
    <row r="119" spans="2:26" ht="15.75" customHeight="1">
      <c r="B119" s="137">
        <v>228100056681</v>
      </c>
      <c r="C119" s="69" t="s">
        <v>2073</v>
      </c>
      <c r="D119" s="69" t="s">
        <v>2073</v>
      </c>
      <c r="E119" s="138" t="s">
        <v>2079</v>
      </c>
      <c r="F119" s="69" t="s">
        <v>807</v>
      </c>
      <c r="G119" s="69" t="s">
        <v>2075</v>
      </c>
      <c r="H119" s="22" t="s">
        <v>808</v>
      </c>
      <c r="I119" s="69">
        <v>1</v>
      </c>
      <c r="J119" s="69" t="s">
        <v>2076</v>
      </c>
      <c r="K119" s="69">
        <v>112.5</v>
      </c>
      <c r="L119" s="69" t="s">
        <v>2077</v>
      </c>
      <c r="M119" s="69">
        <v>112.5</v>
      </c>
      <c r="N119" s="69" t="s">
        <v>2077</v>
      </c>
      <c r="O119" s="69">
        <v>112.5</v>
      </c>
      <c r="P119" s="69" t="s">
        <v>2077</v>
      </c>
      <c r="Q119" s="69">
        <v>112.5</v>
      </c>
      <c r="R119" s="69" t="s">
        <v>2077</v>
      </c>
      <c r="S119" s="69">
        <v>112.5</v>
      </c>
      <c r="T119" s="69" t="s">
        <v>2077</v>
      </c>
      <c r="U119" s="69">
        <v>112.5</v>
      </c>
      <c r="V119" s="69" t="s">
        <v>2077</v>
      </c>
      <c r="W119" s="69" t="s">
        <v>2073</v>
      </c>
      <c r="X119" s="69">
        <v>12</v>
      </c>
      <c r="Y119" s="69" t="s">
        <v>2073</v>
      </c>
      <c r="Z119" s="69" t="s">
        <v>2073</v>
      </c>
    </row>
    <row r="120" spans="2:26" ht="15.75" customHeight="1">
      <c r="B120" s="137">
        <v>228100056616</v>
      </c>
      <c r="C120" s="69" t="s">
        <v>2073</v>
      </c>
      <c r="D120" s="69" t="s">
        <v>2073</v>
      </c>
      <c r="E120" s="138" t="s">
        <v>2080</v>
      </c>
      <c r="F120" s="69" t="s">
        <v>809</v>
      </c>
      <c r="G120" s="69" t="s">
        <v>2075</v>
      </c>
      <c r="H120" s="22" t="s">
        <v>810</v>
      </c>
      <c r="I120" s="69">
        <v>1</v>
      </c>
      <c r="J120" s="69" t="s">
        <v>2076</v>
      </c>
      <c r="K120" s="69">
        <v>112.5</v>
      </c>
      <c r="L120" s="69" t="s">
        <v>2077</v>
      </c>
      <c r="M120" s="69">
        <v>112.5</v>
      </c>
      <c r="N120" s="69" t="s">
        <v>2077</v>
      </c>
      <c r="O120" s="69">
        <v>112.5</v>
      </c>
      <c r="P120" s="69" t="s">
        <v>2077</v>
      </c>
      <c r="Q120" s="69">
        <v>112.5</v>
      </c>
      <c r="R120" s="69" t="s">
        <v>2077</v>
      </c>
      <c r="S120" s="69">
        <v>112.5</v>
      </c>
      <c r="T120" s="69" t="s">
        <v>2077</v>
      </c>
      <c r="U120" s="69">
        <v>112.5</v>
      </c>
      <c r="V120" s="69" t="s">
        <v>2077</v>
      </c>
      <c r="W120" s="69" t="s">
        <v>2073</v>
      </c>
      <c r="X120" s="69">
        <v>12</v>
      </c>
      <c r="Y120" s="69" t="s">
        <v>2073</v>
      </c>
      <c r="Z120" s="69" t="s">
        <v>2073</v>
      </c>
    </row>
    <row r="121" spans="2:26" ht="15.75" customHeight="1">
      <c r="B121" s="137">
        <v>228100056680</v>
      </c>
      <c r="C121" s="69" t="s">
        <v>2073</v>
      </c>
      <c r="D121" s="69" t="s">
        <v>2073</v>
      </c>
      <c r="E121" s="138" t="s">
        <v>2080</v>
      </c>
      <c r="F121" s="69" t="s">
        <v>809</v>
      </c>
      <c r="G121" s="69" t="s">
        <v>2075</v>
      </c>
      <c r="H121" s="22" t="s">
        <v>810</v>
      </c>
      <c r="I121" s="69">
        <v>1</v>
      </c>
      <c r="J121" s="69" t="s">
        <v>2076</v>
      </c>
      <c r="K121" s="69">
        <v>112.5</v>
      </c>
      <c r="L121" s="69" t="s">
        <v>2077</v>
      </c>
      <c r="M121" s="69">
        <v>112.5</v>
      </c>
      <c r="N121" s="69" t="s">
        <v>2077</v>
      </c>
      <c r="O121" s="69">
        <v>112.5</v>
      </c>
      <c r="P121" s="69" t="s">
        <v>2077</v>
      </c>
      <c r="Q121" s="69">
        <v>112.5</v>
      </c>
      <c r="R121" s="69" t="s">
        <v>2077</v>
      </c>
      <c r="S121" s="69">
        <v>112.5</v>
      </c>
      <c r="T121" s="69" t="s">
        <v>2077</v>
      </c>
      <c r="U121" s="69">
        <v>112.5</v>
      </c>
      <c r="V121" s="69" t="s">
        <v>2077</v>
      </c>
      <c r="W121" s="69" t="s">
        <v>2073</v>
      </c>
      <c r="X121" s="69">
        <v>12</v>
      </c>
      <c r="Y121" s="69" t="s">
        <v>2073</v>
      </c>
      <c r="Z121" s="69" t="s">
        <v>2073</v>
      </c>
    </row>
    <row r="122" spans="2:26" ht="15.75" customHeight="1">
      <c r="B122" s="137">
        <v>228100056681</v>
      </c>
      <c r="C122" s="69" t="s">
        <v>2073</v>
      </c>
      <c r="D122" s="69" t="s">
        <v>2073</v>
      </c>
      <c r="E122" s="138" t="s">
        <v>2080</v>
      </c>
      <c r="F122" s="69" t="s">
        <v>809</v>
      </c>
      <c r="G122" s="69" t="s">
        <v>2075</v>
      </c>
      <c r="H122" s="22" t="s">
        <v>810</v>
      </c>
      <c r="I122" s="69">
        <v>1</v>
      </c>
      <c r="J122" s="69" t="s">
        <v>2076</v>
      </c>
      <c r="K122" s="69">
        <v>112.5</v>
      </c>
      <c r="L122" s="69" t="s">
        <v>2077</v>
      </c>
      <c r="M122" s="69">
        <v>112.5</v>
      </c>
      <c r="N122" s="69" t="s">
        <v>2077</v>
      </c>
      <c r="O122" s="69">
        <v>112.5</v>
      </c>
      <c r="P122" s="69" t="s">
        <v>2077</v>
      </c>
      <c r="Q122" s="69">
        <v>112.5</v>
      </c>
      <c r="R122" s="69" t="s">
        <v>2077</v>
      </c>
      <c r="S122" s="69">
        <v>112.5</v>
      </c>
      <c r="T122" s="69" t="s">
        <v>2077</v>
      </c>
      <c r="U122" s="69">
        <v>112.5</v>
      </c>
      <c r="V122" s="69" t="s">
        <v>2077</v>
      </c>
      <c r="W122" s="69" t="s">
        <v>2073</v>
      </c>
      <c r="X122" s="69">
        <v>12</v>
      </c>
      <c r="Y122" s="69" t="s">
        <v>2073</v>
      </c>
      <c r="Z122" s="69" t="s">
        <v>2073</v>
      </c>
    </row>
    <row r="123" spans="2:26" ht="15.75" customHeight="1"/>
    <row r="124" spans="2:26" ht="15.75" customHeight="1"/>
    <row r="125" spans="2:26" ht="15.75" customHeight="1"/>
    <row r="126" spans="2:26" ht="15.75" customHeight="1"/>
    <row r="127" spans="2:26" ht="15.75" customHeight="1">
      <c r="B127" s="13">
        <v>20164080</v>
      </c>
      <c r="C127" s="13">
        <v>1010003570</v>
      </c>
      <c r="D127" s="13">
        <v>90</v>
      </c>
    </row>
    <row r="128" spans="2:26" ht="15.75" customHeight="1"/>
    <row r="129" spans="3:12" ht="15.75" customHeight="1"/>
    <row r="130" spans="3:12" ht="15.75" customHeight="1"/>
    <row r="131" spans="3:12" ht="15.75" customHeight="1">
      <c r="D131" s="13" t="s">
        <v>2081</v>
      </c>
      <c r="E131" s="13" t="s">
        <v>2034</v>
      </c>
      <c r="F131" s="13">
        <v>10</v>
      </c>
      <c r="G131" s="13" t="s">
        <v>2082</v>
      </c>
    </row>
    <row r="132" spans="3:12" ht="15.75" customHeight="1">
      <c r="D132" s="13" t="s">
        <v>2083</v>
      </c>
      <c r="E132" s="13" t="s">
        <v>2034</v>
      </c>
      <c r="F132" s="13">
        <v>4</v>
      </c>
      <c r="G132" s="13" t="s">
        <v>2084</v>
      </c>
    </row>
    <row r="133" spans="3:12" ht="15.75" customHeight="1">
      <c r="D133" s="13" t="s">
        <v>2085</v>
      </c>
      <c r="E133" s="13" t="s">
        <v>2034</v>
      </c>
      <c r="F133" s="13">
        <v>18</v>
      </c>
      <c r="G133" s="13" t="s">
        <v>2086</v>
      </c>
    </row>
    <row r="134" spans="3:12" ht="15.75" customHeight="1">
      <c r="D134" s="13" t="s">
        <v>2009</v>
      </c>
      <c r="E134" s="13" t="s">
        <v>2034</v>
      </c>
      <c r="F134" s="13">
        <v>4</v>
      </c>
      <c r="G134" s="13" t="s">
        <v>1993</v>
      </c>
    </row>
    <row r="135" spans="3:12" ht="15.75" customHeight="1">
      <c r="D135" s="13" t="s">
        <v>2087</v>
      </c>
      <c r="E135" s="13" t="s">
        <v>2034</v>
      </c>
      <c r="F135" s="13">
        <v>4</v>
      </c>
      <c r="G135" s="13" t="s">
        <v>2088</v>
      </c>
    </row>
    <row r="136" spans="3:12" ht="15.75" customHeight="1">
      <c r="D136" s="13" t="s">
        <v>2089</v>
      </c>
      <c r="E136" s="13" t="s">
        <v>2034</v>
      </c>
      <c r="F136" s="13">
        <v>6</v>
      </c>
      <c r="G136" s="13" t="s">
        <v>2090</v>
      </c>
    </row>
    <row r="137" spans="3:12" ht="15.75" customHeight="1">
      <c r="D137" s="13" t="s">
        <v>2091</v>
      </c>
      <c r="E137" s="13" t="s">
        <v>2092</v>
      </c>
      <c r="F137" s="13">
        <v>8</v>
      </c>
      <c r="G137" s="13" t="s">
        <v>2093</v>
      </c>
    </row>
    <row r="138" spans="3:12" ht="15.75" customHeight="1">
      <c r="D138" s="13" t="s">
        <v>2094</v>
      </c>
      <c r="E138" s="13" t="s">
        <v>2092</v>
      </c>
      <c r="F138" s="13">
        <v>8</v>
      </c>
      <c r="G138" s="13" t="s">
        <v>2095</v>
      </c>
    </row>
    <row r="139" spans="3:12" ht="15.75" customHeight="1">
      <c r="D139" s="13" t="s">
        <v>2096</v>
      </c>
      <c r="E139" s="13" t="s">
        <v>2034</v>
      </c>
      <c r="F139" s="13">
        <v>8</v>
      </c>
      <c r="G139" s="13" t="s">
        <v>1994</v>
      </c>
    </row>
    <row r="140" spans="3:12" ht="15.75" customHeight="1">
      <c r="D140" s="13" t="s">
        <v>2097</v>
      </c>
      <c r="E140" s="13" t="s">
        <v>2034</v>
      </c>
      <c r="F140" s="13">
        <v>40</v>
      </c>
      <c r="G140" s="13" t="s">
        <v>2046</v>
      </c>
    </row>
    <row r="141" spans="3:12" ht="15.75" customHeight="1"/>
    <row r="142" spans="3:12" ht="15.75" customHeight="1">
      <c r="C142" s="69" t="s">
        <v>2082</v>
      </c>
      <c r="D142" s="69" t="s">
        <v>2084</v>
      </c>
      <c r="E142" s="69" t="s">
        <v>2086</v>
      </c>
      <c r="F142" s="69" t="s">
        <v>1993</v>
      </c>
      <c r="G142" s="69" t="s">
        <v>2088</v>
      </c>
      <c r="H142" s="69" t="s">
        <v>2090</v>
      </c>
      <c r="I142" s="69" t="s">
        <v>2093</v>
      </c>
      <c r="J142" s="69" t="s">
        <v>2095</v>
      </c>
      <c r="K142" s="69" t="s">
        <v>1994</v>
      </c>
      <c r="L142" s="69" t="s">
        <v>2046</v>
      </c>
    </row>
    <row r="143" spans="3:12" ht="15.75" customHeight="1">
      <c r="C143" s="69">
        <v>1010003570</v>
      </c>
      <c r="D143" s="69">
        <v>90</v>
      </c>
      <c r="E143" s="69">
        <v>20164080</v>
      </c>
      <c r="F143" s="69">
        <v>2000</v>
      </c>
      <c r="G143" s="69" t="s">
        <v>2098</v>
      </c>
      <c r="H143" s="69">
        <v>2</v>
      </c>
      <c r="I143" s="69">
        <v>15082024</v>
      </c>
      <c r="J143" s="69">
        <v>15082024</v>
      </c>
      <c r="K143" s="69" t="s">
        <v>803</v>
      </c>
      <c r="L143" s="22" t="s">
        <v>804</v>
      </c>
    </row>
    <row r="144" spans="3:12" ht="15.75" customHeight="1">
      <c r="C144" s="69">
        <v>1010003570</v>
      </c>
      <c r="D144" s="69">
        <v>90</v>
      </c>
      <c r="E144" s="69">
        <v>20164080</v>
      </c>
      <c r="F144" s="69">
        <v>2000</v>
      </c>
      <c r="G144" s="69" t="s">
        <v>2098</v>
      </c>
      <c r="H144" s="69">
        <v>2</v>
      </c>
      <c r="I144" s="69">
        <v>15082024</v>
      </c>
      <c r="J144" s="69">
        <v>15082024</v>
      </c>
      <c r="K144" s="69" t="s">
        <v>805</v>
      </c>
      <c r="L144" s="22" t="s">
        <v>806</v>
      </c>
    </row>
    <row r="145" spans="3:12" ht="15.75" customHeight="1">
      <c r="C145" s="69">
        <v>1010003570</v>
      </c>
      <c r="D145" s="69">
        <v>90</v>
      </c>
      <c r="E145" s="69">
        <v>20164080</v>
      </c>
      <c r="F145" s="69">
        <v>2000</v>
      </c>
      <c r="G145" s="69" t="s">
        <v>2098</v>
      </c>
      <c r="H145" s="69">
        <v>2</v>
      </c>
      <c r="I145" s="69">
        <v>15082024</v>
      </c>
      <c r="J145" s="69">
        <v>15082024</v>
      </c>
      <c r="K145" s="69" t="s">
        <v>807</v>
      </c>
      <c r="L145" s="22" t="s">
        <v>808</v>
      </c>
    </row>
    <row r="146" spans="3:12" ht="15.75" customHeight="1">
      <c r="C146" s="69">
        <v>1010003570</v>
      </c>
      <c r="D146" s="69">
        <v>90</v>
      </c>
      <c r="E146" s="69">
        <v>20164080</v>
      </c>
      <c r="F146" s="69">
        <v>2000</v>
      </c>
      <c r="G146" s="69" t="s">
        <v>2098</v>
      </c>
      <c r="H146" s="69">
        <v>2</v>
      </c>
      <c r="I146" s="69">
        <v>15082024</v>
      </c>
      <c r="J146" s="69">
        <v>15082024</v>
      </c>
      <c r="K146" s="69" t="s">
        <v>809</v>
      </c>
      <c r="L146" s="22" t="s">
        <v>810</v>
      </c>
    </row>
    <row r="147" spans="3:12" ht="15.75" customHeight="1"/>
    <row r="148" spans="3:12" ht="15.75" customHeight="1"/>
    <row r="149" spans="3:12" ht="15.75" customHeight="1"/>
    <row r="150" spans="3:12" ht="15.75" customHeight="1"/>
    <row r="151" spans="3:12" ht="15.75" customHeight="1"/>
    <row r="152" spans="3:12" ht="15.75" customHeight="1"/>
    <row r="153" spans="3:12" ht="15.75" customHeight="1"/>
    <row r="154" spans="3:12" ht="15.75" customHeight="1"/>
    <row r="155" spans="3:12" ht="15.75" customHeight="1"/>
    <row r="156" spans="3:12" ht="15.75" customHeight="1"/>
    <row r="157" spans="3:12" ht="15.75" customHeight="1"/>
    <row r="158" spans="3:12" ht="15.75" customHeight="1"/>
    <row r="159" spans="3:12" ht="15.75" customHeight="1"/>
    <row r="160" spans="3:12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0"/>
  <sheetViews>
    <sheetView workbookViewId="0"/>
  </sheetViews>
  <sheetFormatPr defaultColWidth="14.42578125" defaultRowHeight="15" customHeight="1"/>
  <cols>
    <col min="1" max="1" width="6" customWidth="1"/>
    <col min="2" max="2" width="9.140625" customWidth="1"/>
    <col min="3" max="3" width="18.5703125" customWidth="1"/>
    <col min="4" max="4" width="27.5703125" customWidth="1"/>
    <col min="5" max="5" width="14.7109375" customWidth="1"/>
    <col min="6" max="6" width="57.7109375" customWidth="1"/>
    <col min="7" max="7" width="13.5703125" customWidth="1"/>
    <col min="8" max="8" width="27.7109375" customWidth="1"/>
    <col min="9" max="26" width="8.7109375" customWidth="1"/>
  </cols>
  <sheetData>
    <row r="1" spans="1:8">
      <c r="A1" s="72"/>
      <c r="B1" s="72"/>
      <c r="G1" s="139"/>
    </row>
    <row r="2" spans="1:8" ht="26.25">
      <c r="A2" s="352" t="s">
        <v>2099</v>
      </c>
      <c r="B2" s="337"/>
      <c r="C2" s="337"/>
      <c r="D2" s="337"/>
      <c r="E2" s="337"/>
      <c r="F2" s="337"/>
      <c r="G2" s="337"/>
      <c r="H2" s="337"/>
    </row>
    <row r="3" spans="1:8">
      <c r="A3" s="72"/>
      <c r="B3" s="72"/>
      <c r="G3" s="139"/>
    </row>
    <row r="4" spans="1:8">
      <c r="A4" s="72"/>
      <c r="B4" s="72"/>
      <c r="G4" s="139"/>
    </row>
    <row r="5" spans="1:8" ht="33.75" customHeight="1">
      <c r="A5" s="140" t="s">
        <v>2</v>
      </c>
      <c r="B5" s="141" t="s">
        <v>3</v>
      </c>
      <c r="C5" s="141" t="s">
        <v>11</v>
      </c>
      <c r="D5" s="141" t="s">
        <v>1915</v>
      </c>
      <c r="E5" s="141" t="s">
        <v>7</v>
      </c>
      <c r="F5" s="141" t="s">
        <v>6</v>
      </c>
      <c r="G5" s="141" t="s">
        <v>2100</v>
      </c>
      <c r="H5" s="142" t="s">
        <v>2101</v>
      </c>
    </row>
    <row r="6" spans="1:8">
      <c r="A6" s="143">
        <v>1</v>
      </c>
      <c r="B6" s="66">
        <v>1000</v>
      </c>
      <c r="C6" s="7" t="s">
        <v>1930</v>
      </c>
      <c r="D6" s="7" t="s">
        <v>1931</v>
      </c>
      <c r="E6" s="7" t="s">
        <v>116</v>
      </c>
      <c r="F6" s="7" t="s">
        <v>115</v>
      </c>
      <c r="G6" s="322">
        <v>2</v>
      </c>
      <c r="H6" s="144" t="s">
        <v>2102</v>
      </c>
    </row>
    <row r="7" spans="1:8">
      <c r="A7" s="143"/>
      <c r="B7" s="66"/>
      <c r="C7" s="7"/>
      <c r="D7" s="7"/>
      <c r="E7" s="7" t="s">
        <v>120</v>
      </c>
      <c r="F7" s="7" t="s">
        <v>119</v>
      </c>
      <c r="G7" s="323"/>
      <c r="H7" s="144"/>
    </row>
    <row r="8" spans="1:8">
      <c r="A8" s="143"/>
      <c r="B8" s="66"/>
      <c r="C8" s="7"/>
      <c r="D8" s="7" t="s">
        <v>1933</v>
      </c>
      <c r="E8" s="7" t="s">
        <v>124</v>
      </c>
      <c r="F8" s="7" t="s">
        <v>123</v>
      </c>
      <c r="G8" s="323"/>
      <c r="H8" s="144"/>
    </row>
    <row r="9" spans="1:8">
      <c r="A9" s="143"/>
      <c r="B9" s="66"/>
      <c r="C9" s="7"/>
      <c r="D9" s="7" t="s">
        <v>1936</v>
      </c>
      <c r="E9" s="7" t="s">
        <v>129</v>
      </c>
      <c r="F9" s="7" t="s">
        <v>128</v>
      </c>
      <c r="G9" s="323"/>
      <c r="H9" s="144"/>
    </row>
    <row r="10" spans="1:8">
      <c r="A10" s="143"/>
      <c r="B10" s="66"/>
      <c r="C10" s="7"/>
      <c r="D10" s="7"/>
      <c r="E10" s="7" t="s">
        <v>133</v>
      </c>
      <c r="F10" s="7" t="s">
        <v>132</v>
      </c>
      <c r="G10" s="323"/>
      <c r="H10" s="144"/>
    </row>
    <row r="11" spans="1:8">
      <c r="A11" s="143"/>
      <c r="B11" s="66"/>
      <c r="C11" s="7"/>
      <c r="D11" s="7"/>
      <c r="E11" s="7" t="s">
        <v>137</v>
      </c>
      <c r="F11" s="7" t="s">
        <v>136</v>
      </c>
      <c r="G11" s="323"/>
      <c r="H11" s="144"/>
    </row>
    <row r="12" spans="1:8">
      <c r="A12" s="143"/>
      <c r="B12" s="66"/>
      <c r="C12" s="7"/>
      <c r="D12" s="7"/>
      <c r="E12" s="7" t="s">
        <v>140</v>
      </c>
      <c r="F12" s="7" t="s">
        <v>139</v>
      </c>
      <c r="G12" s="323"/>
      <c r="H12" s="144"/>
    </row>
    <row r="13" spans="1:8">
      <c r="A13" s="143"/>
      <c r="B13" s="66"/>
      <c r="C13" s="7"/>
      <c r="D13" s="7"/>
      <c r="E13" s="7" t="s">
        <v>143</v>
      </c>
      <c r="F13" s="7" t="s">
        <v>142</v>
      </c>
      <c r="G13" s="324"/>
      <c r="H13" s="144"/>
    </row>
    <row r="14" spans="1:8">
      <c r="A14" s="143"/>
      <c r="B14" s="66"/>
      <c r="C14" s="7"/>
      <c r="D14" s="7"/>
      <c r="E14" s="7"/>
      <c r="F14" s="7"/>
      <c r="G14" s="24"/>
      <c r="H14" s="144"/>
    </row>
    <row r="15" spans="1:8" ht="30">
      <c r="A15" s="143">
        <v>2</v>
      </c>
      <c r="B15" s="66">
        <v>1000</v>
      </c>
      <c r="C15" s="145" t="s">
        <v>1938</v>
      </c>
      <c r="D15" s="7" t="s">
        <v>145</v>
      </c>
      <c r="E15" s="7" t="s">
        <v>148</v>
      </c>
      <c r="F15" s="7" t="s">
        <v>147</v>
      </c>
      <c r="G15" s="322">
        <v>2</v>
      </c>
      <c r="H15" s="144" t="s">
        <v>2102</v>
      </c>
    </row>
    <row r="16" spans="1:8">
      <c r="A16" s="143"/>
      <c r="B16" s="66"/>
      <c r="C16" s="7"/>
      <c r="D16" s="7"/>
      <c r="E16" s="7" t="s">
        <v>154</v>
      </c>
      <c r="F16" s="7" t="s">
        <v>153</v>
      </c>
      <c r="G16" s="323"/>
      <c r="H16" s="144"/>
    </row>
    <row r="17" spans="1:8">
      <c r="A17" s="143"/>
      <c r="B17" s="66"/>
      <c r="C17" s="7"/>
      <c r="D17" s="7"/>
      <c r="E17" s="7" t="s">
        <v>157</v>
      </c>
      <c r="F17" s="7" t="s">
        <v>156</v>
      </c>
      <c r="G17" s="323"/>
      <c r="H17" s="144"/>
    </row>
    <row r="18" spans="1:8">
      <c r="A18" s="143"/>
      <c r="B18" s="66"/>
      <c r="C18" s="7"/>
      <c r="D18" s="7" t="s">
        <v>158</v>
      </c>
      <c r="E18" s="7" t="s">
        <v>161</v>
      </c>
      <c r="F18" s="7" t="s">
        <v>160</v>
      </c>
      <c r="G18" s="323"/>
      <c r="H18" s="144"/>
    </row>
    <row r="19" spans="1:8">
      <c r="A19" s="143"/>
      <c r="B19" s="66"/>
      <c r="C19" s="7"/>
      <c r="D19" s="7"/>
      <c r="E19" s="7" t="s">
        <v>164</v>
      </c>
      <c r="F19" s="7" t="s">
        <v>163</v>
      </c>
      <c r="G19" s="323"/>
      <c r="H19" s="144"/>
    </row>
    <row r="20" spans="1:8">
      <c r="A20" s="143"/>
      <c r="B20" s="66"/>
      <c r="C20" s="7"/>
      <c r="D20" s="7"/>
      <c r="E20" s="7" t="s">
        <v>167</v>
      </c>
      <c r="F20" s="7" t="s">
        <v>166</v>
      </c>
      <c r="G20" s="323"/>
      <c r="H20" s="144"/>
    </row>
    <row r="21" spans="1:8" ht="15.75" customHeight="1">
      <c r="A21" s="143"/>
      <c r="B21" s="66"/>
      <c r="C21" s="7"/>
      <c r="D21" s="7" t="s">
        <v>168</v>
      </c>
      <c r="E21" s="7" t="s">
        <v>171</v>
      </c>
      <c r="F21" s="7" t="s">
        <v>170</v>
      </c>
      <c r="G21" s="323"/>
      <c r="H21" s="144"/>
    </row>
    <row r="22" spans="1:8" ht="15.75" customHeight="1">
      <c r="A22" s="143"/>
      <c r="B22" s="66"/>
      <c r="C22" s="7"/>
      <c r="D22" s="7" t="s">
        <v>206</v>
      </c>
      <c r="E22" s="7" t="s">
        <v>209</v>
      </c>
      <c r="F22" s="7" t="s">
        <v>208</v>
      </c>
      <c r="G22" s="324"/>
      <c r="H22" s="144"/>
    </row>
    <row r="23" spans="1:8" ht="15.75" customHeight="1">
      <c r="A23" s="143"/>
      <c r="B23" s="66"/>
      <c r="C23" s="7"/>
      <c r="D23" s="7"/>
      <c r="E23" s="7"/>
      <c r="F23" s="7"/>
      <c r="G23" s="24"/>
      <c r="H23" s="144"/>
    </row>
    <row r="24" spans="1:8" ht="15.75" customHeight="1">
      <c r="A24" s="143">
        <v>3</v>
      </c>
      <c r="B24" s="66">
        <v>1000</v>
      </c>
      <c r="C24" s="7" t="s">
        <v>173</v>
      </c>
      <c r="D24" s="7" t="s">
        <v>173</v>
      </c>
      <c r="E24" s="7" t="s">
        <v>176</v>
      </c>
      <c r="F24" s="7" t="s">
        <v>175</v>
      </c>
      <c r="G24" s="322">
        <v>2</v>
      </c>
      <c r="H24" s="144" t="s">
        <v>2102</v>
      </c>
    </row>
    <row r="25" spans="1:8" ht="15.75" customHeight="1">
      <c r="A25" s="143"/>
      <c r="B25" s="66"/>
      <c r="C25" s="7"/>
      <c r="D25" s="7"/>
      <c r="E25" s="7" t="s">
        <v>180</v>
      </c>
      <c r="F25" s="7" t="s">
        <v>179</v>
      </c>
      <c r="G25" s="323"/>
      <c r="H25" s="144"/>
    </row>
    <row r="26" spans="1:8" ht="15.75" customHeight="1">
      <c r="A26" s="143"/>
      <c r="B26" s="66"/>
      <c r="C26" s="7"/>
      <c r="D26" s="7"/>
      <c r="E26" s="7" t="s">
        <v>184</v>
      </c>
      <c r="F26" s="7" t="s">
        <v>183</v>
      </c>
      <c r="G26" s="323"/>
      <c r="H26" s="144"/>
    </row>
    <row r="27" spans="1:8" ht="15.75" customHeight="1">
      <c r="A27" s="143"/>
      <c r="B27" s="66"/>
      <c r="C27" s="7"/>
      <c r="D27" s="7"/>
      <c r="E27" s="7" t="s">
        <v>188</v>
      </c>
      <c r="F27" s="7" t="s">
        <v>187</v>
      </c>
      <c r="G27" s="323"/>
      <c r="H27" s="144"/>
    </row>
    <row r="28" spans="1:8" ht="15.75" customHeight="1">
      <c r="A28" s="143"/>
      <c r="B28" s="66"/>
      <c r="C28" s="7"/>
      <c r="D28" s="7"/>
      <c r="E28" s="7" t="s">
        <v>192</v>
      </c>
      <c r="F28" s="7" t="s">
        <v>191</v>
      </c>
      <c r="G28" s="323"/>
      <c r="H28" s="144"/>
    </row>
    <row r="29" spans="1:8" ht="15.75" customHeight="1">
      <c r="A29" s="143"/>
      <c r="B29" s="66"/>
      <c r="C29" s="7"/>
      <c r="D29" s="7"/>
      <c r="E29" s="7" t="s">
        <v>196</v>
      </c>
      <c r="F29" s="7" t="s">
        <v>195</v>
      </c>
      <c r="G29" s="323"/>
      <c r="H29" s="144"/>
    </row>
    <row r="30" spans="1:8" ht="15.75" customHeight="1">
      <c r="A30" s="143"/>
      <c r="B30" s="66"/>
      <c r="C30" s="7"/>
      <c r="D30" s="7"/>
      <c r="E30" s="7" t="s">
        <v>200</v>
      </c>
      <c r="F30" s="7" t="s">
        <v>199</v>
      </c>
      <c r="G30" s="323"/>
      <c r="H30" s="144"/>
    </row>
    <row r="31" spans="1:8" ht="15.75" customHeight="1">
      <c r="A31" s="143"/>
      <c r="B31" s="66"/>
      <c r="C31" s="7"/>
      <c r="D31" s="7"/>
      <c r="E31" s="7" t="s">
        <v>204</v>
      </c>
      <c r="F31" s="7" t="s">
        <v>203</v>
      </c>
      <c r="G31" s="324"/>
      <c r="H31" s="144"/>
    </row>
    <row r="32" spans="1:8" ht="15.75" customHeight="1">
      <c r="A32" s="143"/>
      <c r="B32" s="66"/>
      <c r="C32" s="7"/>
      <c r="D32" s="7"/>
      <c r="E32" s="7"/>
      <c r="F32" s="7"/>
      <c r="G32" s="24"/>
      <c r="H32" s="144"/>
    </row>
    <row r="33" spans="1:8" ht="15.75" customHeight="1">
      <c r="A33" s="143">
        <v>4</v>
      </c>
      <c r="B33" s="66">
        <v>1000</v>
      </c>
      <c r="C33" s="7" t="s">
        <v>1941</v>
      </c>
      <c r="D33" s="7" t="s">
        <v>210</v>
      </c>
      <c r="E33" s="7" t="s">
        <v>213</v>
      </c>
      <c r="F33" s="7" t="s">
        <v>212</v>
      </c>
      <c r="G33" s="322">
        <v>3</v>
      </c>
      <c r="H33" s="144" t="s">
        <v>2103</v>
      </c>
    </row>
    <row r="34" spans="1:8" ht="15.75" customHeight="1">
      <c r="A34" s="143"/>
      <c r="B34" s="66"/>
      <c r="C34" s="7"/>
      <c r="D34" s="7"/>
      <c r="E34" s="7" t="s">
        <v>219</v>
      </c>
      <c r="F34" s="7" t="s">
        <v>218</v>
      </c>
      <c r="G34" s="323"/>
      <c r="H34" s="144"/>
    </row>
    <row r="35" spans="1:8" ht="15.75" customHeight="1">
      <c r="A35" s="143"/>
      <c r="B35" s="66"/>
      <c r="C35" s="7"/>
      <c r="D35" s="7"/>
      <c r="E35" s="7" t="s">
        <v>222</v>
      </c>
      <c r="F35" s="7" t="s">
        <v>221</v>
      </c>
      <c r="G35" s="323"/>
      <c r="H35" s="144"/>
    </row>
    <row r="36" spans="1:8" ht="15.75" customHeight="1">
      <c r="A36" s="143"/>
      <c r="B36" s="66"/>
      <c r="C36" s="7"/>
      <c r="D36" s="7"/>
      <c r="E36" s="7" t="s">
        <v>226</v>
      </c>
      <c r="F36" s="7" t="s">
        <v>225</v>
      </c>
      <c r="G36" s="324"/>
      <c r="H36" s="144"/>
    </row>
    <row r="37" spans="1:8" ht="15.75" customHeight="1">
      <c r="A37" s="143"/>
      <c r="B37" s="66"/>
      <c r="C37" s="7"/>
      <c r="D37" s="7" t="s">
        <v>227</v>
      </c>
      <c r="E37" s="7" t="s">
        <v>230</v>
      </c>
      <c r="F37" s="7" t="s">
        <v>229</v>
      </c>
      <c r="G37" s="20">
        <v>1</v>
      </c>
      <c r="H37" s="144"/>
    </row>
    <row r="38" spans="1:8" ht="15.75" customHeight="1">
      <c r="A38" s="143"/>
      <c r="B38" s="66"/>
      <c r="C38" s="7"/>
      <c r="D38" s="7"/>
      <c r="E38" s="7" t="s">
        <v>234</v>
      </c>
      <c r="F38" s="7" t="s">
        <v>233</v>
      </c>
      <c r="G38" s="322">
        <v>2</v>
      </c>
      <c r="H38" s="144"/>
    </row>
    <row r="39" spans="1:8" ht="15.75" customHeight="1">
      <c r="A39" s="143"/>
      <c r="B39" s="66"/>
      <c r="C39" s="7"/>
      <c r="D39" s="7"/>
      <c r="E39" s="7" t="s">
        <v>239</v>
      </c>
      <c r="F39" s="7" t="s">
        <v>238</v>
      </c>
      <c r="G39" s="323"/>
      <c r="H39" s="144"/>
    </row>
    <row r="40" spans="1:8" ht="15.75" customHeight="1">
      <c r="A40" s="143"/>
      <c r="B40" s="66"/>
      <c r="C40" s="7"/>
      <c r="D40" s="7"/>
      <c r="E40" s="7" t="s">
        <v>242</v>
      </c>
      <c r="F40" s="7" t="s">
        <v>241</v>
      </c>
      <c r="G40" s="323"/>
      <c r="H40" s="144"/>
    </row>
    <row r="41" spans="1:8" ht="15.75" customHeight="1">
      <c r="A41" s="143"/>
      <c r="B41" s="66"/>
      <c r="C41" s="7"/>
      <c r="D41" s="7"/>
      <c r="E41" s="7" t="s">
        <v>246</v>
      </c>
      <c r="F41" s="7" t="s">
        <v>245</v>
      </c>
      <c r="G41" s="324"/>
      <c r="H41" s="144"/>
    </row>
    <row r="42" spans="1:8" ht="15.75" customHeight="1">
      <c r="A42" s="143"/>
      <c r="B42" s="66"/>
      <c r="C42" s="7"/>
      <c r="D42" s="7" t="s">
        <v>247</v>
      </c>
      <c r="E42" s="7" t="s">
        <v>250</v>
      </c>
      <c r="F42" s="7" t="s">
        <v>249</v>
      </c>
      <c r="G42" s="322">
        <v>1</v>
      </c>
      <c r="H42" s="144"/>
    </row>
    <row r="43" spans="1:8" ht="15.75" customHeight="1">
      <c r="A43" s="143"/>
      <c r="B43" s="66"/>
      <c r="C43" s="7"/>
      <c r="D43" s="7"/>
      <c r="E43" s="7" t="s">
        <v>255</v>
      </c>
      <c r="F43" s="7" t="s">
        <v>254</v>
      </c>
      <c r="G43" s="324"/>
      <c r="H43" s="144"/>
    </row>
    <row r="44" spans="1:8" ht="15.75" customHeight="1">
      <c r="A44" s="143"/>
      <c r="B44" s="66"/>
      <c r="C44" s="7"/>
      <c r="D44" s="7" t="s">
        <v>215</v>
      </c>
      <c r="E44" s="7" t="s">
        <v>261</v>
      </c>
      <c r="F44" s="7" t="s">
        <v>260</v>
      </c>
      <c r="G44" s="322">
        <v>9</v>
      </c>
      <c r="H44" s="144"/>
    </row>
    <row r="45" spans="1:8" ht="15.75" customHeight="1">
      <c r="A45" s="143"/>
      <c r="B45" s="66"/>
      <c r="C45" s="7"/>
      <c r="D45" s="7"/>
      <c r="E45" s="7" t="s">
        <v>265</v>
      </c>
      <c r="F45" s="7" t="s">
        <v>264</v>
      </c>
      <c r="G45" s="323"/>
      <c r="H45" s="144"/>
    </row>
    <row r="46" spans="1:8" ht="15.75" customHeight="1">
      <c r="A46" s="143"/>
      <c r="B46" s="66"/>
      <c r="C46" s="7"/>
      <c r="D46" s="7"/>
      <c r="E46" s="7" t="s">
        <v>269</v>
      </c>
      <c r="F46" s="7" t="s">
        <v>268</v>
      </c>
      <c r="G46" s="323"/>
      <c r="H46" s="144"/>
    </row>
    <row r="47" spans="1:8" ht="15.75" customHeight="1">
      <c r="A47" s="143"/>
      <c r="B47" s="66"/>
      <c r="C47" s="7"/>
      <c r="D47" s="7"/>
      <c r="E47" s="7" t="s">
        <v>273</v>
      </c>
      <c r="F47" s="7" t="s">
        <v>272</v>
      </c>
      <c r="G47" s="323"/>
      <c r="H47" s="144"/>
    </row>
    <row r="48" spans="1:8" ht="15.75" customHeight="1">
      <c r="A48" s="143"/>
      <c r="B48" s="66"/>
      <c r="C48" s="7"/>
      <c r="D48" s="7"/>
      <c r="E48" s="7" t="s">
        <v>277</v>
      </c>
      <c r="F48" s="7" t="s">
        <v>276</v>
      </c>
      <c r="G48" s="323"/>
      <c r="H48" s="144"/>
    </row>
    <row r="49" spans="1:8" ht="15.75" customHeight="1">
      <c r="A49" s="143"/>
      <c r="B49" s="66"/>
      <c r="C49" s="7"/>
      <c r="D49" s="7"/>
      <c r="E49" s="7" t="s">
        <v>281</v>
      </c>
      <c r="F49" s="7" t="s">
        <v>280</v>
      </c>
      <c r="G49" s="323"/>
      <c r="H49" s="144"/>
    </row>
    <row r="50" spans="1:8" ht="15.75" customHeight="1">
      <c r="A50" s="143"/>
      <c r="B50" s="66"/>
      <c r="C50" s="7"/>
      <c r="D50" s="7"/>
      <c r="E50" s="7" t="s">
        <v>285</v>
      </c>
      <c r="F50" s="7" t="s">
        <v>284</v>
      </c>
      <c r="G50" s="323"/>
      <c r="H50" s="144"/>
    </row>
    <row r="51" spans="1:8" ht="15.75" customHeight="1">
      <c r="A51" s="143"/>
      <c r="B51" s="66"/>
      <c r="C51" s="7"/>
      <c r="D51" s="7"/>
      <c r="E51" s="7" t="s">
        <v>288</v>
      </c>
      <c r="F51" s="7" t="s">
        <v>287</v>
      </c>
      <c r="G51" s="323"/>
      <c r="H51" s="144"/>
    </row>
    <row r="52" spans="1:8" ht="15.75" customHeight="1">
      <c r="A52" s="143"/>
      <c r="B52" s="66"/>
      <c r="C52" s="7"/>
      <c r="D52" s="7"/>
      <c r="E52" s="7" t="s">
        <v>292</v>
      </c>
      <c r="F52" s="7" t="s">
        <v>291</v>
      </c>
      <c r="G52" s="323"/>
      <c r="H52" s="144"/>
    </row>
    <row r="53" spans="1:8" ht="15.75" customHeight="1">
      <c r="A53" s="143"/>
      <c r="B53" s="66"/>
      <c r="C53" s="7"/>
      <c r="D53" s="7"/>
      <c r="E53" s="7" t="s">
        <v>300</v>
      </c>
      <c r="F53" s="7" t="s">
        <v>301</v>
      </c>
      <c r="G53" s="323"/>
      <c r="H53" s="144"/>
    </row>
    <row r="54" spans="1:8" ht="15.75" customHeight="1">
      <c r="A54" s="143"/>
      <c r="B54" s="66"/>
      <c r="C54" s="7"/>
      <c r="D54" s="7"/>
      <c r="E54" s="7" t="s">
        <v>305</v>
      </c>
      <c r="F54" s="7" t="s">
        <v>304</v>
      </c>
      <c r="G54" s="324"/>
      <c r="H54" s="144"/>
    </row>
    <row r="55" spans="1:8" ht="15.75" customHeight="1">
      <c r="A55" s="143"/>
      <c r="B55" s="66"/>
      <c r="C55" s="7"/>
      <c r="D55" s="7"/>
      <c r="E55" s="7"/>
      <c r="F55" s="7"/>
      <c r="G55" s="24"/>
      <c r="H55" s="144"/>
    </row>
    <row r="56" spans="1:8" ht="15.75" customHeight="1">
      <c r="A56" s="143">
        <v>5</v>
      </c>
      <c r="B56" s="66">
        <v>2000</v>
      </c>
      <c r="C56" s="7" t="s">
        <v>312</v>
      </c>
      <c r="D56" s="7" t="s">
        <v>307</v>
      </c>
      <c r="E56" s="7" t="s">
        <v>310</v>
      </c>
      <c r="F56" s="7" t="s">
        <v>309</v>
      </c>
      <c r="G56" s="322">
        <v>2</v>
      </c>
      <c r="H56" s="144" t="s">
        <v>2102</v>
      </c>
    </row>
    <row r="57" spans="1:8" ht="15.75" customHeight="1">
      <c r="A57" s="143"/>
      <c r="B57" s="66"/>
      <c r="C57" s="7"/>
      <c r="D57" s="7"/>
      <c r="E57" s="7" t="s">
        <v>316</v>
      </c>
      <c r="F57" s="7" t="s">
        <v>315</v>
      </c>
      <c r="G57" s="323"/>
      <c r="H57" s="144"/>
    </row>
    <row r="58" spans="1:8" ht="15.75" customHeight="1">
      <c r="A58" s="143"/>
      <c r="B58" s="66"/>
      <c r="C58" s="7"/>
      <c r="D58" s="7"/>
      <c r="E58" s="7" t="s">
        <v>320</v>
      </c>
      <c r="F58" s="7" t="s">
        <v>2104</v>
      </c>
      <c r="G58" s="323"/>
      <c r="H58" s="144"/>
    </row>
    <row r="59" spans="1:8" ht="15.75" customHeight="1">
      <c r="A59" s="143"/>
      <c r="B59" s="66"/>
      <c r="C59" s="7"/>
      <c r="D59" s="7" t="s">
        <v>322</v>
      </c>
      <c r="E59" s="7" t="s">
        <v>325</v>
      </c>
      <c r="F59" s="7" t="s">
        <v>324</v>
      </c>
      <c r="G59" s="323"/>
      <c r="H59" s="144"/>
    </row>
    <row r="60" spans="1:8" ht="15.75" customHeight="1">
      <c r="A60" s="143"/>
      <c r="B60" s="66"/>
      <c r="C60" s="7"/>
      <c r="D60" s="7"/>
      <c r="E60" s="7" t="s">
        <v>329</v>
      </c>
      <c r="F60" s="7" t="s">
        <v>328</v>
      </c>
      <c r="G60" s="323"/>
      <c r="H60" s="144"/>
    </row>
    <row r="61" spans="1:8" ht="15.75" customHeight="1">
      <c r="A61" s="143"/>
      <c r="B61" s="66"/>
      <c r="C61" s="7"/>
      <c r="D61" s="7"/>
      <c r="E61" s="7" t="s">
        <v>333</v>
      </c>
      <c r="F61" s="7" t="s">
        <v>332</v>
      </c>
      <c r="G61" s="323"/>
      <c r="H61" s="144"/>
    </row>
    <row r="62" spans="1:8" ht="15.75" customHeight="1">
      <c r="A62" s="143"/>
      <c r="B62" s="66"/>
      <c r="C62" s="7"/>
      <c r="D62" s="7" t="s">
        <v>339</v>
      </c>
      <c r="E62" s="7" t="s">
        <v>342</v>
      </c>
      <c r="F62" s="7" t="s">
        <v>341</v>
      </c>
      <c r="G62" s="323"/>
      <c r="H62" s="144"/>
    </row>
    <row r="63" spans="1:8" ht="15.75" customHeight="1">
      <c r="A63" s="143"/>
      <c r="B63" s="66"/>
      <c r="C63" s="7"/>
      <c r="D63" s="7"/>
      <c r="E63" s="7" t="s">
        <v>346</v>
      </c>
      <c r="F63" s="7" t="s">
        <v>345</v>
      </c>
      <c r="G63" s="323"/>
      <c r="H63" s="144"/>
    </row>
    <row r="64" spans="1:8" ht="15.75" customHeight="1">
      <c r="A64" s="143"/>
      <c r="B64" s="66"/>
      <c r="C64" s="7"/>
      <c r="D64" s="7"/>
      <c r="E64" s="7" t="s">
        <v>350</v>
      </c>
      <c r="F64" s="7" t="s">
        <v>1949</v>
      </c>
      <c r="G64" s="323"/>
      <c r="H64" s="144"/>
    </row>
    <row r="65" spans="1:8" ht="15.75" customHeight="1">
      <c r="A65" s="143"/>
      <c r="B65" s="66"/>
      <c r="C65" s="7"/>
      <c r="D65" s="7" t="s">
        <v>352</v>
      </c>
      <c r="E65" s="7" t="s">
        <v>355</v>
      </c>
      <c r="F65" s="7" t="s">
        <v>354</v>
      </c>
      <c r="G65" s="323"/>
      <c r="H65" s="144"/>
    </row>
    <row r="66" spans="1:8" ht="15.75" customHeight="1">
      <c r="A66" s="143"/>
      <c r="B66" s="66"/>
      <c r="C66" s="7"/>
      <c r="D66" s="7" t="s">
        <v>356</v>
      </c>
      <c r="E66" s="7" t="s">
        <v>359</v>
      </c>
      <c r="F66" s="7" t="s">
        <v>358</v>
      </c>
      <c r="G66" s="323"/>
      <c r="H66" s="144"/>
    </row>
    <row r="67" spans="1:8" ht="15.75" customHeight="1">
      <c r="A67" s="143"/>
      <c r="B67" s="66"/>
      <c r="C67" s="7"/>
      <c r="D67" s="7"/>
      <c r="E67" s="7" t="s">
        <v>367</v>
      </c>
      <c r="F67" s="7" t="s">
        <v>2105</v>
      </c>
      <c r="G67" s="323"/>
      <c r="H67" s="144"/>
    </row>
    <row r="68" spans="1:8" ht="15.75" customHeight="1">
      <c r="A68" s="143"/>
      <c r="B68" s="66"/>
      <c r="C68" s="7"/>
      <c r="D68" s="7"/>
      <c r="E68" s="7" t="s">
        <v>371</v>
      </c>
      <c r="F68" s="7" t="s">
        <v>370</v>
      </c>
      <c r="G68" s="323"/>
      <c r="H68" s="144"/>
    </row>
    <row r="69" spans="1:8" ht="15.75" customHeight="1">
      <c r="A69" s="143"/>
      <c r="B69" s="66"/>
      <c r="C69" s="7"/>
      <c r="D69" s="7"/>
      <c r="E69" s="7" t="s">
        <v>376</v>
      </c>
      <c r="F69" s="7" t="s">
        <v>375</v>
      </c>
      <c r="G69" s="323"/>
      <c r="H69" s="144"/>
    </row>
    <row r="70" spans="1:8" ht="15.75" customHeight="1">
      <c r="A70" s="143"/>
      <c r="B70" s="66"/>
      <c r="C70" s="7"/>
      <c r="D70" s="7"/>
      <c r="E70" s="7" t="s">
        <v>380</v>
      </c>
      <c r="F70" s="7" t="s">
        <v>379</v>
      </c>
      <c r="G70" s="323"/>
      <c r="H70" s="144"/>
    </row>
    <row r="71" spans="1:8" ht="15.75" customHeight="1">
      <c r="A71" s="143"/>
      <c r="B71" s="66"/>
      <c r="C71" s="7"/>
      <c r="D71" s="7" t="s">
        <v>382</v>
      </c>
      <c r="E71" s="7" t="s">
        <v>385</v>
      </c>
      <c r="F71" s="7" t="s">
        <v>384</v>
      </c>
      <c r="G71" s="324"/>
      <c r="H71" s="144"/>
    </row>
    <row r="72" spans="1:8" ht="15.75" customHeight="1">
      <c r="A72" s="143"/>
      <c r="B72" s="66"/>
      <c r="C72" s="7"/>
      <c r="D72" s="7"/>
      <c r="E72" s="7"/>
      <c r="F72" s="7"/>
      <c r="G72" s="24"/>
      <c r="H72" s="144"/>
    </row>
    <row r="73" spans="1:8" ht="15.75" customHeight="1">
      <c r="A73" s="143">
        <v>6</v>
      </c>
      <c r="B73" s="66">
        <v>2000</v>
      </c>
      <c r="C73" s="7" t="s">
        <v>391</v>
      </c>
      <c r="D73" s="7" t="s">
        <v>386</v>
      </c>
      <c r="E73" s="7" t="s">
        <v>389</v>
      </c>
      <c r="F73" s="7" t="s">
        <v>388</v>
      </c>
      <c r="G73" s="322">
        <v>11</v>
      </c>
      <c r="H73" s="349" t="s">
        <v>2106</v>
      </c>
    </row>
    <row r="74" spans="1:8" ht="15.75" customHeight="1">
      <c r="A74" s="143"/>
      <c r="B74" s="66"/>
      <c r="C74" s="7"/>
      <c r="D74" s="7"/>
      <c r="E74" s="7" t="s">
        <v>395</v>
      </c>
      <c r="F74" s="7" t="s">
        <v>394</v>
      </c>
      <c r="G74" s="323"/>
      <c r="H74" s="350"/>
    </row>
    <row r="75" spans="1:8" ht="15.75" customHeight="1">
      <c r="A75" s="143"/>
      <c r="B75" s="66"/>
      <c r="C75" s="7"/>
      <c r="D75" s="7"/>
      <c r="E75" s="7" t="s">
        <v>399</v>
      </c>
      <c r="F75" s="7" t="s">
        <v>398</v>
      </c>
      <c r="G75" s="323"/>
      <c r="H75" s="350"/>
    </row>
    <row r="76" spans="1:8" ht="15.75" customHeight="1">
      <c r="A76" s="143"/>
      <c r="B76" s="66"/>
      <c r="C76" s="7"/>
      <c r="D76" s="7"/>
      <c r="E76" s="7" t="s">
        <v>403</v>
      </c>
      <c r="F76" s="7" t="s">
        <v>402</v>
      </c>
      <c r="G76" s="323"/>
      <c r="H76" s="350"/>
    </row>
    <row r="77" spans="1:8" ht="15.75" customHeight="1">
      <c r="A77" s="143"/>
      <c r="B77" s="66"/>
      <c r="C77" s="7"/>
      <c r="D77" s="7"/>
      <c r="E77" s="7" t="s">
        <v>407</v>
      </c>
      <c r="F77" s="7" t="s">
        <v>406</v>
      </c>
      <c r="G77" s="323"/>
      <c r="H77" s="350"/>
    </row>
    <row r="78" spans="1:8" ht="15.75" customHeight="1">
      <c r="A78" s="143"/>
      <c r="B78" s="66"/>
      <c r="C78" s="7"/>
      <c r="D78" s="7"/>
      <c r="E78" s="7" t="s">
        <v>411</v>
      </c>
      <c r="F78" s="7" t="s">
        <v>410</v>
      </c>
      <c r="G78" s="323"/>
      <c r="H78" s="350"/>
    </row>
    <row r="79" spans="1:8" ht="15.75" customHeight="1">
      <c r="A79" s="143"/>
      <c r="B79" s="66"/>
      <c r="C79" s="7"/>
      <c r="D79" s="7"/>
      <c r="E79" s="7" t="s">
        <v>415</v>
      </c>
      <c r="F79" s="7" t="s">
        <v>414</v>
      </c>
      <c r="G79" s="323"/>
      <c r="H79" s="350"/>
    </row>
    <row r="80" spans="1:8" ht="15.75" customHeight="1">
      <c r="A80" s="143"/>
      <c r="B80" s="66"/>
      <c r="C80" s="7"/>
      <c r="D80" s="7"/>
      <c r="E80" s="7" t="s">
        <v>419</v>
      </c>
      <c r="F80" s="7" t="s">
        <v>418</v>
      </c>
      <c r="G80" s="324"/>
      <c r="H80" s="351"/>
    </row>
    <row r="81" spans="1:8" ht="15.75" customHeight="1">
      <c r="A81" s="143"/>
      <c r="B81" s="66"/>
      <c r="C81" s="7"/>
      <c r="D81" s="7" t="s">
        <v>356</v>
      </c>
      <c r="E81" s="7" t="s">
        <v>422</v>
      </c>
      <c r="F81" s="7" t="s">
        <v>421</v>
      </c>
      <c r="G81" s="322">
        <v>8</v>
      </c>
      <c r="H81" s="144" t="s">
        <v>2103</v>
      </c>
    </row>
    <row r="82" spans="1:8" ht="15.75" customHeight="1">
      <c r="A82" s="143"/>
      <c r="B82" s="66"/>
      <c r="C82" s="7"/>
      <c r="D82" s="7"/>
      <c r="E82" s="7" t="s">
        <v>426</v>
      </c>
      <c r="F82" s="7" t="s">
        <v>427</v>
      </c>
      <c r="G82" s="323"/>
      <c r="H82" s="144"/>
    </row>
    <row r="83" spans="1:8" ht="15.75" customHeight="1">
      <c r="A83" s="143"/>
      <c r="B83" s="66"/>
      <c r="C83" s="7"/>
      <c r="D83" s="7"/>
      <c r="E83" s="7" t="s">
        <v>430</v>
      </c>
      <c r="F83" s="7" t="s">
        <v>431</v>
      </c>
      <c r="G83" s="323"/>
      <c r="H83" s="144"/>
    </row>
    <row r="84" spans="1:8" ht="15.75" customHeight="1">
      <c r="A84" s="143"/>
      <c r="B84" s="66"/>
      <c r="C84" s="7"/>
      <c r="D84" s="7"/>
      <c r="E84" s="7" t="s">
        <v>434</v>
      </c>
      <c r="F84" s="7" t="s">
        <v>433</v>
      </c>
      <c r="G84" s="323"/>
      <c r="H84" s="144"/>
    </row>
    <row r="85" spans="1:8" ht="15.75" customHeight="1">
      <c r="A85" s="143"/>
      <c r="B85" s="66"/>
      <c r="C85" s="7"/>
      <c r="D85" s="7"/>
      <c r="E85" s="7" t="s">
        <v>437</v>
      </c>
      <c r="F85" s="7" t="s">
        <v>438</v>
      </c>
      <c r="G85" s="323"/>
      <c r="H85" s="144"/>
    </row>
    <row r="86" spans="1:8" ht="15.75" customHeight="1">
      <c r="A86" s="143"/>
      <c r="B86" s="66"/>
      <c r="C86" s="7"/>
      <c r="D86" s="7"/>
      <c r="E86" s="7" t="s">
        <v>441</v>
      </c>
      <c r="F86" s="7" t="s">
        <v>440</v>
      </c>
      <c r="G86" s="323"/>
      <c r="H86" s="144"/>
    </row>
    <row r="87" spans="1:8" ht="15.75" customHeight="1">
      <c r="A87" s="143"/>
      <c r="B87" s="66"/>
      <c r="C87" s="7"/>
      <c r="D87" s="7"/>
      <c r="E87" s="7" t="s">
        <v>442</v>
      </c>
      <c r="F87" s="7" t="s">
        <v>443</v>
      </c>
      <c r="G87" s="323"/>
      <c r="H87" s="144"/>
    </row>
    <row r="88" spans="1:8" ht="15.75" customHeight="1">
      <c r="A88" s="143"/>
      <c r="B88" s="66"/>
      <c r="C88" s="7"/>
      <c r="D88" s="7"/>
      <c r="E88" s="7" t="s">
        <v>444</v>
      </c>
      <c r="F88" s="7" t="s">
        <v>445</v>
      </c>
      <c r="G88" s="323"/>
      <c r="H88" s="144"/>
    </row>
    <row r="89" spans="1:8" ht="15.75" customHeight="1">
      <c r="A89" s="143"/>
      <c r="B89" s="66"/>
      <c r="C89" s="7"/>
      <c r="D89" s="7"/>
      <c r="E89" s="7" t="s">
        <v>446</v>
      </c>
      <c r="F89" s="7" t="s">
        <v>447</v>
      </c>
      <c r="G89" s="323"/>
      <c r="H89" s="144"/>
    </row>
    <row r="90" spans="1:8" ht="15.75" customHeight="1">
      <c r="A90" s="143"/>
      <c r="B90" s="66"/>
      <c r="C90" s="7"/>
      <c r="D90" s="7"/>
      <c r="E90" s="7" t="s">
        <v>448</v>
      </c>
      <c r="F90" s="7" t="s">
        <v>449</v>
      </c>
      <c r="G90" s="324"/>
      <c r="H90" s="144"/>
    </row>
    <row r="91" spans="1:8" ht="15.75" customHeight="1">
      <c r="A91" s="143"/>
      <c r="B91" s="66"/>
      <c r="C91" s="7"/>
      <c r="D91" s="7" t="s">
        <v>2107</v>
      </c>
      <c r="E91" s="7"/>
      <c r="F91" s="7"/>
      <c r="G91" s="20">
        <v>1</v>
      </c>
      <c r="H91" s="144" t="s">
        <v>2102</v>
      </c>
    </row>
    <row r="92" spans="1:8" ht="15.75" customHeight="1">
      <c r="A92" s="143"/>
      <c r="B92" s="66"/>
      <c r="C92" s="7"/>
      <c r="D92" s="7"/>
      <c r="E92" s="7"/>
      <c r="F92" s="7"/>
      <c r="G92" s="24"/>
      <c r="H92" s="144"/>
    </row>
    <row r="93" spans="1:8" ht="15.75" customHeight="1">
      <c r="A93" s="143">
        <v>7</v>
      </c>
      <c r="B93" s="66">
        <v>2000</v>
      </c>
      <c r="C93" s="7" t="s">
        <v>1960</v>
      </c>
      <c r="D93" s="7" t="s">
        <v>168</v>
      </c>
      <c r="E93" s="7" t="s">
        <v>461</v>
      </c>
      <c r="F93" s="7" t="s">
        <v>460</v>
      </c>
      <c r="G93" s="322">
        <v>2</v>
      </c>
      <c r="H93" s="144" t="s">
        <v>2102</v>
      </c>
    </row>
    <row r="94" spans="1:8" ht="15.75" customHeight="1">
      <c r="A94" s="143"/>
      <c r="B94" s="66"/>
      <c r="C94" s="7"/>
      <c r="D94" s="7"/>
      <c r="E94" s="7" t="s">
        <v>468</v>
      </c>
      <c r="F94" s="7" t="s">
        <v>467</v>
      </c>
      <c r="G94" s="323"/>
      <c r="H94" s="144"/>
    </row>
    <row r="95" spans="1:8" ht="15.75" customHeight="1">
      <c r="A95" s="143"/>
      <c r="B95" s="66"/>
      <c r="C95" s="7"/>
      <c r="D95" s="7"/>
      <c r="E95" s="7" t="s">
        <v>472</v>
      </c>
      <c r="F95" s="7" t="s">
        <v>471</v>
      </c>
      <c r="G95" s="323"/>
      <c r="H95" s="144"/>
    </row>
    <row r="96" spans="1:8" ht="15.75" customHeight="1">
      <c r="A96" s="143"/>
      <c r="B96" s="66"/>
      <c r="C96" s="7"/>
      <c r="D96" s="7" t="s">
        <v>465</v>
      </c>
      <c r="E96" s="7" t="s">
        <v>476</v>
      </c>
      <c r="F96" s="7" t="s">
        <v>475</v>
      </c>
      <c r="G96" s="323"/>
      <c r="H96" s="144"/>
    </row>
    <row r="97" spans="1:8" ht="15.75" customHeight="1">
      <c r="A97" s="143"/>
      <c r="B97" s="66"/>
      <c r="C97" s="7"/>
      <c r="D97" s="7" t="s">
        <v>356</v>
      </c>
      <c r="E97" s="7" t="s">
        <v>480</v>
      </c>
      <c r="F97" s="7" t="s">
        <v>479</v>
      </c>
      <c r="G97" s="323"/>
      <c r="H97" s="144"/>
    </row>
    <row r="98" spans="1:8" ht="15.75" customHeight="1">
      <c r="A98" s="143"/>
      <c r="B98" s="66"/>
      <c r="C98" s="7"/>
      <c r="D98" s="7"/>
      <c r="E98" s="7" t="s">
        <v>484</v>
      </c>
      <c r="F98" s="7" t="s">
        <v>485</v>
      </c>
      <c r="G98" s="323"/>
      <c r="H98" s="144"/>
    </row>
    <row r="99" spans="1:8" ht="15.75" customHeight="1">
      <c r="A99" s="143"/>
      <c r="B99" s="66"/>
      <c r="C99" s="7"/>
      <c r="D99" s="7"/>
      <c r="E99" s="7" t="s">
        <v>487</v>
      </c>
      <c r="F99" s="7" t="s">
        <v>488</v>
      </c>
      <c r="G99" s="324"/>
      <c r="H99" s="144"/>
    </row>
    <row r="100" spans="1:8" ht="15.75" customHeight="1">
      <c r="A100" s="143"/>
      <c r="B100" s="66"/>
      <c r="C100" s="7"/>
      <c r="D100" s="7" t="s">
        <v>2107</v>
      </c>
      <c r="E100" s="7"/>
      <c r="F100" s="7"/>
      <c r="G100" s="20">
        <v>1</v>
      </c>
      <c r="H100" s="144" t="s">
        <v>2102</v>
      </c>
    </row>
    <row r="101" spans="1:8" ht="15.75" customHeight="1">
      <c r="A101" s="143"/>
      <c r="B101" s="66"/>
      <c r="C101" s="7"/>
      <c r="D101" s="7"/>
      <c r="E101" s="7"/>
      <c r="F101" s="7"/>
      <c r="G101" s="24"/>
      <c r="H101" s="144"/>
    </row>
    <row r="102" spans="1:8" ht="15.75" customHeight="1">
      <c r="A102" s="143">
        <v>8</v>
      </c>
      <c r="B102" s="66">
        <v>2000</v>
      </c>
      <c r="C102" s="7" t="s">
        <v>494</v>
      </c>
      <c r="D102" s="7" t="s">
        <v>489</v>
      </c>
      <c r="E102" s="7" t="s">
        <v>492</v>
      </c>
      <c r="F102" s="7" t="s">
        <v>491</v>
      </c>
      <c r="G102" s="322">
        <v>1</v>
      </c>
      <c r="H102" s="144" t="s">
        <v>2102</v>
      </c>
    </row>
    <row r="103" spans="1:8" ht="15.75" customHeight="1">
      <c r="A103" s="143"/>
      <c r="B103" s="66"/>
      <c r="C103" s="7"/>
      <c r="D103" s="7"/>
      <c r="E103" s="7" t="s">
        <v>498</v>
      </c>
      <c r="F103" s="7" t="s">
        <v>497</v>
      </c>
      <c r="G103" s="323"/>
      <c r="H103" s="144"/>
    </row>
    <row r="104" spans="1:8" ht="15.75" customHeight="1">
      <c r="A104" s="143"/>
      <c r="B104" s="66"/>
      <c r="C104" s="7"/>
      <c r="D104" s="7"/>
      <c r="E104" s="7" t="s">
        <v>502</v>
      </c>
      <c r="F104" s="7" t="s">
        <v>501</v>
      </c>
      <c r="G104" s="323"/>
      <c r="H104" s="144"/>
    </row>
    <row r="105" spans="1:8" ht="15.75" customHeight="1">
      <c r="A105" s="143"/>
      <c r="B105" s="66"/>
      <c r="C105" s="7"/>
      <c r="D105" s="7"/>
      <c r="E105" s="7" t="s">
        <v>506</v>
      </c>
      <c r="F105" s="7" t="s">
        <v>505</v>
      </c>
      <c r="G105" s="323"/>
      <c r="H105" s="144"/>
    </row>
    <row r="106" spans="1:8" ht="15.75" customHeight="1">
      <c r="A106" s="143"/>
      <c r="B106" s="66"/>
      <c r="C106" s="7"/>
      <c r="D106" s="7"/>
      <c r="E106" s="7" t="s">
        <v>510</v>
      </c>
      <c r="F106" s="7" t="s">
        <v>509</v>
      </c>
      <c r="G106" s="323"/>
      <c r="H106" s="144"/>
    </row>
    <row r="107" spans="1:8" ht="15.75" customHeight="1">
      <c r="A107" s="143"/>
      <c r="B107" s="66"/>
      <c r="C107" s="7"/>
      <c r="D107" s="7"/>
      <c r="E107" s="7" t="s">
        <v>514</v>
      </c>
      <c r="F107" s="7" t="s">
        <v>513</v>
      </c>
      <c r="G107" s="323"/>
      <c r="H107" s="144"/>
    </row>
    <row r="108" spans="1:8" ht="15.75" customHeight="1">
      <c r="A108" s="143"/>
      <c r="B108" s="66"/>
      <c r="C108" s="7"/>
      <c r="D108" s="7"/>
      <c r="E108" s="7" t="s">
        <v>518</v>
      </c>
      <c r="F108" s="7" t="s">
        <v>517</v>
      </c>
      <c r="G108" s="323"/>
      <c r="H108" s="144"/>
    </row>
    <row r="109" spans="1:8" ht="15.75" customHeight="1">
      <c r="A109" s="143"/>
      <c r="B109" s="66"/>
      <c r="C109" s="7"/>
      <c r="D109" s="7"/>
      <c r="E109" s="7" t="s">
        <v>522</v>
      </c>
      <c r="F109" s="7" t="s">
        <v>521</v>
      </c>
      <c r="G109" s="324"/>
      <c r="H109" s="144"/>
    </row>
    <row r="110" spans="1:8" ht="15.75" customHeight="1">
      <c r="A110" s="143"/>
      <c r="B110" s="66"/>
      <c r="C110" s="7"/>
      <c r="D110" s="7" t="s">
        <v>524</v>
      </c>
      <c r="E110" s="7" t="s">
        <v>527</v>
      </c>
      <c r="F110" s="7" t="s">
        <v>526</v>
      </c>
      <c r="G110" s="322">
        <v>1</v>
      </c>
      <c r="H110" s="144"/>
    </row>
    <row r="111" spans="1:8" ht="15.75" customHeight="1">
      <c r="A111" s="143"/>
      <c r="B111" s="66"/>
      <c r="C111" s="7"/>
      <c r="D111" s="7"/>
      <c r="E111" s="7" t="s">
        <v>532</v>
      </c>
      <c r="F111" s="7" t="s">
        <v>531</v>
      </c>
      <c r="G111" s="323"/>
      <c r="H111" s="144"/>
    </row>
    <row r="112" spans="1:8" ht="15.75" customHeight="1">
      <c r="A112" s="143"/>
      <c r="B112" s="66"/>
      <c r="C112" s="7"/>
      <c r="D112" s="7"/>
      <c r="E112" s="7" t="s">
        <v>536</v>
      </c>
      <c r="F112" s="7" t="s">
        <v>535</v>
      </c>
      <c r="G112" s="323"/>
      <c r="H112" s="144"/>
    </row>
    <row r="113" spans="1:8" ht="15.75" customHeight="1">
      <c r="A113" s="143"/>
      <c r="B113" s="66"/>
      <c r="C113" s="7"/>
      <c r="D113" s="7"/>
      <c r="E113" s="7" t="s">
        <v>540</v>
      </c>
      <c r="F113" s="7" t="s">
        <v>539</v>
      </c>
      <c r="G113" s="323"/>
      <c r="H113" s="144"/>
    </row>
    <row r="114" spans="1:8" ht="15.75" customHeight="1">
      <c r="A114" s="143"/>
      <c r="B114" s="66"/>
      <c r="C114" s="7"/>
      <c r="D114" s="7"/>
      <c r="E114" s="7" t="s">
        <v>544</v>
      </c>
      <c r="F114" s="7" t="s">
        <v>543</v>
      </c>
      <c r="G114" s="323"/>
      <c r="H114" s="144"/>
    </row>
    <row r="115" spans="1:8" ht="15.75" customHeight="1">
      <c r="A115" s="143"/>
      <c r="B115" s="66"/>
      <c r="C115" s="7"/>
      <c r="D115" s="7"/>
      <c r="E115" s="7" t="s">
        <v>548</v>
      </c>
      <c r="F115" s="7" t="s">
        <v>547</v>
      </c>
      <c r="G115" s="323"/>
      <c r="H115" s="144"/>
    </row>
    <row r="116" spans="1:8" ht="15.75" customHeight="1">
      <c r="A116" s="143"/>
      <c r="B116" s="66"/>
      <c r="C116" s="7"/>
      <c r="D116" s="7"/>
      <c r="E116" s="7" t="s">
        <v>552</v>
      </c>
      <c r="F116" s="7" t="s">
        <v>551</v>
      </c>
      <c r="G116" s="323"/>
      <c r="H116" s="144"/>
    </row>
    <row r="117" spans="1:8" ht="15.75" customHeight="1">
      <c r="A117" s="143"/>
      <c r="B117" s="66"/>
      <c r="C117" s="7"/>
      <c r="D117" s="7"/>
      <c r="E117" s="7" t="s">
        <v>556</v>
      </c>
      <c r="F117" s="7" t="s">
        <v>555</v>
      </c>
      <c r="G117" s="323"/>
      <c r="H117" s="144"/>
    </row>
    <row r="118" spans="1:8" ht="15.75" customHeight="1">
      <c r="A118" s="143"/>
      <c r="B118" s="66"/>
      <c r="C118" s="7"/>
      <c r="D118" s="7"/>
      <c r="E118" s="7" t="s">
        <v>560</v>
      </c>
      <c r="F118" s="7" t="s">
        <v>559</v>
      </c>
      <c r="G118" s="324"/>
      <c r="H118" s="144"/>
    </row>
    <row r="119" spans="1:8" ht="15.75" customHeight="1">
      <c r="A119" s="143"/>
      <c r="B119" s="66"/>
      <c r="C119" s="7"/>
      <c r="D119" s="7" t="s">
        <v>566</v>
      </c>
      <c r="E119" s="7" t="s">
        <v>564</v>
      </c>
      <c r="F119" s="7" t="s">
        <v>563</v>
      </c>
      <c r="G119" s="322">
        <v>1</v>
      </c>
      <c r="H119" s="144"/>
    </row>
    <row r="120" spans="1:8" ht="15.75" customHeight="1">
      <c r="A120" s="143"/>
      <c r="B120" s="66"/>
      <c r="C120" s="7"/>
      <c r="D120" s="7"/>
      <c r="E120" s="7" t="s">
        <v>569</v>
      </c>
      <c r="F120" s="7" t="s">
        <v>568</v>
      </c>
      <c r="G120" s="323"/>
      <c r="H120" s="144"/>
    </row>
    <row r="121" spans="1:8" ht="15.75" customHeight="1">
      <c r="A121" s="143"/>
      <c r="B121" s="66"/>
      <c r="C121" s="7"/>
      <c r="D121" s="7"/>
      <c r="E121" s="7" t="s">
        <v>574</v>
      </c>
      <c r="F121" s="7" t="s">
        <v>575</v>
      </c>
      <c r="G121" s="323"/>
      <c r="H121" s="144"/>
    </row>
    <row r="122" spans="1:8" ht="15.75" customHeight="1">
      <c r="A122" s="143"/>
      <c r="B122" s="66"/>
      <c r="C122" s="7"/>
      <c r="D122" s="7"/>
      <c r="E122" s="7" t="s">
        <v>581</v>
      </c>
      <c r="F122" s="7" t="s">
        <v>1901</v>
      </c>
      <c r="G122" s="323"/>
      <c r="H122" s="144"/>
    </row>
    <row r="123" spans="1:8" ht="15.75" customHeight="1">
      <c r="A123" s="143"/>
      <c r="B123" s="66"/>
      <c r="C123" s="7"/>
      <c r="D123" s="7"/>
      <c r="E123" s="7" t="s">
        <v>582</v>
      </c>
      <c r="F123" s="7" t="s">
        <v>1902</v>
      </c>
      <c r="G123" s="323"/>
      <c r="H123" s="144"/>
    </row>
    <row r="124" spans="1:8" ht="15.75" customHeight="1">
      <c r="A124" s="143"/>
      <c r="B124" s="66"/>
      <c r="C124" s="7"/>
      <c r="D124" s="7"/>
      <c r="E124" s="7" t="s">
        <v>583</v>
      </c>
      <c r="F124" s="7" t="s">
        <v>1903</v>
      </c>
      <c r="G124" s="323"/>
      <c r="H124" s="144"/>
    </row>
    <row r="125" spans="1:8" ht="15.75" customHeight="1">
      <c r="A125" s="143"/>
      <c r="B125" s="66"/>
      <c r="C125" s="7"/>
      <c r="D125" s="7"/>
      <c r="E125" s="7" t="s">
        <v>584</v>
      </c>
      <c r="F125" s="7" t="s">
        <v>1904</v>
      </c>
      <c r="G125" s="324"/>
      <c r="H125" s="144"/>
    </row>
    <row r="126" spans="1:8" ht="15.75" customHeight="1">
      <c r="A126" s="143"/>
      <c r="B126" s="66"/>
      <c r="C126" s="7"/>
      <c r="D126" s="7" t="s">
        <v>1927</v>
      </c>
      <c r="E126" s="7" t="s">
        <v>602</v>
      </c>
      <c r="F126" s="7" t="s">
        <v>1905</v>
      </c>
      <c r="G126" s="322">
        <v>1</v>
      </c>
      <c r="H126" s="144"/>
    </row>
    <row r="127" spans="1:8" ht="15.75" customHeight="1">
      <c r="A127" s="143"/>
      <c r="B127" s="66"/>
      <c r="C127" s="7"/>
      <c r="D127" s="7"/>
      <c r="E127" s="7" t="s">
        <v>603</v>
      </c>
      <c r="F127" s="7" t="s">
        <v>1906</v>
      </c>
      <c r="G127" s="323"/>
      <c r="H127" s="144"/>
    </row>
    <row r="128" spans="1:8" ht="15.75" customHeight="1">
      <c r="A128" s="143"/>
      <c r="B128" s="66"/>
      <c r="C128" s="7"/>
      <c r="D128" s="7"/>
      <c r="E128" s="7" t="s">
        <v>604</v>
      </c>
      <c r="F128" s="7" t="s">
        <v>1907</v>
      </c>
      <c r="G128" s="323"/>
      <c r="H128" s="144"/>
    </row>
    <row r="129" spans="1:8" ht="15.75" customHeight="1">
      <c r="A129" s="143"/>
      <c r="B129" s="66"/>
      <c r="C129" s="7"/>
      <c r="D129" s="7"/>
      <c r="E129" s="7" t="s">
        <v>605</v>
      </c>
      <c r="F129" s="7" t="s">
        <v>1908</v>
      </c>
      <c r="G129" s="323"/>
      <c r="H129" s="144"/>
    </row>
    <row r="130" spans="1:8" ht="15.75" customHeight="1">
      <c r="A130" s="143"/>
      <c r="B130" s="66"/>
      <c r="C130" s="7"/>
      <c r="D130" s="7"/>
      <c r="E130" s="7" t="s">
        <v>606</v>
      </c>
      <c r="F130" s="7" t="s">
        <v>1909</v>
      </c>
      <c r="G130" s="323"/>
      <c r="H130" s="144"/>
    </row>
    <row r="131" spans="1:8" ht="15.75" customHeight="1">
      <c r="A131" s="143"/>
      <c r="B131" s="66"/>
      <c r="C131" s="7"/>
      <c r="D131" s="7"/>
      <c r="E131" s="7" t="s">
        <v>607</v>
      </c>
      <c r="F131" s="7" t="s">
        <v>1910</v>
      </c>
      <c r="G131" s="323"/>
      <c r="H131" s="144"/>
    </row>
    <row r="132" spans="1:8" ht="15.75" customHeight="1">
      <c r="A132" s="143"/>
      <c r="B132" s="66"/>
      <c r="C132" s="7"/>
      <c r="D132" s="7"/>
      <c r="E132" s="7" t="s">
        <v>608</v>
      </c>
      <c r="F132" s="7" t="s">
        <v>1911</v>
      </c>
      <c r="G132" s="323"/>
      <c r="H132" s="144"/>
    </row>
    <row r="133" spans="1:8" ht="15.75" customHeight="1">
      <c r="A133" s="143"/>
      <c r="B133" s="66"/>
      <c r="C133" s="7"/>
      <c r="D133" s="7"/>
      <c r="E133" s="7" t="s">
        <v>609</v>
      </c>
      <c r="F133" s="7" t="s">
        <v>1912</v>
      </c>
      <c r="G133" s="324"/>
      <c r="H133" s="144"/>
    </row>
    <row r="134" spans="1:8" ht="15.75" customHeight="1">
      <c r="A134" s="143"/>
      <c r="B134" s="66"/>
      <c r="C134" s="7"/>
      <c r="D134" s="7"/>
      <c r="E134" s="7" t="s">
        <v>610</v>
      </c>
      <c r="F134" s="7" t="s">
        <v>1913</v>
      </c>
      <c r="G134" s="322">
        <v>1</v>
      </c>
      <c r="H134" s="144"/>
    </row>
    <row r="135" spans="1:8" ht="15.75" customHeight="1">
      <c r="A135" s="143"/>
      <c r="B135" s="66"/>
      <c r="C135" s="7"/>
      <c r="D135" s="7"/>
      <c r="E135" s="7" t="s">
        <v>612</v>
      </c>
      <c r="F135" s="7" t="s">
        <v>1914</v>
      </c>
      <c r="G135" s="323"/>
      <c r="H135" s="144"/>
    </row>
    <row r="136" spans="1:8" ht="15.75" customHeight="1">
      <c r="A136" s="143"/>
      <c r="B136" s="66"/>
      <c r="C136" s="7"/>
      <c r="D136" s="7"/>
      <c r="E136" s="7" t="s">
        <v>600</v>
      </c>
      <c r="F136" s="7" t="s">
        <v>599</v>
      </c>
      <c r="G136" s="324"/>
      <c r="H136" s="144"/>
    </row>
    <row r="137" spans="1:8" ht="15.75" customHeight="1">
      <c r="A137" s="143"/>
      <c r="B137" s="66"/>
      <c r="C137" s="7"/>
      <c r="D137" s="7"/>
      <c r="E137" s="7"/>
      <c r="F137" s="7"/>
      <c r="G137" s="24"/>
      <c r="H137" s="144"/>
    </row>
    <row r="138" spans="1:8" ht="15.75" customHeight="1">
      <c r="A138" s="143">
        <v>9</v>
      </c>
      <c r="B138" s="66">
        <v>2000</v>
      </c>
      <c r="C138" s="7" t="s">
        <v>1965</v>
      </c>
      <c r="D138" s="7" t="s">
        <v>614</v>
      </c>
      <c r="E138" s="7" t="s">
        <v>617</v>
      </c>
      <c r="F138" s="7" t="s">
        <v>616</v>
      </c>
      <c r="G138" s="322">
        <v>1</v>
      </c>
      <c r="H138" s="144" t="s">
        <v>2102</v>
      </c>
    </row>
    <row r="139" spans="1:8" ht="15.75" customHeight="1">
      <c r="A139" s="143"/>
      <c r="B139" s="66"/>
      <c r="C139" s="7"/>
      <c r="D139" s="7"/>
      <c r="E139" s="7" t="s">
        <v>623</v>
      </c>
      <c r="F139" s="7" t="s">
        <v>622</v>
      </c>
      <c r="G139" s="323"/>
      <c r="H139" s="144"/>
    </row>
    <row r="140" spans="1:8" ht="15.75" customHeight="1">
      <c r="A140" s="143"/>
      <c r="B140" s="66"/>
      <c r="C140" s="7"/>
      <c r="D140" s="7" t="s">
        <v>625</v>
      </c>
      <c r="E140" s="7" t="s">
        <v>628</v>
      </c>
      <c r="F140" s="7" t="s">
        <v>627</v>
      </c>
      <c r="G140" s="323"/>
      <c r="H140" s="144"/>
    </row>
    <row r="141" spans="1:8" ht="15.75" customHeight="1">
      <c r="A141" s="143"/>
      <c r="B141" s="66"/>
      <c r="C141" s="7"/>
      <c r="D141" s="7"/>
      <c r="E141" s="7" t="s">
        <v>632</v>
      </c>
      <c r="F141" s="7" t="s">
        <v>631</v>
      </c>
      <c r="G141" s="323"/>
      <c r="H141" s="144"/>
    </row>
    <row r="142" spans="1:8" ht="15.75" customHeight="1">
      <c r="A142" s="143"/>
      <c r="B142" s="66"/>
      <c r="C142" s="7"/>
      <c r="D142" s="7"/>
      <c r="E142" s="7" t="s">
        <v>636</v>
      </c>
      <c r="F142" s="7" t="s">
        <v>635</v>
      </c>
      <c r="G142" s="323"/>
      <c r="H142" s="144"/>
    </row>
    <row r="143" spans="1:8" ht="15.75" customHeight="1">
      <c r="A143" s="143"/>
      <c r="B143" s="66"/>
      <c r="C143" s="7"/>
      <c r="D143" s="7"/>
      <c r="E143" s="7" t="s">
        <v>640</v>
      </c>
      <c r="F143" s="7" t="s">
        <v>639</v>
      </c>
      <c r="G143" s="323"/>
      <c r="H143" s="144"/>
    </row>
    <row r="144" spans="1:8" ht="15.75" customHeight="1">
      <c r="A144" s="143"/>
      <c r="B144" s="66"/>
      <c r="C144" s="7"/>
      <c r="D144" s="7" t="s">
        <v>642</v>
      </c>
      <c r="E144" s="7" t="s">
        <v>645</v>
      </c>
      <c r="F144" s="7" t="s">
        <v>644</v>
      </c>
      <c r="G144" s="323"/>
      <c r="H144" s="144"/>
    </row>
    <row r="145" spans="1:8" ht="15.75" customHeight="1">
      <c r="A145" s="143"/>
      <c r="B145" s="66"/>
      <c r="C145" s="7"/>
      <c r="D145" s="7"/>
      <c r="E145" s="7" t="s">
        <v>649</v>
      </c>
      <c r="F145" s="7" t="s">
        <v>648</v>
      </c>
      <c r="G145" s="324"/>
      <c r="H145" s="144"/>
    </row>
    <row r="146" spans="1:8" ht="15.75" customHeight="1">
      <c r="A146" s="143"/>
      <c r="B146" s="66"/>
      <c r="C146" s="7"/>
      <c r="D146" s="7"/>
      <c r="E146" s="7"/>
      <c r="F146" s="7"/>
      <c r="G146" s="24"/>
      <c r="H146" s="144"/>
    </row>
    <row r="147" spans="1:8" ht="15.75" customHeight="1">
      <c r="A147" s="143">
        <v>10</v>
      </c>
      <c r="B147" s="66">
        <v>2000</v>
      </c>
      <c r="C147" s="7" t="s">
        <v>651</v>
      </c>
      <c r="D147" s="7" t="s">
        <v>651</v>
      </c>
      <c r="E147" s="7" t="s">
        <v>654</v>
      </c>
      <c r="F147" s="7" t="s">
        <v>653</v>
      </c>
      <c r="G147" s="322">
        <v>2</v>
      </c>
      <c r="H147" s="144" t="s">
        <v>2102</v>
      </c>
    </row>
    <row r="148" spans="1:8" ht="15.75" customHeight="1">
      <c r="A148" s="143"/>
      <c r="B148" s="66"/>
      <c r="C148" s="7"/>
      <c r="D148" s="7"/>
      <c r="E148" s="7" t="s">
        <v>660</v>
      </c>
      <c r="F148" s="7" t="s">
        <v>659</v>
      </c>
      <c r="G148" s="323"/>
      <c r="H148" s="144"/>
    </row>
    <row r="149" spans="1:8" ht="15.75" customHeight="1">
      <c r="A149" s="143"/>
      <c r="B149" s="66"/>
      <c r="C149" s="7"/>
      <c r="D149" s="7"/>
      <c r="E149" s="7" t="s">
        <v>664</v>
      </c>
      <c r="F149" s="7" t="s">
        <v>663</v>
      </c>
      <c r="G149" s="323"/>
      <c r="H149" s="144"/>
    </row>
    <row r="150" spans="1:8" ht="15.75" customHeight="1">
      <c r="A150" s="143"/>
      <c r="B150" s="66"/>
      <c r="C150" s="7"/>
      <c r="D150" s="7"/>
      <c r="E150" s="7" t="s">
        <v>668</v>
      </c>
      <c r="F150" s="7" t="s">
        <v>667</v>
      </c>
      <c r="G150" s="323"/>
      <c r="H150" s="144"/>
    </row>
    <row r="151" spans="1:8" ht="15.75" customHeight="1">
      <c r="A151" s="143"/>
      <c r="B151" s="66"/>
      <c r="C151" s="7"/>
      <c r="D151" s="7"/>
      <c r="E151" s="7" t="s">
        <v>672</v>
      </c>
      <c r="F151" s="7" t="s">
        <v>671</v>
      </c>
      <c r="G151" s="323"/>
      <c r="H151" s="144"/>
    </row>
    <row r="152" spans="1:8" ht="15.75" customHeight="1">
      <c r="A152" s="143"/>
      <c r="B152" s="66"/>
      <c r="C152" s="7"/>
      <c r="D152" s="7"/>
      <c r="E152" s="7" t="s">
        <v>676</v>
      </c>
      <c r="F152" s="7" t="s">
        <v>675</v>
      </c>
      <c r="G152" s="323"/>
      <c r="H152" s="144"/>
    </row>
    <row r="153" spans="1:8" ht="15.75" customHeight="1">
      <c r="A153" s="143"/>
      <c r="B153" s="66"/>
      <c r="C153" s="7"/>
      <c r="D153" s="7"/>
      <c r="E153" s="7" t="s">
        <v>680</v>
      </c>
      <c r="F153" s="7" t="s">
        <v>679</v>
      </c>
      <c r="G153" s="323"/>
      <c r="H153" s="144"/>
    </row>
    <row r="154" spans="1:8" ht="15.75" customHeight="1">
      <c r="A154" s="143"/>
      <c r="B154" s="66"/>
      <c r="C154" s="7"/>
      <c r="D154" s="7"/>
      <c r="E154" s="7" t="s">
        <v>684</v>
      </c>
      <c r="F154" s="7" t="s">
        <v>683</v>
      </c>
      <c r="G154" s="323"/>
      <c r="H154" s="144"/>
    </row>
    <row r="155" spans="1:8" ht="15.75" customHeight="1">
      <c r="A155" s="143"/>
      <c r="B155" s="66"/>
      <c r="C155" s="7"/>
      <c r="D155" s="7"/>
      <c r="E155" s="7" t="s">
        <v>688</v>
      </c>
      <c r="F155" s="7" t="s">
        <v>687</v>
      </c>
      <c r="G155" s="323"/>
      <c r="H155" s="144"/>
    </row>
    <row r="156" spans="1:8" ht="15.75" customHeight="1">
      <c r="A156" s="143"/>
      <c r="B156" s="66"/>
      <c r="C156" s="7"/>
      <c r="D156" s="7"/>
      <c r="E156" s="7" t="s">
        <v>691</v>
      </c>
      <c r="F156" s="7" t="s">
        <v>690</v>
      </c>
      <c r="G156" s="323"/>
      <c r="H156" s="144"/>
    </row>
    <row r="157" spans="1:8" ht="15.75" customHeight="1">
      <c r="A157" s="143"/>
      <c r="B157" s="66"/>
      <c r="C157" s="7"/>
      <c r="D157" s="7"/>
      <c r="E157" s="7" t="s">
        <v>694</v>
      </c>
      <c r="F157" s="7" t="s">
        <v>693</v>
      </c>
      <c r="G157" s="323"/>
      <c r="H157" s="144"/>
    </row>
    <row r="158" spans="1:8" ht="15.75" customHeight="1">
      <c r="A158" s="143"/>
      <c r="B158" s="66"/>
      <c r="C158" s="7"/>
      <c r="D158" s="7"/>
      <c r="E158" s="7" t="s">
        <v>698</v>
      </c>
      <c r="F158" s="7" t="s">
        <v>697</v>
      </c>
      <c r="G158" s="323"/>
      <c r="H158" s="144"/>
    </row>
    <row r="159" spans="1:8" ht="15.75" customHeight="1">
      <c r="A159" s="143"/>
      <c r="B159" s="66"/>
      <c r="C159" s="7"/>
      <c r="D159" s="7"/>
      <c r="E159" s="7" t="s">
        <v>702</v>
      </c>
      <c r="F159" s="7" t="s">
        <v>701</v>
      </c>
      <c r="G159" s="323"/>
      <c r="H159" s="144"/>
    </row>
    <row r="160" spans="1:8" ht="15.75" customHeight="1">
      <c r="A160" s="143"/>
      <c r="B160" s="66"/>
      <c r="C160" s="7"/>
      <c r="D160" s="7"/>
      <c r="E160" s="7" t="s">
        <v>706</v>
      </c>
      <c r="F160" s="7" t="s">
        <v>705</v>
      </c>
      <c r="G160" s="323"/>
      <c r="H160" s="144"/>
    </row>
    <row r="161" spans="1:8" ht="15.75" customHeight="1">
      <c r="A161" s="143"/>
      <c r="B161" s="66"/>
      <c r="C161" s="7"/>
      <c r="D161" s="7"/>
      <c r="E161" s="7" t="s">
        <v>710</v>
      </c>
      <c r="F161" s="7" t="s">
        <v>709</v>
      </c>
      <c r="G161" s="323"/>
      <c r="H161" s="144"/>
    </row>
    <row r="162" spans="1:8" ht="15.75" customHeight="1">
      <c r="A162" s="143"/>
      <c r="B162" s="66"/>
      <c r="C162" s="7"/>
      <c r="D162" s="7"/>
      <c r="E162" s="7" t="s">
        <v>714</v>
      </c>
      <c r="F162" s="7" t="s">
        <v>713</v>
      </c>
      <c r="G162" s="323"/>
      <c r="H162" s="144"/>
    </row>
    <row r="163" spans="1:8" ht="15.75" customHeight="1">
      <c r="A163" s="143"/>
      <c r="B163" s="66"/>
      <c r="C163" s="7"/>
      <c r="D163" s="7"/>
      <c r="E163" s="7" t="s">
        <v>718</v>
      </c>
      <c r="F163" s="7" t="s">
        <v>717</v>
      </c>
      <c r="G163" s="323"/>
      <c r="H163" s="144"/>
    </row>
    <row r="164" spans="1:8" ht="15.75" customHeight="1">
      <c r="A164" s="143"/>
      <c r="B164" s="66"/>
      <c r="C164" s="7"/>
      <c r="D164" s="7"/>
      <c r="E164" s="7" t="s">
        <v>722</v>
      </c>
      <c r="F164" s="7" t="s">
        <v>721</v>
      </c>
      <c r="G164" s="323"/>
      <c r="H164" s="144"/>
    </row>
    <row r="165" spans="1:8" ht="15.75" customHeight="1">
      <c r="A165" s="143"/>
      <c r="B165" s="66"/>
      <c r="C165" s="7"/>
      <c r="D165" s="7"/>
      <c r="E165" s="7" t="s">
        <v>726</v>
      </c>
      <c r="F165" s="7" t="s">
        <v>725</v>
      </c>
      <c r="G165" s="323"/>
      <c r="H165" s="144"/>
    </row>
    <row r="166" spans="1:8" ht="15.75" customHeight="1">
      <c r="A166" s="143"/>
      <c r="B166" s="66"/>
      <c r="C166" s="7"/>
      <c r="D166" s="7"/>
      <c r="E166" s="7" t="s">
        <v>730</v>
      </c>
      <c r="F166" s="7" t="s">
        <v>729</v>
      </c>
      <c r="G166" s="323"/>
      <c r="H166" s="144"/>
    </row>
    <row r="167" spans="1:8" ht="15.75" customHeight="1">
      <c r="A167" s="143"/>
      <c r="B167" s="66"/>
      <c r="C167" s="7"/>
      <c r="D167" s="7"/>
      <c r="E167" s="7" t="s">
        <v>734</v>
      </c>
      <c r="F167" s="7" t="s">
        <v>733</v>
      </c>
      <c r="G167" s="323"/>
      <c r="H167" s="144"/>
    </row>
    <row r="168" spans="1:8" ht="15.75" customHeight="1">
      <c r="A168" s="143"/>
      <c r="B168" s="66"/>
      <c r="C168" s="7"/>
      <c r="D168" s="7"/>
      <c r="E168" s="7" t="s">
        <v>737</v>
      </c>
      <c r="F168" s="7" t="s">
        <v>736</v>
      </c>
      <c r="G168" s="323"/>
      <c r="H168" s="144"/>
    </row>
    <row r="169" spans="1:8" ht="15.75" customHeight="1">
      <c r="A169" s="143"/>
      <c r="B169" s="66"/>
      <c r="C169" s="7"/>
      <c r="D169" s="7"/>
      <c r="E169" s="7" t="s">
        <v>740</v>
      </c>
      <c r="F169" s="7" t="s">
        <v>739</v>
      </c>
      <c r="G169" s="323"/>
      <c r="H169" s="144"/>
    </row>
    <row r="170" spans="1:8" ht="15.75" customHeight="1">
      <c r="A170" s="143"/>
      <c r="B170" s="66"/>
      <c r="C170" s="7"/>
      <c r="D170" s="7"/>
      <c r="E170" s="7" t="s">
        <v>744</v>
      </c>
      <c r="F170" s="7" t="s">
        <v>743</v>
      </c>
      <c r="G170" s="324"/>
      <c r="H170" s="144"/>
    </row>
    <row r="171" spans="1:8" ht="15.75" customHeight="1">
      <c r="A171" s="143"/>
      <c r="B171" s="66"/>
      <c r="C171" s="7"/>
      <c r="D171" s="7" t="s">
        <v>2107</v>
      </c>
      <c r="E171" s="7"/>
      <c r="F171" s="7"/>
      <c r="G171" s="20">
        <v>1</v>
      </c>
      <c r="H171" s="144" t="s">
        <v>2102</v>
      </c>
    </row>
    <row r="172" spans="1:8" ht="15.75" customHeight="1">
      <c r="A172" s="143"/>
      <c r="B172" s="66"/>
      <c r="C172" s="7"/>
      <c r="D172" s="7"/>
      <c r="E172" s="7"/>
      <c r="F172" s="7"/>
      <c r="G172" s="24"/>
      <c r="H172" s="144"/>
    </row>
    <row r="173" spans="1:8" ht="15.75" customHeight="1">
      <c r="A173" s="143">
        <v>11</v>
      </c>
      <c r="B173" s="66">
        <v>2000</v>
      </c>
      <c r="C173" s="7" t="s">
        <v>1966</v>
      </c>
      <c r="D173" s="7" t="s">
        <v>1966</v>
      </c>
      <c r="E173" s="7" t="s">
        <v>747</v>
      </c>
      <c r="F173" s="7" t="s">
        <v>748</v>
      </c>
      <c r="G173" s="322">
        <v>1</v>
      </c>
      <c r="H173" s="144" t="s">
        <v>2102</v>
      </c>
    </row>
    <row r="174" spans="1:8" ht="15.75" customHeight="1">
      <c r="A174" s="143"/>
      <c r="B174" s="66"/>
      <c r="C174" s="7"/>
      <c r="D174" s="7"/>
      <c r="E174" s="7" t="s">
        <v>754</v>
      </c>
      <c r="F174" s="7" t="s">
        <v>755</v>
      </c>
      <c r="G174" s="323"/>
      <c r="H174" s="144"/>
    </row>
    <row r="175" spans="1:8" ht="15.75" customHeight="1">
      <c r="A175" s="143"/>
      <c r="B175" s="66"/>
      <c r="C175" s="7"/>
      <c r="D175" s="7"/>
      <c r="E175" s="7" t="s">
        <v>758</v>
      </c>
      <c r="F175" s="7" t="s">
        <v>759</v>
      </c>
      <c r="G175" s="323"/>
      <c r="H175" s="144"/>
    </row>
    <row r="176" spans="1:8" ht="15.75" customHeight="1">
      <c r="A176" s="143"/>
      <c r="B176" s="66"/>
      <c r="C176" s="7"/>
      <c r="D176" s="7"/>
      <c r="E176" s="7" t="s">
        <v>763</v>
      </c>
      <c r="F176" s="7" t="s">
        <v>764</v>
      </c>
      <c r="G176" s="323"/>
      <c r="H176" s="144"/>
    </row>
    <row r="177" spans="1:8" ht="15.75" customHeight="1">
      <c r="A177" s="143"/>
      <c r="B177" s="66"/>
      <c r="C177" s="7"/>
      <c r="D177" s="7"/>
      <c r="E177" s="7" t="s">
        <v>767</v>
      </c>
      <c r="F177" s="7" t="s">
        <v>768</v>
      </c>
      <c r="G177" s="323"/>
      <c r="H177" s="144"/>
    </row>
    <row r="178" spans="1:8" ht="15.75" customHeight="1">
      <c r="A178" s="143"/>
      <c r="B178" s="66"/>
      <c r="C178" s="7"/>
      <c r="D178" s="7"/>
      <c r="E178" s="7" t="s">
        <v>771</v>
      </c>
      <c r="F178" s="7" t="s">
        <v>772</v>
      </c>
      <c r="G178" s="323"/>
      <c r="H178" s="144"/>
    </row>
    <row r="179" spans="1:8" ht="15.75" customHeight="1">
      <c r="A179" s="143"/>
      <c r="B179" s="66"/>
      <c r="C179" s="7"/>
      <c r="D179" s="7"/>
      <c r="E179" s="7" t="s">
        <v>774</v>
      </c>
      <c r="F179" s="7" t="s">
        <v>773</v>
      </c>
      <c r="G179" s="324"/>
      <c r="H179" s="144"/>
    </row>
    <row r="180" spans="1:8" ht="15.75" customHeight="1">
      <c r="A180" s="143"/>
      <c r="B180" s="66"/>
      <c r="C180" s="7"/>
      <c r="D180" s="7"/>
      <c r="E180" s="7"/>
      <c r="F180" s="7"/>
      <c r="G180" s="24"/>
      <c r="H180" s="144"/>
    </row>
    <row r="181" spans="1:8" ht="15.75" customHeight="1">
      <c r="A181" s="143">
        <v>12</v>
      </c>
      <c r="B181" s="66">
        <v>2000</v>
      </c>
      <c r="C181" s="7" t="s">
        <v>779</v>
      </c>
      <c r="D181" s="7" t="s">
        <v>1967</v>
      </c>
      <c r="E181" s="7" t="s">
        <v>786</v>
      </c>
      <c r="F181" s="7" t="s">
        <v>1968</v>
      </c>
      <c r="G181" s="322">
        <v>12</v>
      </c>
      <c r="H181" s="144" t="s">
        <v>2103</v>
      </c>
    </row>
    <row r="182" spans="1:8" ht="15.75" customHeight="1">
      <c r="A182" s="143"/>
      <c r="B182" s="66"/>
      <c r="C182" s="7"/>
      <c r="D182" s="7"/>
      <c r="E182" s="7" t="s">
        <v>1837</v>
      </c>
      <c r="F182" s="7" t="s">
        <v>1838</v>
      </c>
      <c r="G182" s="323"/>
      <c r="H182" s="144"/>
    </row>
    <row r="183" spans="1:8" ht="15.75" customHeight="1">
      <c r="A183" s="143"/>
      <c r="B183" s="66"/>
      <c r="C183" s="7"/>
      <c r="D183" s="7"/>
      <c r="E183" s="7" t="s">
        <v>791</v>
      </c>
      <c r="F183" s="7" t="s">
        <v>790</v>
      </c>
      <c r="G183" s="323"/>
      <c r="H183" s="144"/>
    </row>
    <row r="184" spans="1:8" ht="15.75" customHeight="1">
      <c r="A184" s="143"/>
      <c r="B184" s="66"/>
      <c r="C184" s="7"/>
      <c r="D184" s="7"/>
      <c r="E184" s="7" t="s">
        <v>794</v>
      </c>
      <c r="F184" s="7" t="s">
        <v>793</v>
      </c>
      <c r="G184" s="323"/>
      <c r="H184" s="144"/>
    </row>
    <row r="185" spans="1:8" ht="15.75" customHeight="1">
      <c r="A185" s="143"/>
      <c r="B185" s="66"/>
      <c r="C185" s="7"/>
      <c r="D185" s="7"/>
      <c r="E185" s="7" t="s">
        <v>797</v>
      </c>
      <c r="F185" s="7" t="s">
        <v>796</v>
      </c>
      <c r="G185" s="323"/>
      <c r="H185" s="144"/>
    </row>
    <row r="186" spans="1:8" ht="15.75" customHeight="1">
      <c r="A186" s="143"/>
      <c r="B186" s="66"/>
      <c r="C186" s="7"/>
      <c r="D186" s="7"/>
      <c r="E186" s="7" t="s">
        <v>800</v>
      </c>
      <c r="F186" s="7" t="s">
        <v>799</v>
      </c>
      <c r="G186" s="323"/>
      <c r="H186" s="144"/>
    </row>
    <row r="187" spans="1:8" ht="15.75" customHeight="1">
      <c r="A187" s="143"/>
      <c r="B187" s="66"/>
      <c r="C187" s="7"/>
      <c r="D187" s="7" t="s">
        <v>1969</v>
      </c>
      <c r="E187" s="7" t="s">
        <v>801</v>
      </c>
      <c r="F187" s="7" t="s">
        <v>802</v>
      </c>
      <c r="G187" s="323"/>
      <c r="H187" s="144"/>
    </row>
    <row r="188" spans="1:8" ht="15.75" customHeight="1">
      <c r="A188" s="143"/>
      <c r="B188" s="66"/>
      <c r="C188" s="7"/>
      <c r="D188" s="7"/>
      <c r="E188" s="7" t="s">
        <v>803</v>
      </c>
      <c r="F188" s="7" t="s">
        <v>804</v>
      </c>
      <c r="G188" s="323"/>
      <c r="H188" s="144"/>
    </row>
    <row r="189" spans="1:8" ht="15.75" customHeight="1">
      <c r="A189" s="143"/>
      <c r="B189" s="66"/>
      <c r="C189" s="7"/>
      <c r="D189" s="7"/>
      <c r="E189" s="7" t="s">
        <v>805</v>
      </c>
      <c r="F189" s="7" t="s">
        <v>806</v>
      </c>
      <c r="G189" s="323"/>
      <c r="H189" s="144"/>
    </row>
    <row r="190" spans="1:8" ht="15.75" customHeight="1">
      <c r="A190" s="143"/>
      <c r="B190" s="66"/>
      <c r="C190" s="7"/>
      <c r="D190" s="7"/>
      <c r="E190" s="7" t="s">
        <v>807</v>
      </c>
      <c r="F190" s="7" t="s">
        <v>808</v>
      </c>
      <c r="G190" s="323"/>
      <c r="H190" s="144"/>
    </row>
    <row r="191" spans="1:8" ht="15.75" customHeight="1">
      <c r="A191" s="143"/>
      <c r="B191" s="66"/>
      <c r="C191" s="7"/>
      <c r="D191" s="7"/>
      <c r="E191" s="7" t="s">
        <v>809</v>
      </c>
      <c r="F191" s="7" t="s">
        <v>810</v>
      </c>
      <c r="G191" s="323"/>
      <c r="H191" s="144"/>
    </row>
    <row r="192" spans="1:8" ht="15.75" customHeight="1">
      <c r="A192" s="143"/>
      <c r="B192" s="66"/>
      <c r="C192" s="7"/>
      <c r="D192" s="7"/>
      <c r="E192" s="7" t="s">
        <v>811</v>
      </c>
      <c r="F192" s="7" t="s">
        <v>812</v>
      </c>
      <c r="G192" s="323"/>
      <c r="H192" s="144"/>
    </row>
    <row r="193" spans="1:8" ht="15.75" customHeight="1">
      <c r="A193" s="143"/>
      <c r="B193" s="66"/>
      <c r="C193" s="7"/>
      <c r="D193" s="7"/>
      <c r="E193" s="7" t="s">
        <v>813</v>
      </c>
      <c r="F193" s="7" t="s">
        <v>814</v>
      </c>
      <c r="G193" s="323"/>
      <c r="H193" s="144"/>
    </row>
    <row r="194" spans="1:8" ht="15.75" customHeight="1">
      <c r="A194" s="143"/>
      <c r="B194" s="66"/>
      <c r="C194" s="7"/>
      <c r="D194" s="7"/>
      <c r="E194" s="7" t="s">
        <v>815</v>
      </c>
      <c r="F194" s="7" t="s">
        <v>816</v>
      </c>
      <c r="G194" s="323"/>
      <c r="H194" s="144"/>
    </row>
    <row r="195" spans="1:8" ht="15.75" customHeight="1">
      <c r="A195" s="143"/>
      <c r="B195" s="66"/>
      <c r="C195" s="7"/>
      <c r="D195" s="7"/>
      <c r="E195" s="7" t="s">
        <v>817</v>
      </c>
      <c r="F195" s="7" t="s">
        <v>818</v>
      </c>
      <c r="G195" s="323"/>
      <c r="H195" s="144"/>
    </row>
    <row r="196" spans="1:8" ht="15.75" customHeight="1">
      <c r="A196" s="143"/>
      <c r="B196" s="66"/>
      <c r="C196" s="7"/>
      <c r="D196" s="7"/>
      <c r="E196" s="7" t="s">
        <v>819</v>
      </c>
      <c r="F196" s="7" t="s">
        <v>820</v>
      </c>
      <c r="G196" s="323"/>
      <c r="H196" s="144"/>
    </row>
    <row r="197" spans="1:8" ht="15.75" customHeight="1">
      <c r="A197" s="143"/>
      <c r="B197" s="66"/>
      <c r="C197" s="7"/>
      <c r="D197" s="7"/>
      <c r="E197" s="7" t="s">
        <v>821</v>
      </c>
      <c r="F197" s="7" t="s">
        <v>822</v>
      </c>
      <c r="G197" s="323"/>
      <c r="H197" s="144"/>
    </row>
    <row r="198" spans="1:8" ht="15.75" customHeight="1">
      <c r="A198" s="143"/>
      <c r="B198" s="66"/>
      <c r="C198" s="7"/>
      <c r="D198" s="7"/>
      <c r="E198" s="7" t="s">
        <v>823</v>
      </c>
      <c r="F198" s="7" t="s">
        <v>824</v>
      </c>
      <c r="G198" s="323"/>
      <c r="H198" s="144"/>
    </row>
    <row r="199" spans="1:8" ht="15.75" customHeight="1">
      <c r="A199" s="143"/>
      <c r="B199" s="66"/>
      <c r="C199" s="7"/>
      <c r="D199" s="7"/>
      <c r="E199" s="7" t="s">
        <v>825</v>
      </c>
      <c r="F199" s="7" t="s">
        <v>826</v>
      </c>
      <c r="G199" s="323"/>
      <c r="H199" s="144"/>
    </row>
    <row r="200" spans="1:8" ht="15.75" customHeight="1">
      <c r="A200" s="143"/>
      <c r="B200" s="66"/>
      <c r="C200" s="7"/>
      <c r="D200" s="7"/>
      <c r="E200" s="7" t="s">
        <v>827</v>
      </c>
      <c r="F200" s="7" t="s">
        <v>828</v>
      </c>
      <c r="G200" s="323"/>
      <c r="H200" s="144"/>
    </row>
    <row r="201" spans="1:8" ht="15.75" customHeight="1">
      <c r="A201" s="143"/>
      <c r="B201" s="66"/>
      <c r="C201" s="7"/>
      <c r="D201" s="7"/>
      <c r="E201" s="7" t="s">
        <v>829</v>
      </c>
      <c r="F201" s="7" t="s">
        <v>830</v>
      </c>
      <c r="G201" s="323"/>
      <c r="H201" s="144"/>
    </row>
    <row r="202" spans="1:8" ht="15.75" customHeight="1">
      <c r="A202" s="143"/>
      <c r="B202" s="66"/>
      <c r="C202" s="7"/>
      <c r="D202" s="7"/>
      <c r="E202" s="7" t="s">
        <v>831</v>
      </c>
      <c r="F202" s="7" t="s">
        <v>832</v>
      </c>
      <c r="G202" s="323"/>
      <c r="H202" s="144"/>
    </row>
    <row r="203" spans="1:8" ht="15.75" customHeight="1">
      <c r="A203" s="143"/>
      <c r="B203" s="66"/>
      <c r="C203" s="7"/>
      <c r="D203" s="7"/>
      <c r="E203" s="7" t="s">
        <v>833</v>
      </c>
      <c r="F203" s="7" t="s">
        <v>834</v>
      </c>
      <c r="G203" s="323"/>
      <c r="H203" s="144"/>
    </row>
    <row r="204" spans="1:8" ht="15.75" customHeight="1">
      <c r="A204" s="143"/>
      <c r="B204" s="66"/>
      <c r="C204" s="7"/>
      <c r="D204" s="7"/>
      <c r="E204" s="7" t="s">
        <v>835</v>
      </c>
      <c r="F204" s="7" t="s">
        <v>836</v>
      </c>
      <c r="G204" s="323"/>
      <c r="H204" s="144"/>
    </row>
    <row r="205" spans="1:8" ht="15.75" customHeight="1">
      <c r="A205" s="143"/>
      <c r="B205" s="66"/>
      <c r="C205" s="7"/>
      <c r="D205" s="7"/>
      <c r="E205" s="7" t="s">
        <v>837</v>
      </c>
      <c r="F205" s="7" t="s">
        <v>838</v>
      </c>
      <c r="G205" s="323"/>
      <c r="H205" s="144"/>
    </row>
    <row r="206" spans="1:8" ht="15.75" customHeight="1">
      <c r="A206" s="143"/>
      <c r="B206" s="66"/>
      <c r="C206" s="7"/>
      <c r="D206" s="7"/>
      <c r="E206" s="7" t="s">
        <v>839</v>
      </c>
      <c r="F206" s="7" t="s">
        <v>840</v>
      </c>
      <c r="G206" s="323"/>
      <c r="H206" s="144"/>
    </row>
    <row r="207" spans="1:8" ht="15.75" customHeight="1">
      <c r="A207" s="143"/>
      <c r="B207" s="66"/>
      <c r="C207" s="7"/>
      <c r="D207" s="7"/>
      <c r="E207" s="7" t="s">
        <v>841</v>
      </c>
      <c r="F207" s="7" t="s">
        <v>842</v>
      </c>
      <c r="G207" s="323"/>
      <c r="H207" s="144"/>
    </row>
    <row r="208" spans="1:8" ht="15.75" customHeight="1">
      <c r="A208" s="143"/>
      <c r="B208" s="66"/>
      <c r="C208" s="7"/>
      <c r="D208" s="7"/>
      <c r="E208" s="7" t="s">
        <v>843</v>
      </c>
      <c r="F208" s="7" t="s">
        <v>844</v>
      </c>
      <c r="G208" s="323"/>
      <c r="H208" s="144"/>
    </row>
    <row r="209" spans="1:8" ht="15.75" customHeight="1">
      <c r="A209" s="143"/>
      <c r="B209" s="66"/>
      <c r="C209" s="7"/>
      <c r="D209" s="7"/>
      <c r="E209" s="7" t="s">
        <v>845</v>
      </c>
      <c r="F209" s="7" t="s">
        <v>846</v>
      </c>
      <c r="G209" s="323"/>
      <c r="H209" s="144"/>
    </row>
    <row r="210" spans="1:8" ht="15.75" customHeight="1">
      <c r="A210" s="143"/>
      <c r="B210" s="66"/>
      <c r="C210" s="7"/>
      <c r="D210" s="7"/>
      <c r="E210" s="7" t="s">
        <v>847</v>
      </c>
      <c r="F210" s="7" t="s">
        <v>848</v>
      </c>
      <c r="G210" s="324"/>
      <c r="H210" s="144"/>
    </row>
    <row r="211" spans="1:8" ht="15.75" customHeight="1">
      <c r="A211" s="143"/>
      <c r="B211" s="66"/>
      <c r="C211" s="7"/>
      <c r="D211" s="7"/>
      <c r="E211" s="7"/>
      <c r="F211" s="7"/>
      <c r="G211" s="24"/>
      <c r="H211" s="144"/>
    </row>
    <row r="212" spans="1:8" ht="15.75" customHeight="1">
      <c r="A212" s="143">
        <v>13</v>
      </c>
      <c r="B212" s="66">
        <v>2000</v>
      </c>
      <c r="C212" s="7" t="s">
        <v>1972</v>
      </c>
      <c r="D212" s="7" t="s">
        <v>465</v>
      </c>
      <c r="E212" s="7" t="s">
        <v>852</v>
      </c>
      <c r="F212" s="7" t="s">
        <v>851</v>
      </c>
      <c r="G212" s="20">
        <v>1</v>
      </c>
      <c r="H212" s="144" t="s">
        <v>2102</v>
      </c>
    </row>
    <row r="213" spans="1:8" ht="15.75" customHeight="1">
      <c r="A213" s="143"/>
      <c r="B213" s="66"/>
      <c r="C213" s="7"/>
      <c r="D213" s="7"/>
      <c r="E213" s="7" t="s">
        <v>858</v>
      </c>
      <c r="F213" s="7" t="s">
        <v>857</v>
      </c>
      <c r="G213" s="322">
        <v>1</v>
      </c>
      <c r="H213" s="144"/>
    </row>
    <row r="214" spans="1:8" ht="15.75" customHeight="1">
      <c r="A214" s="143"/>
      <c r="B214" s="66"/>
      <c r="C214" s="7"/>
      <c r="D214" s="7"/>
      <c r="E214" s="7" t="s">
        <v>862</v>
      </c>
      <c r="F214" s="7" t="s">
        <v>861</v>
      </c>
      <c r="G214" s="323"/>
      <c r="H214" s="144"/>
    </row>
    <row r="215" spans="1:8" ht="15.75" customHeight="1">
      <c r="A215" s="143"/>
      <c r="B215" s="66"/>
      <c r="C215" s="7"/>
      <c r="D215" s="7"/>
      <c r="E215" s="7" t="s">
        <v>866</v>
      </c>
      <c r="F215" s="7" t="s">
        <v>865</v>
      </c>
      <c r="G215" s="324"/>
      <c r="H215" s="144"/>
    </row>
    <row r="216" spans="1:8" ht="15.75" customHeight="1">
      <c r="A216" s="143"/>
      <c r="B216" s="66"/>
      <c r="C216" s="7"/>
      <c r="D216" s="7"/>
      <c r="E216" s="7" t="s">
        <v>870</v>
      </c>
      <c r="F216" s="7" t="s">
        <v>869</v>
      </c>
      <c r="G216" s="322">
        <v>1</v>
      </c>
      <c r="H216" s="144"/>
    </row>
    <row r="217" spans="1:8" ht="15.75" customHeight="1">
      <c r="A217" s="143"/>
      <c r="B217" s="66"/>
      <c r="C217" s="7"/>
      <c r="D217" s="7"/>
      <c r="E217" s="7" t="s">
        <v>871</v>
      </c>
      <c r="F217" s="7" t="s">
        <v>872</v>
      </c>
      <c r="G217" s="324"/>
      <c r="H217" s="144"/>
    </row>
    <row r="218" spans="1:8" ht="15.75" customHeight="1">
      <c r="A218" s="143"/>
      <c r="B218" s="66"/>
      <c r="C218" s="7"/>
      <c r="D218" s="7" t="s">
        <v>1984</v>
      </c>
      <c r="E218" s="7" t="s">
        <v>875</v>
      </c>
      <c r="F218" s="7" t="s">
        <v>874</v>
      </c>
      <c r="G218" s="322">
        <v>9</v>
      </c>
      <c r="H218" s="144" t="s">
        <v>2103</v>
      </c>
    </row>
    <row r="219" spans="1:8" ht="15.75" customHeight="1">
      <c r="A219" s="143"/>
      <c r="B219" s="66"/>
      <c r="C219" s="7"/>
      <c r="D219" s="7"/>
      <c r="E219" s="7" t="s">
        <v>879</v>
      </c>
      <c r="F219" s="7" t="s">
        <v>878</v>
      </c>
      <c r="G219" s="323"/>
      <c r="H219" s="144"/>
    </row>
    <row r="220" spans="1:8" ht="15.75" customHeight="1">
      <c r="A220" s="143"/>
      <c r="B220" s="66"/>
      <c r="C220" s="7"/>
      <c r="D220" s="7"/>
      <c r="E220" s="7" t="s">
        <v>883</v>
      </c>
      <c r="F220" s="7" t="s">
        <v>882</v>
      </c>
      <c r="G220" s="323"/>
      <c r="H220" s="144"/>
    </row>
    <row r="221" spans="1:8" ht="15.75" customHeight="1">
      <c r="A221" s="143"/>
      <c r="B221" s="66"/>
      <c r="C221" s="7"/>
      <c r="D221" s="7"/>
      <c r="E221" s="7" t="s">
        <v>887</v>
      </c>
      <c r="F221" s="7" t="s">
        <v>886</v>
      </c>
      <c r="G221" s="323"/>
      <c r="H221" s="144"/>
    </row>
    <row r="222" spans="1:8" ht="15.75" customHeight="1">
      <c r="A222" s="143"/>
      <c r="B222" s="66"/>
      <c r="C222" s="7"/>
      <c r="D222" s="7"/>
      <c r="E222" s="7" t="s">
        <v>891</v>
      </c>
      <c r="F222" s="7" t="s">
        <v>890</v>
      </c>
      <c r="G222" s="323"/>
      <c r="H222" s="144"/>
    </row>
    <row r="223" spans="1:8" ht="15.75" customHeight="1">
      <c r="A223" s="143"/>
      <c r="B223" s="66"/>
      <c r="C223" s="7"/>
      <c r="D223" s="7"/>
      <c r="E223" s="7" t="s">
        <v>895</v>
      </c>
      <c r="F223" s="7" t="s">
        <v>894</v>
      </c>
      <c r="G223" s="323"/>
      <c r="H223" s="144"/>
    </row>
    <row r="224" spans="1:8" ht="15.75" customHeight="1">
      <c r="A224" s="143"/>
      <c r="B224" s="66"/>
      <c r="C224" s="7"/>
      <c r="D224" s="7"/>
      <c r="E224" s="7" t="s">
        <v>899</v>
      </c>
      <c r="F224" s="7" t="s">
        <v>898</v>
      </c>
      <c r="G224" s="323"/>
      <c r="H224" s="144"/>
    </row>
    <row r="225" spans="1:8" ht="15.75" customHeight="1">
      <c r="A225" s="143"/>
      <c r="B225" s="66"/>
      <c r="C225" s="7"/>
      <c r="D225" s="7"/>
      <c r="E225" s="7" t="s">
        <v>903</v>
      </c>
      <c r="F225" s="7" t="s">
        <v>902</v>
      </c>
      <c r="G225" s="323"/>
      <c r="H225" s="144"/>
    </row>
    <row r="226" spans="1:8" ht="15.75" customHeight="1">
      <c r="A226" s="143"/>
      <c r="B226" s="66"/>
      <c r="C226" s="7"/>
      <c r="D226" s="7"/>
      <c r="E226" s="7" t="s">
        <v>907</v>
      </c>
      <c r="F226" s="7" t="s">
        <v>906</v>
      </c>
      <c r="G226" s="324"/>
      <c r="H226" s="144"/>
    </row>
    <row r="227" spans="1:8" ht="15.75" customHeight="1">
      <c r="A227" s="143"/>
      <c r="B227" s="66"/>
      <c r="C227" s="7"/>
      <c r="D227" s="7" t="s">
        <v>2107</v>
      </c>
      <c r="E227" s="7"/>
      <c r="F227" s="7"/>
      <c r="G227" s="20">
        <v>1</v>
      </c>
      <c r="H227" s="144" t="s">
        <v>2102</v>
      </c>
    </row>
    <row r="228" spans="1:8" ht="15.75" customHeight="1">
      <c r="A228" s="143"/>
      <c r="B228" s="66"/>
      <c r="C228" s="7"/>
      <c r="D228" s="7"/>
      <c r="E228" s="7"/>
      <c r="F228" s="7"/>
      <c r="G228" s="24"/>
      <c r="H228" s="144"/>
    </row>
    <row r="229" spans="1:8" ht="15.75" customHeight="1">
      <c r="A229" s="143">
        <v>13</v>
      </c>
      <c r="B229" s="66">
        <v>2000</v>
      </c>
      <c r="C229" s="7" t="s">
        <v>1987</v>
      </c>
      <c r="D229" s="7" t="s">
        <v>1988</v>
      </c>
      <c r="E229" s="7" t="s">
        <v>993</v>
      </c>
      <c r="F229" s="7" t="s">
        <v>1989</v>
      </c>
      <c r="G229" s="322">
        <v>2</v>
      </c>
      <c r="H229" s="146" t="s">
        <v>2108</v>
      </c>
    </row>
    <row r="230" spans="1:8" ht="15.75" customHeight="1">
      <c r="A230" s="143"/>
      <c r="B230" s="66"/>
      <c r="C230" s="7"/>
      <c r="D230" s="7"/>
      <c r="E230" s="7" t="s">
        <v>999</v>
      </c>
      <c r="F230" s="7" t="s">
        <v>1000</v>
      </c>
      <c r="G230" s="323"/>
      <c r="H230" s="144" t="s">
        <v>2103</v>
      </c>
    </row>
    <row r="231" spans="1:8" ht="15.75" customHeight="1">
      <c r="A231" s="143"/>
      <c r="B231" s="66"/>
      <c r="C231" s="7"/>
      <c r="D231" s="7"/>
      <c r="E231" s="7" t="s">
        <v>1002</v>
      </c>
      <c r="F231" s="7" t="s">
        <v>1001</v>
      </c>
      <c r="G231" s="324"/>
      <c r="H231" s="144"/>
    </row>
    <row r="232" spans="1:8" ht="15.75" customHeight="1">
      <c r="A232" s="143"/>
      <c r="B232" s="66"/>
      <c r="C232" s="7"/>
      <c r="D232" s="7"/>
      <c r="E232" s="7" t="s">
        <v>997</v>
      </c>
      <c r="F232" s="7" t="s">
        <v>996</v>
      </c>
      <c r="G232" s="20">
        <v>1</v>
      </c>
      <c r="H232" s="144"/>
    </row>
    <row r="233" spans="1:8" ht="15.75" customHeight="1">
      <c r="A233" s="143"/>
      <c r="B233" s="66"/>
      <c r="C233" s="7"/>
      <c r="D233" s="7"/>
      <c r="E233" s="7" t="s">
        <v>1005</v>
      </c>
      <c r="F233" s="7" t="s">
        <v>1004</v>
      </c>
      <c r="G233" s="20">
        <v>1</v>
      </c>
      <c r="H233" s="144"/>
    </row>
    <row r="234" spans="1:8" ht="15.75" customHeight="1">
      <c r="A234" s="143"/>
      <c r="B234" s="66"/>
      <c r="C234" s="7"/>
      <c r="D234" s="7"/>
      <c r="E234" s="7"/>
      <c r="F234" s="7"/>
      <c r="G234" s="24"/>
      <c r="H234" s="144"/>
    </row>
    <row r="235" spans="1:8" ht="21.75" customHeight="1">
      <c r="A235" s="147"/>
      <c r="B235" s="148"/>
      <c r="C235" s="127"/>
      <c r="D235" s="127"/>
      <c r="E235" s="127"/>
      <c r="F235" s="149" t="s">
        <v>2109</v>
      </c>
      <c r="G235" s="150">
        <f>SUM(G6:G234)</f>
        <v>86</v>
      </c>
      <c r="H235" s="151"/>
    </row>
    <row r="236" spans="1:8" ht="15.75" customHeight="1">
      <c r="A236" s="72"/>
      <c r="B236" s="72"/>
      <c r="G236" s="139"/>
    </row>
    <row r="237" spans="1:8" ht="15.75" customHeight="1">
      <c r="A237" s="72"/>
      <c r="B237" s="72"/>
      <c r="G237" s="139"/>
    </row>
    <row r="238" spans="1:8" ht="15.75" customHeight="1">
      <c r="A238" s="72"/>
      <c r="B238" s="72"/>
      <c r="G238" s="139"/>
    </row>
    <row r="239" spans="1:8" ht="15.75" customHeight="1">
      <c r="A239" s="72"/>
      <c r="B239" s="72"/>
      <c r="G239" s="139"/>
    </row>
    <row r="240" spans="1:8" ht="15.75" customHeight="1">
      <c r="A240" s="72"/>
      <c r="B240" s="72"/>
      <c r="G240" s="139"/>
    </row>
    <row r="241" spans="1:7" ht="15.75" customHeight="1">
      <c r="A241" s="72"/>
      <c r="B241" s="72"/>
      <c r="G241" s="139"/>
    </row>
    <row r="242" spans="1:7" ht="15.75" customHeight="1">
      <c r="A242" s="72"/>
      <c r="B242" s="72"/>
      <c r="G242" s="139"/>
    </row>
    <row r="243" spans="1:7" ht="15.75" customHeight="1">
      <c r="A243" s="72"/>
      <c r="B243" s="72"/>
      <c r="G243" s="139"/>
    </row>
    <row r="244" spans="1:7" ht="15.75" customHeight="1">
      <c r="A244" s="72"/>
      <c r="B244" s="72"/>
      <c r="G244" s="139"/>
    </row>
    <row r="245" spans="1:7" ht="15.75" customHeight="1">
      <c r="A245" s="72"/>
      <c r="B245" s="72"/>
      <c r="G245" s="139"/>
    </row>
    <row r="246" spans="1:7" ht="15.75" customHeight="1">
      <c r="A246" s="72"/>
      <c r="B246" s="72"/>
      <c r="G246" s="139"/>
    </row>
    <row r="247" spans="1:7" ht="15.75" customHeight="1">
      <c r="A247" s="72"/>
      <c r="B247" s="72"/>
      <c r="G247" s="139"/>
    </row>
    <row r="248" spans="1:7" ht="15.75" customHeight="1">
      <c r="A248" s="72"/>
      <c r="B248" s="72"/>
      <c r="G248" s="139"/>
    </row>
    <row r="249" spans="1:7" ht="15.75" customHeight="1">
      <c r="A249" s="72"/>
      <c r="B249" s="72"/>
      <c r="G249" s="139"/>
    </row>
    <row r="250" spans="1:7" ht="15.75" customHeight="1">
      <c r="A250" s="72"/>
      <c r="B250" s="72"/>
      <c r="G250" s="139"/>
    </row>
    <row r="251" spans="1:7" ht="15.75" customHeight="1">
      <c r="A251" s="72"/>
      <c r="B251" s="72"/>
      <c r="G251" s="139"/>
    </row>
    <row r="252" spans="1:7" ht="15.75" customHeight="1">
      <c r="A252" s="72"/>
      <c r="B252" s="72"/>
      <c r="G252" s="139"/>
    </row>
    <row r="253" spans="1:7" ht="15.75" customHeight="1">
      <c r="A253" s="72"/>
      <c r="B253" s="72"/>
      <c r="G253" s="139"/>
    </row>
    <row r="254" spans="1:7" ht="15.75" customHeight="1">
      <c r="A254" s="72"/>
      <c r="B254" s="72"/>
      <c r="G254" s="139"/>
    </row>
    <row r="255" spans="1:7" ht="15.75" customHeight="1">
      <c r="A255" s="72"/>
      <c r="B255" s="72"/>
      <c r="G255" s="139"/>
    </row>
    <row r="256" spans="1:7" ht="15.75" customHeight="1">
      <c r="A256" s="72"/>
      <c r="B256" s="72"/>
      <c r="G256" s="139"/>
    </row>
    <row r="257" spans="1:7" ht="15.75" customHeight="1">
      <c r="A257" s="72"/>
      <c r="B257" s="72"/>
      <c r="G257" s="139"/>
    </row>
    <row r="258" spans="1:7" ht="15.75" customHeight="1">
      <c r="A258" s="72"/>
      <c r="B258" s="72"/>
      <c r="G258" s="139"/>
    </row>
    <row r="259" spans="1:7" ht="15.75" customHeight="1">
      <c r="A259" s="72"/>
      <c r="B259" s="72"/>
      <c r="G259" s="139"/>
    </row>
    <row r="260" spans="1:7" ht="15.75" customHeight="1">
      <c r="A260" s="72"/>
      <c r="B260" s="72"/>
      <c r="G260" s="139"/>
    </row>
    <row r="261" spans="1:7" ht="15.75" customHeight="1">
      <c r="A261" s="72"/>
      <c r="B261" s="72"/>
      <c r="G261" s="139"/>
    </row>
    <row r="262" spans="1:7" ht="15.75" customHeight="1">
      <c r="A262" s="72"/>
      <c r="B262" s="72"/>
      <c r="G262" s="139"/>
    </row>
    <row r="263" spans="1:7" ht="15.75" customHeight="1">
      <c r="A263" s="72"/>
      <c r="B263" s="72"/>
      <c r="G263" s="139"/>
    </row>
    <row r="264" spans="1:7" ht="15.75" customHeight="1">
      <c r="A264" s="72"/>
      <c r="B264" s="72"/>
      <c r="G264" s="139"/>
    </row>
    <row r="265" spans="1:7" ht="15.75" customHeight="1">
      <c r="A265" s="72"/>
      <c r="B265" s="72"/>
      <c r="G265" s="139"/>
    </row>
    <row r="266" spans="1:7" ht="15.75" customHeight="1">
      <c r="A266" s="72"/>
      <c r="B266" s="72"/>
      <c r="G266" s="139"/>
    </row>
    <row r="267" spans="1:7" ht="15.75" customHeight="1">
      <c r="A267" s="72"/>
      <c r="B267" s="72"/>
      <c r="G267" s="139"/>
    </row>
    <row r="268" spans="1:7" ht="15.75" customHeight="1">
      <c r="A268" s="72"/>
      <c r="B268" s="72"/>
      <c r="G268" s="139"/>
    </row>
    <row r="269" spans="1:7" ht="15.75" customHeight="1">
      <c r="A269" s="72"/>
      <c r="B269" s="72"/>
      <c r="G269" s="139"/>
    </row>
    <row r="270" spans="1:7" ht="15.75" customHeight="1">
      <c r="A270" s="72"/>
      <c r="B270" s="72"/>
      <c r="G270" s="139"/>
    </row>
    <row r="271" spans="1:7" ht="15.75" customHeight="1">
      <c r="A271" s="72"/>
      <c r="B271" s="72"/>
      <c r="G271" s="139"/>
    </row>
    <row r="272" spans="1:7" ht="15.75" customHeight="1">
      <c r="A272" s="72"/>
      <c r="B272" s="72"/>
      <c r="G272" s="139"/>
    </row>
    <row r="273" spans="1:7" ht="15.75" customHeight="1">
      <c r="A273" s="72"/>
      <c r="B273" s="72"/>
      <c r="G273" s="139"/>
    </row>
    <row r="274" spans="1:7" ht="15.75" customHeight="1">
      <c r="A274" s="72"/>
      <c r="B274" s="72"/>
      <c r="G274" s="139"/>
    </row>
    <row r="275" spans="1:7" ht="15.75" customHeight="1">
      <c r="A275" s="72"/>
      <c r="B275" s="72"/>
      <c r="G275" s="139"/>
    </row>
    <row r="276" spans="1:7" ht="15.75" customHeight="1">
      <c r="A276" s="72"/>
      <c r="B276" s="72"/>
      <c r="G276" s="139"/>
    </row>
    <row r="277" spans="1:7" ht="15.75" customHeight="1">
      <c r="A277" s="72"/>
      <c r="B277" s="72"/>
      <c r="G277" s="139"/>
    </row>
    <row r="278" spans="1:7" ht="15.75" customHeight="1">
      <c r="A278" s="72"/>
      <c r="B278" s="72"/>
      <c r="G278" s="139"/>
    </row>
    <row r="279" spans="1:7" ht="15.75" customHeight="1">
      <c r="A279" s="72"/>
      <c r="B279" s="72"/>
      <c r="G279" s="139"/>
    </row>
    <row r="280" spans="1:7" ht="15.75" customHeight="1">
      <c r="A280" s="72"/>
      <c r="B280" s="72"/>
      <c r="G280" s="139"/>
    </row>
    <row r="281" spans="1:7" ht="15.75" customHeight="1">
      <c r="A281" s="72"/>
      <c r="B281" s="72"/>
      <c r="G281" s="139"/>
    </row>
    <row r="282" spans="1:7" ht="15.75" customHeight="1">
      <c r="A282" s="72"/>
      <c r="B282" s="72"/>
      <c r="G282" s="139"/>
    </row>
    <row r="283" spans="1:7" ht="15.75" customHeight="1">
      <c r="A283" s="72"/>
      <c r="B283" s="72"/>
      <c r="G283" s="139"/>
    </row>
    <row r="284" spans="1:7" ht="15.75" customHeight="1">
      <c r="A284" s="72"/>
      <c r="B284" s="72"/>
      <c r="G284" s="139"/>
    </row>
    <row r="285" spans="1:7" ht="15.75" customHeight="1">
      <c r="A285" s="72"/>
      <c r="B285" s="72"/>
      <c r="G285" s="139"/>
    </row>
    <row r="286" spans="1:7" ht="15.75" customHeight="1">
      <c r="A286" s="72"/>
      <c r="B286" s="72"/>
      <c r="G286" s="139"/>
    </row>
    <row r="287" spans="1:7" ht="15.75" customHeight="1">
      <c r="A287" s="72"/>
      <c r="B287" s="72"/>
      <c r="G287" s="139"/>
    </row>
    <row r="288" spans="1:7" ht="15.75" customHeight="1">
      <c r="A288" s="72"/>
      <c r="B288" s="72"/>
      <c r="G288" s="139"/>
    </row>
    <row r="289" spans="1:7" ht="15.75" customHeight="1">
      <c r="A289" s="72"/>
      <c r="B289" s="72"/>
      <c r="G289" s="139"/>
    </row>
    <row r="290" spans="1:7" ht="15.75" customHeight="1">
      <c r="A290" s="72"/>
      <c r="B290" s="72"/>
      <c r="G290" s="139"/>
    </row>
    <row r="291" spans="1:7" ht="15.75" customHeight="1">
      <c r="A291" s="72"/>
      <c r="B291" s="72"/>
      <c r="G291" s="139"/>
    </row>
    <row r="292" spans="1:7" ht="15.75" customHeight="1">
      <c r="A292" s="72"/>
      <c r="B292" s="72"/>
      <c r="G292" s="139"/>
    </row>
    <row r="293" spans="1:7" ht="15.75" customHeight="1">
      <c r="A293" s="72"/>
      <c r="B293" s="72"/>
      <c r="G293" s="139"/>
    </row>
    <row r="294" spans="1:7" ht="15.75" customHeight="1">
      <c r="A294" s="72"/>
      <c r="B294" s="72"/>
      <c r="G294" s="139"/>
    </row>
    <row r="295" spans="1:7" ht="15.75" customHeight="1">
      <c r="A295" s="72"/>
      <c r="B295" s="72"/>
      <c r="G295" s="139"/>
    </row>
    <row r="296" spans="1:7" ht="15.75" customHeight="1">
      <c r="A296" s="72"/>
      <c r="B296" s="72"/>
      <c r="G296" s="139"/>
    </row>
    <row r="297" spans="1:7" ht="15.75" customHeight="1">
      <c r="A297" s="72"/>
      <c r="B297" s="72"/>
      <c r="G297" s="139"/>
    </row>
    <row r="298" spans="1:7" ht="15.75" customHeight="1">
      <c r="A298" s="72"/>
      <c r="B298" s="72"/>
      <c r="G298" s="139"/>
    </row>
    <row r="299" spans="1:7" ht="15.75" customHeight="1">
      <c r="A299" s="72"/>
      <c r="B299" s="72"/>
      <c r="G299" s="139"/>
    </row>
    <row r="300" spans="1:7" ht="15.75" customHeight="1">
      <c r="A300" s="72"/>
      <c r="B300" s="72"/>
      <c r="G300" s="139"/>
    </row>
    <row r="301" spans="1:7" ht="15.75" customHeight="1">
      <c r="A301" s="72"/>
      <c r="B301" s="72"/>
      <c r="G301" s="139"/>
    </row>
    <row r="302" spans="1:7" ht="15.75" customHeight="1">
      <c r="A302" s="72"/>
      <c r="B302" s="72"/>
      <c r="G302" s="139"/>
    </row>
    <row r="303" spans="1:7" ht="15.75" customHeight="1">
      <c r="A303" s="72"/>
      <c r="B303" s="72"/>
      <c r="G303" s="139"/>
    </row>
    <row r="304" spans="1:7" ht="15.75" customHeight="1">
      <c r="A304" s="72"/>
      <c r="B304" s="72"/>
      <c r="G304" s="139"/>
    </row>
    <row r="305" spans="1:7" ht="15.75" customHeight="1">
      <c r="A305" s="72"/>
      <c r="B305" s="72"/>
      <c r="G305" s="139"/>
    </row>
    <row r="306" spans="1:7" ht="15.75" customHeight="1">
      <c r="A306" s="72"/>
      <c r="B306" s="72"/>
      <c r="G306" s="139"/>
    </row>
    <row r="307" spans="1:7" ht="15.75" customHeight="1">
      <c r="A307" s="72"/>
      <c r="B307" s="72"/>
      <c r="G307" s="139"/>
    </row>
    <row r="308" spans="1:7" ht="15.75" customHeight="1">
      <c r="A308" s="72"/>
      <c r="B308" s="72"/>
      <c r="G308" s="139"/>
    </row>
    <row r="309" spans="1:7" ht="15.75" customHeight="1">
      <c r="A309" s="72"/>
      <c r="B309" s="72"/>
      <c r="G309" s="139"/>
    </row>
    <row r="310" spans="1:7" ht="15.75" customHeight="1">
      <c r="A310" s="72"/>
      <c r="B310" s="72"/>
      <c r="G310" s="139"/>
    </row>
    <row r="311" spans="1:7" ht="15.75" customHeight="1">
      <c r="A311" s="72"/>
      <c r="B311" s="72"/>
      <c r="G311" s="139"/>
    </row>
    <row r="312" spans="1:7" ht="15.75" customHeight="1">
      <c r="A312" s="72"/>
      <c r="B312" s="72"/>
      <c r="G312" s="139"/>
    </row>
    <row r="313" spans="1:7" ht="15.75" customHeight="1">
      <c r="A313" s="72"/>
      <c r="B313" s="72"/>
      <c r="G313" s="139"/>
    </row>
    <row r="314" spans="1:7" ht="15.75" customHeight="1">
      <c r="A314" s="72"/>
      <c r="B314" s="72"/>
      <c r="G314" s="139"/>
    </row>
    <row r="315" spans="1:7" ht="15.75" customHeight="1">
      <c r="A315" s="72"/>
      <c r="B315" s="72"/>
      <c r="G315" s="139"/>
    </row>
    <row r="316" spans="1:7" ht="15.75" customHeight="1">
      <c r="A316" s="72"/>
      <c r="B316" s="72"/>
      <c r="G316" s="139"/>
    </row>
    <row r="317" spans="1:7" ht="15.75" customHeight="1">
      <c r="A317" s="72"/>
      <c r="B317" s="72"/>
      <c r="G317" s="139"/>
    </row>
    <row r="318" spans="1:7" ht="15.75" customHeight="1">
      <c r="A318" s="72"/>
      <c r="B318" s="72"/>
      <c r="G318" s="139"/>
    </row>
    <row r="319" spans="1:7" ht="15.75" customHeight="1">
      <c r="A319" s="72"/>
      <c r="B319" s="72"/>
      <c r="G319" s="139"/>
    </row>
    <row r="320" spans="1:7" ht="15.75" customHeight="1">
      <c r="A320" s="72"/>
      <c r="B320" s="72"/>
      <c r="G320" s="139"/>
    </row>
    <row r="321" spans="1:7" ht="15.75" customHeight="1">
      <c r="A321" s="72"/>
      <c r="B321" s="72"/>
      <c r="G321" s="139"/>
    </row>
    <row r="322" spans="1:7" ht="15.75" customHeight="1">
      <c r="A322" s="72"/>
      <c r="B322" s="72"/>
      <c r="G322" s="139"/>
    </row>
    <row r="323" spans="1:7" ht="15.75" customHeight="1">
      <c r="A323" s="72"/>
      <c r="B323" s="72"/>
      <c r="G323" s="139"/>
    </row>
    <row r="324" spans="1:7" ht="15.75" customHeight="1">
      <c r="A324" s="72"/>
      <c r="B324" s="72"/>
      <c r="G324" s="139"/>
    </row>
    <row r="325" spans="1:7" ht="15.75" customHeight="1">
      <c r="A325" s="72"/>
      <c r="B325" s="72"/>
      <c r="G325" s="139"/>
    </row>
    <row r="326" spans="1:7" ht="15.75" customHeight="1">
      <c r="A326" s="72"/>
      <c r="B326" s="72"/>
      <c r="G326" s="139"/>
    </row>
    <row r="327" spans="1:7" ht="15.75" customHeight="1">
      <c r="A327" s="72"/>
      <c r="B327" s="72"/>
      <c r="G327" s="139"/>
    </row>
    <row r="328" spans="1:7" ht="15.75" customHeight="1">
      <c r="A328" s="72"/>
      <c r="B328" s="72"/>
      <c r="G328" s="139"/>
    </row>
    <row r="329" spans="1:7" ht="15.75" customHeight="1">
      <c r="A329" s="72"/>
      <c r="B329" s="72"/>
      <c r="G329" s="139"/>
    </row>
    <row r="330" spans="1:7" ht="15.75" customHeight="1">
      <c r="A330" s="72"/>
      <c r="B330" s="72"/>
      <c r="G330" s="139"/>
    </row>
    <row r="331" spans="1:7" ht="15.75" customHeight="1">
      <c r="A331" s="72"/>
      <c r="B331" s="72"/>
      <c r="G331" s="139"/>
    </row>
    <row r="332" spans="1:7" ht="15.75" customHeight="1">
      <c r="A332" s="72"/>
      <c r="B332" s="72"/>
      <c r="G332" s="139"/>
    </row>
    <row r="333" spans="1:7" ht="15.75" customHeight="1">
      <c r="A333" s="72"/>
      <c r="B333" s="72"/>
      <c r="G333" s="139"/>
    </row>
    <row r="334" spans="1:7" ht="15.75" customHeight="1">
      <c r="A334" s="72"/>
      <c r="B334" s="72"/>
      <c r="G334" s="139"/>
    </row>
    <row r="335" spans="1:7" ht="15.75" customHeight="1">
      <c r="A335" s="72"/>
      <c r="B335" s="72"/>
      <c r="G335" s="139"/>
    </row>
    <row r="336" spans="1:7" ht="15.75" customHeight="1">
      <c r="A336" s="72"/>
      <c r="B336" s="72"/>
      <c r="G336" s="139"/>
    </row>
    <row r="337" spans="1:7" ht="15.75" customHeight="1">
      <c r="A337" s="72"/>
      <c r="B337" s="72"/>
      <c r="G337" s="139"/>
    </row>
    <row r="338" spans="1:7" ht="15.75" customHeight="1">
      <c r="A338" s="72"/>
      <c r="B338" s="72"/>
      <c r="G338" s="139"/>
    </row>
    <row r="339" spans="1:7" ht="15.75" customHeight="1">
      <c r="A339" s="72"/>
      <c r="B339" s="72"/>
      <c r="G339" s="139"/>
    </row>
    <row r="340" spans="1:7" ht="15.75" customHeight="1">
      <c r="A340" s="72"/>
      <c r="B340" s="72"/>
      <c r="G340" s="139"/>
    </row>
    <row r="341" spans="1:7" ht="15.75" customHeight="1">
      <c r="A341" s="72"/>
      <c r="B341" s="72"/>
      <c r="G341" s="139"/>
    </row>
    <row r="342" spans="1:7" ht="15.75" customHeight="1">
      <c r="A342" s="72"/>
      <c r="B342" s="72"/>
      <c r="G342" s="139"/>
    </row>
    <row r="343" spans="1:7" ht="15.75" customHeight="1">
      <c r="A343" s="72"/>
      <c r="B343" s="72"/>
      <c r="G343" s="139"/>
    </row>
    <row r="344" spans="1:7" ht="15.75" customHeight="1">
      <c r="A344" s="72"/>
      <c r="B344" s="72"/>
      <c r="G344" s="139"/>
    </row>
    <row r="345" spans="1:7" ht="15.75" customHeight="1">
      <c r="A345" s="72"/>
      <c r="B345" s="72"/>
      <c r="G345" s="139"/>
    </row>
    <row r="346" spans="1:7" ht="15.75" customHeight="1">
      <c r="A346" s="72"/>
      <c r="B346" s="72"/>
      <c r="G346" s="139"/>
    </row>
    <row r="347" spans="1:7" ht="15.75" customHeight="1">
      <c r="A347" s="72"/>
      <c r="B347" s="72"/>
      <c r="G347" s="139"/>
    </row>
    <row r="348" spans="1:7" ht="15.75" customHeight="1">
      <c r="A348" s="72"/>
      <c r="B348" s="72"/>
      <c r="G348" s="139"/>
    </row>
    <row r="349" spans="1:7" ht="15.75" customHeight="1">
      <c r="A349" s="72"/>
      <c r="B349" s="72"/>
      <c r="G349" s="139"/>
    </row>
    <row r="350" spans="1:7" ht="15.75" customHeight="1">
      <c r="A350" s="72"/>
      <c r="B350" s="72"/>
      <c r="G350" s="139"/>
    </row>
    <row r="351" spans="1:7" ht="15.75" customHeight="1">
      <c r="A351" s="72"/>
      <c r="B351" s="72"/>
      <c r="G351" s="139"/>
    </row>
    <row r="352" spans="1:7" ht="15.75" customHeight="1">
      <c r="A352" s="72"/>
      <c r="B352" s="72"/>
      <c r="G352" s="139"/>
    </row>
    <row r="353" spans="1:7" ht="15.75" customHeight="1">
      <c r="A353" s="72"/>
      <c r="B353" s="72"/>
      <c r="G353" s="139"/>
    </row>
    <row r="354" spans="1:7" ht="15.75" customHeight="1">
      <c r="A354" s="72"/>
      <c r="B354" s="72"/>
      <c r="G354" s="139"/>
    </row>
    <row r="355" spans="1:7" ht="15.75" customHeight="1">
      <c r="A355" s="72"/>
      <c r="B355" s="72"/>
      <c r="G355" s="139"/>
    </row>
    <row r="356" spans="1:7" ht="15.75" customHeight="1">
      <c r="A356" s="72"/>
      <c r="B356" s="72"/>
      <c r="G356" s="139"/>
    </row>
    <row r="357" spans="1:7" ht="15.75" customHeight="1">
      <c r="A357" s="72"/>
      <c r="B357" s="72"/>
      <c r="G357" s="139"/>
    </row>
    <row r="358" spans="1:7" ht="15.75" customHeight="1">
      <c r="A358" s="72"/>
      <c r="B358" s="72"/>
      <c r="G358" s="139"/>
    </row>
    <row r="359" spans="1:7" ht="15.75" customHeight="1">
      <c r="A359" s="72"/>
      <c r="B359" s="72"/>
      <c r="G359" s="139"/>
    </row>
    <row r="360" spans="1:7" ht="15.75" customHeight="1">
      <c r="A360" s="72"/>
      <c r="B360" s="72"/>
      <c r="G360" s="139"/>
    </row>
    <row r="361" spans="1:7" ht="15.75" customHeight="1">
      <c r="A361" s="72"/>
      <c r="B361" s="72"/>
      <c r="G361" s="139"/>
    </row>
    <row r="362" spans="1:7" ht="15.75" customHeight="1">
      <c r="A362" s="72"/>
      <c r="B362" s="72"/>
      <c r="G362" s="139"/>
    </row>
    <row r="363" spans="1:7" ht="15.75" customHeight="1">
      <c r="A363" s="72"/>
      <c r="B363" s="72"/>
      <c r="G363" s="139"/>
    </row>
    <row r="364" spans="1:7" ht="15.75" customHeight="1">
      <c r="A364" s="72"/>
      <c r="B364" s="72"/>
      <c r="G364" s="139"/>
    </row>
    <row r="365" spans="1:7" ht="15.75" customHeight="1">
      <c r="A365" s="72"/>
      <c r="B365" s="72"/>
      <c r="G365" s="139"/>
    </row>
    <row r="366" spans="1:7" ht="15.75" customHeight="1">
      <c r="A366" s="72"/>
      <c r="B366" s="72"/>
      <c r="G366" s="139"/>
    </row>
    <row r="367" spans="1:7" ht="15.75" customHeight="1">
      <c r="A367" s="72"/>
      <c r="B367" s="72"/>
      <c r="G367" s="139"/>
    </row>
    <row r="368" spans="1:7" ht="15.75" customHeight="1">
      <c r="A368" s="72"/>
      <c r="B368" s="72"/>
      <c r="G368" s="139"/>
    </row>
    <row r="369" spans="1:7" ht="15.75" customHeight="1">
      <c r="A369" s="72"/>
      <c r="B369" s="72"/>
      <c r="G369" s="139"/>
    </row>
    <row r="370" spans="1:7" ht="15.75" customHeight="1">
      <c r="A370" s="72"/>
      <c r="B370" s="72"/>
      <c r="G370" s="139"/>
    </row>
    <row r="371" spans="1:7" ht="15.75" customHeight="1">
      <c r="A371" s="72"/>
      <c r="B371" s="72"/>
      <c r="G371" s="139"/>
    </row>
    <row r="372" spans="1:7" ht="15.75" customHeight="1">
      <c r="A372" s="72"/>
      <c r="B372" s="72"/>
      <c r="G372" s="139"/>
    </row>
    <row r="373" spans="1:7" ht="15.75" customHeight="1">
      <c r="A373" s="72"/>
      <c r="B373" s="72"/>
      <c r="G373" s="139"/>
    </row>
    <row r="374" spans="1:7" ht="15.75" customHeight="1">
      <c r="A374" s="72"/>
      <c r="B374" s="72"/>
      <c r="G374" s="139"/>
    </row>
    <row r="375" spans="1:7" ht="15.75" customHeight="1">
      <c r="A375" s="72"/>
      <c r="B375" s="72"/>
      <c r="G375" s="139"/>
    </row>
    <row r="376" spans="1:7" ht="15.75" customHeight="1">
      <c r="A376" s="72"/>
      <c r="B376" s="72"/>
      <c r="G376" s="139"/>
    </row>
    <row r="377" spans="1:7" ht="15.75" customHeight="1">
      <c r="A377" s="72"/>
      <c r="B377" s="72"/>
      <c r="G377" s="139"/>
    </row>
    <row r="378" spans="1:7" ht="15.75" customHeight="1">
      <c r="A378" s="72"/>
      <c r="B378" s="72"/>
      <c r="G378" s="139"/>
    </row>
    <row r="379" spans="1:7" ht="15.75" customHeight="1">
      <c r="A379" s="72"/>
      <c r="B379" s="72"/>
      <c r="G379" s="139"/>
    </row>
    <row r="380" spans="1:7" ht="15.75" customHeight="1">
      <c r="A380" s="72"/>
      <c r="B380" s="72"/>
      <c r="G380" s="139"/>
    </row>
    <row r="381" spans="1:7" ht="15.75" customHeight="1">
      <c r="A381" s="72"/>
      <c r="B381" s="72"/>
      <c r="G381" s="139"/>
    </row>
    <row r="382" spans="1:7" ht="15.75" customHeight="1">
      <c r="A382" s="72"/>
      <c r="B382" s="72"/>
      <c r="G382" s="139"/>
    </row>
    <row r="383" spans="1:7" ht="15.75" customHeight="1">
      <c r="A383" s="72"/>
      <c r="B383" s="72"/>
      <c r="G383" s="139"/>
    </row>
    <row r="384" spans="1:7" ht="15.75" customHeight="1">
      <c r="A384" s="72"/>
      <c r="B384" s="72"/>
      <c r="G384" s="139"/>
    </row>
    <row r="385" spans="1:7" ht="15.75" customHeight="1">
      <c r="A385" s="72"/>
      <c r="B385" s="72"/>
      <c r="G385" s="139"/>
    </row>
    <row r="386" spans="1:7" ht="15.75" customHeight="1">
      <c r="A386" s="72"/>
      <c r="B386" s="72"/>
      <c r="G386" s="139"/>
    </row>
    <row r="387" spans="1:7" ht="15.75" customHeight="1">
      <c r="A387" s="72"/>
      <c r="B387" s="72"/>
      <c r="G387" s="139"/>
    </row>
    <row r="388" spans="1:7" ht="15.75" customHeight="1">
      <c r="A388" s="72"/>
      <c r="B388" s="72"/>
      <c r="G388" s="139"/>
    </row>
    <row r="389" spans="1:7" ht="15.75" customHeight="1">
      <c r="A389" s="72"/>
      <c r="B389" s="72"/>
      <c r="G389" s="139"/>
    </row>
    <row r="390" spans="1:7" ht="15.75" customHeight="1">
      <c r="A390" s="72"/>
      <c r="B390" s="72"/>
      <c r="G390" s="139"/>
    </row>
    <row r="391" spans="1:7" ht="15.75" customHeight="1">
      <c r="A391" s="72"/>
      <c r="B391" s="72"/>
      <c r="G391" s="139"/>
    </row>
    <row r="392" spans="1:7" ht="15.75" customHeight="1">
      <c r="A392" s="72"/>
      <c r="B392" s="72"/>
      <c r="G392" s="139"/>
    </row>
    <row r="393" spans="1:7" ht="15.75" customHeight="1">
      <c r="A393" s="72"/>
      <c r="B393" s="72"/>
      <c r="G393" s="139"/>
    </row>
    <row r="394" spans="1:7" ht="15.75" customHeight="1">
      <c r="A394" s="72"/>
      <c r="B394" s="72"/>
      <c r="G394" s="139"/>
    </row>
    <row r="395" spans="1:7" ht="15.75" customHeight="1">
      <c r="A395" s="72"/>
      <c r="B395" s="72"/>
      <c r="G395" s="139"/>
    </row>
    <row r="396" spans="1:7" ht="15.75" customHeight="1">
      <c r="A396" s="72"/>
      <c r="B396" s="72"/>
      <c r="G396" s="139"/>
    </row>
    <row r="397" spans="1:7" ht="15.75" customHeight="1">
      <c r="A397" s="72"/>
      <c r="B397" s="72"/>
      <c r="G397" s="139"/>
    </row>
    <row r="398" spans="1:7" ht="15.75" customHeight="1">
      <c r="A398" s="72"/>
      <c r="B398" s="72"/>
      <c r="G398" s="139"/>
    </row>
    <row r="399" spans="1:7" ht="15.75" customHeight="1">
      <c r="A399" s="72"/>
      <c r="B399" s="72"/>
      <c r="G399" s="139"/>
    </row>
    <row r="400" spans="1:7" ht="15.75" customHeight="1">
      <c r="A400" s="72"/>
      <c r="B400" s="72"/>
      <c r="G400" s="139"/>
    </row>
    <row r="401" spans="1:7" ht="15.75" customHeight="1">
      <c r="A401" s="72"/>
      <c r="B401" s="72"/>
      <c r="G401" s="139"/>
    </row>
    <row r="402" spans="1:7" ht="15.75" customHeight="1">
      <c r="A402" s="72"/>
      <c r="B402" s="72"/>
      <c r="G402" s="139"/>
    </row>
    <row r="403" spans="1:7" ht="15.75" customHeight="1">
      <c r="A403" s="72"/>
      <c r="B403" s="72"/>
      <c r="G403" s="139"/>
    </row>
    <row r="404" spans="1:7" ht="15.75" customHeight="1">
      <c r="A404" s="72"/>
      <c r="B404" s="72"/>
      <c r="G404" s="139"/>
    </row>
    <row r="405" spans="1:7" ht="15.75" customHeight="1">
      <c r="A405" s="72"/>
      <c r="B405" s="72"/>
      <c r="G405" s="139"/>
    </row>
    <row r="406" spans="1:7" ht="15.75" customHeight="1">
      <c r="A406" s="72"/>
      <c r="B406" s="72"/>
      <c r="G406" s="139"/>
    </row>
    <row r="407" spans="1:7" ht="15.75" customHeight="1">
      <c r="A407" s="72"/>
      <c r="B407" s="72"/>
      <c r="G407" s="139"/>
    </row>
    <row r="408" spans="1:7" ht="15.75" customHeight="1">
      <c r="A408" s="72"/>
      <c r="B408" s="72"/>
      <c r="G408" s="139"/>
    </row>
    <row r="409" spans="1:7" ht="15.75" customHeight="1">
      <c r="A409" s="72"/>
      <c r="B409" s="72"/>
      <c r="G409" s="139"/>
    </row>
    <row r="410" spans="1:7" ht="15.75" customHeight="1">
      <c r="A410" s="72"/>
      <c r="B410" s="72"/>
      <c r="G410" s="139"/>
    </row>
    <row r="411" spans="1:7" ht="15.75" customHeight="1">
      <c r="A411" s="72"/>
      <c r="B411" s="72"/>
      <c r="G411" s="139"/>
    </row>
    <row r="412" spans="1:7" ht="15.75" customHeight="1">
      <c r="A412" s="72"/>
      <c r="B412" s="72"/>
      <c r="G412" s="139"/>
    </row>
    <row r="413" spans="1:7" ht="15.75" customHeight="1">
      <c r="A413" s="72"/>
      <c r="B413" s="72"/>
      <c r="G413" s="139"/>
    </row>
    <row r="414" spans="1:7" ht="15.75" customHeight="1">
      <c r="A414" s="72"/>
      <c r="B414" s="72"/>
      <c r="G414" s="139"/>
    </row>
    <row r="415" spans="1:7" ht="15.75" customHeight="1">
      <c r="A415" s="72"/>
      <c r="B415" s="72"/>
      <c r="G415" s="139"/>
    </row>
    <row r="416" spans="1:7" ht="15.75" customHeight="1">
      <c r="A416" s="72"/>
      <c r="B416" s="72"/>
      <c r="G416" s="139"/>
    </row>
    <row r="417" spans="1:7" ht="15.75" customHeight="1">
      <c r="A417" s="72"/>
      <c r="B417" s="72"/>
      <c r="G417" s="139"/>
    </row>
    <row r="418" spans="1:7" ht="15.75" customHeight="1">
      <c r="A418" s="72"/>
      <c r="B418" s="72"/>
      <c r="G418" s="139"/>
    </row>
    <row r="419" spans="1:7" ht="15.75" customHeight="1">
      <c r="A419" s="72"/>
      <c r="B419" s="72"/>
      <c r="G419" s="139"/>
    </row>
    <row r="420" spans="1:7" ht="15.75" customHeight="1">
      <c r="A420" s="72"/>
      <c r="B420" s="72"/>
      <c r="G420" s="139"/>
    </row>
    <row r="421" spans="1:7" ht="15.75" customHeight="1">
      <c r="A421" s="72"/>
      <c r="B421" s="72"/>
      <c r="G421" s="139"/>
    </row>
    <row r="422" spans="1:7" ht="15.75" customHeight="1">
      <c r="A422" s="72"/>
      <c r="B422" s="72"/>
      <c r="G422" s="139"/>
    </row>
    <row r="423" spans="1:7" ht="15.75" customHeight="1">
      <c r="A423" s="72"/>
      <c r="B423" s="72"/>
      <c r="G423" s="139"/>
    </row>
    <row r="424" spans="1:7" ht="15.75" customHeight="1">
      <c r="A424" s="72"/>
      <c r="B424" s="72"/>
      <c r="G424" s="139"/>
    </row>
    <row r="425" spans="1:7" ht="15.75" customHeight="1">
      <c r="A425" s="72"/>
      <c r="B425" s="72"/>
      <c r="G425" s="139"/>
    </row>
    <row r="426" spans="1:7" ht="15.75" customHeight="1">
      <c r="A426" s="72"/>
      <c r="B426" s="72"/>
      <c r="G426" s="139"/>
    </row>
    <row r="427" spans="1:7" ht="15.75" customHeight="1">
      <c r="A427" s="72"/>
      <c r="B427" s="72"/>
      <c r="G427" s="139"/>
    </row>
    <row r="428" spans="1:7" ht="15.75" customHeight="1">
      <c r="A428" s="72"/>
      <c r="B428" s="72"/>
      <c r="G428" s="139"/>
    </row>
    <row r="429" spans="1:7" ht="15.75" customHeight="1">
      <c r="A429" s="72"/>
      <c r="B429" s="72"/>
      <c r="G429" s="139"/>
    </row>
    <row r="430" spans="1:7" ht="15.75" customHeight="1">
      <c r="A430" s="72"/>
      <c r="B430" s="72"/>
      <c r="G430" s="139"/>
    </row>
    <row r="431" spans="1:7" ht="15.75" customHeight="1">
      <c r="A431" s="72"/>
      <c r="B431" s="72"/>
      <c r="G431" s="139"/>
    </row>
    <row r="432" spans="1:7" ht="15.75" customHeight="1">
      <c r="A432" s="72"/>
      <c r="B432" s="72"/>
      <c r="G432" s="139"/>
    </row>
    <row r="433" spans="1:7" ht="15.75" customHeight="1">
      <c r="A433" s="72"/>
      <c r="B433" s="72"/>
      <c r="G433" s="139"/>
    </row>
    <row r="434" spans="1:7" ht="15.75" customHeight="1">
      <c r="A434" s="72"/>
      <c r="B434" s="72"/>
      <c r="G434" s="139"/>
    </row>
    <row r="435" spans="1:7" ht="15.75" customHeight="1">
      <c r="A435" s="72"/>
      <c r="B435" s="72"/>
      <c r="G435" s="139"/>
    </row>
    <row r="436" spans="1:7" ht="15.75" customHeight="1">
      <c r="A436" s="72"/>
      <c r="B436" s="72"/>
      <c r="G436" s="139"/>
    </row>
    <row r="437" spans="1:7" ht="15.75" customHeight="1">
      <c r="A437" s="72"/>
      <c r="B437" s="72"/>
      <c r="G437" s="139"/>
    </row>
    <row r="438" spans="1:7" ht="15.75" customHeight="1">
      <c r="A438" s="72"/>
      <c r="B438" s="72"/>
      <c r="G438" s="139"/>
    </row>
    <row r="439" spans="1:7" ht="15.75" customHeight="1">
      <c r="A439" s="72"/>
      <c r="B439" s="72"/>
      <c r="G439" s="139"/>
    </row>
    <row r="440" spans="1:7" ht="15.75" customHeight="1">
      <c r="A440" s="72"/>
      <c r="B440" s="72"/>
      <c r="G440" s="139"/>
    </row>
    <row r="441" spans="1:7" ht="15.75" customHeight="1">
      <c r="A441" s="72"/>
      <c r="B441" s="72"/>
      <c r="G441" s="139"/>
    </row>
    <row r="442" spans="1:7" ht="15.75" customHeight="1">
      <c r="A442" s="72"/>
      <c r="B442" s="72"/>
      <c r="G442" s="139"/>
    </row>
    <row r="443" spans="1:7" ht="15.75" customHeight="1">
      <c r="A443" s="72"/>
      <c r="B443" s="72"/>
      <c r="G443" s="139"/>
    </row>
    <row r="444" spans="1:7" ht="15.75" customHeight="1">
      <c r="A444" s="72"/>
      <c r="B444" s="72"/>
      <c r="G444" s="139"/>
    </row>
    <row r="445" spans="1:7" ht="15.75" customHeight="1">
      <c r="A445" s="72"/>
      <c r="B445" s="72"/>
      <c r="G445" s="139"/>
    </row>
    <row r="446" spans="1:7" ht="15.75" customHeight="1">
      <c r="A446" s="72"/>
      <c r="B446" s="72"/>
      <c r="G446" s="139"/>
    </row>
    <row r="447" spans="1:7" ht="15.75" customHeight="1">
      <c r="A447" s="72"/>
      <c r="B447" s="72"/>
      <c r="G447" s="139"/>
    </row>
    <row r="448" spans="1:7" ht="15.75" customHeight="1">
      <c r="A448" s="72"/>
      <c r="B448" s="72"/>
      <c r="G448" s="139"/>
    </row>
    <row r="449" spans="1:7" ht="15.75" customHeight="1">
      <c r="A449" s="72"/>
      <c r="B449" s="72"/>
      <c r="G449" s="139"/>
    </row>
    <row r="450" spans="1:7" ht="15.75" customHeight="1">
      <c r="A450" s="72"/>
      <c r="B450" s="72"/>
      <c r="G450" s="139"/>
    </row>
    <row r="451" spans="1:7" ht="15.75" customHeight="1">
      <c r="A451" s="72"/>
      <c r="B451" s="72"/>
      <c r="G451" s="139"/>
    </row>
    <row r="452" spans="1:7" ht="15.75" customHeight="1">
      <c r="A452" s="72"/>
      <c r="B452" s="72"/>
      <c r="G452" s="139"/>
    </row>
    <row r="453" spans="1:7" ht="15.75" customHeight="1">
      <c r="A453" s="72"/>
      <c r="B453" s="72"/>
      <c r="G453" s="139"/>
    </row>
    <row r="454" spans="1:7" ht="15.75" customHeight="1">
      <c r="A454" s="72"/>
      <c r="B454" s="72"/>
      <c r="G454" s="139"/>
    </row>
    <row r="455" spans="1:7" ht="15.75" customHeight="1">
      <c r="A455" s="72"/>
      <c r="B455" s="72"/>
      <c r="G455" s="139"/>
    </row>
    <row r="456" spans="1:7" ht="15.75" customHeight="1">
      <c r="A456" s="72"/>
      <c r="B456" s="72"/>
      <c r="G456" s="139"/>
    </row>
    <row r="457" spans="1:7" ht="15.75" customHeight="1">
      <c r="A457" s="72"/>
      <c r="B457" s="72"/>
      <c r="G457" s="139"/>
    </row>
    <row r="458" spans="1:7" ht="15.75" customHeight="1">
      <c r="A458" s="72"/>
      <c r="B458" s="72"/>
      <c r="G458" s="139"/>
    </row>
    <row r="459" spans="1:7" ht="15.75" customHeight="1">
      <c r="A459" s="72"/>
      <c r="B459" s="72"/>
      <c r="G459" s="139"/>
    </row>
    <row r="460" spans="1:7" ht="15.75" customHeight="1">
      <c r="A460" s="72"/>
      <c r="B460" s="72"/>
      <c r="G460" s="139"/>
    </row>
    <row r="461" spans="1:7" ht="15.75" customHeight="1">
      <c r="A461" s="72"/>
      <c r="B461" s="72"/>
      <c r="G461" s="139"/>
    </row>
    <row r="462" spans="1:7" ht="15.75" customHeight="1">
      <c r="A462" s="72"/>
      <c r="B462" s="72"/>
      <c r="G462" s="139"/>
    </row>
    <row r="463" spans="1:7" ht="15.75" customHeight="1">
      <c r="A463" s="72"/>
      <c r="B463" s="72"/>
      <c r="G463" s="139"/>
    </row>
    <row r="464" spans="1:7" ht="15.75" customHeight="1">
      <c r="A464" s="72"/>
      <c r="B464" s="72"/>
      <c r="G464" s="139"/>
    </row>
    <row r="465" spans="1:7" ht="15.75" customHeight="1">
      <c r="A465" s="72"/>
      <c r="B465" s="72"/>
      <c r="G465" s="139"/>
    </row>
    <row r="466" spans="1:7" ht="15.75" customHeight="1">
      <c r="A466" s="72"/>
      <c r="B466" s="72"/>
      <c r="G466" s="139"/>
    </row>
    <row r="467" spans="1:7" ht="15.75" customHeight="1">
      <c r="A467" s="72"/>
      <c r="B467" s="72"/>
      <c r="G467" s="139"/>
    </row>
    <row r="468" spans="1:7" ht="15.75" customHeight="1">
      <c r="A468" s="72"/>
      <c r="B468" s="72"/>
      <c r="G468" s="139"/>
    </row>
    <row r="469" spans="1:7" ht="15.75" customHeight="1">
      <c r="A469" s="72"/>
      <c r="B469" s="72"/>
      <c r="G469" s="139"/>
    </row>
    <row r="470" spans="1:7" ht="15.75" customHeight="1">
      <c r="A470" s="72"/>
      <c r="B470" s="72"/>
      <c r="G470" s="139"/>
    </row>
    <row r="471" spans="1:7" ht="15.75" customHeight="1">
      <c r="A471" s="72"/>
      <c r="B471" s="72"/>
      <c r="G471" s="139"/>
    </row>
    <row r="472" spans="1:7" ht="15.75" customHeight="1">
      <c r="A472" s="72"/>
      <c r="B472" s="72"/>
      <c r="G472" s="139"/>
    </row>
    <row r="473" spans="1:7" ht="15.75" customHeight="1">
      <c r="A473" s="72"/>
      <c r="B473" s="72"/>
      <c r="G473" s="139"/>
    </row>
    <row r="474" spans="1:7" ht="15.75" customHeight="1">
      <c r="A474" s="72"/>
      <c r="B474" s="72"/>
      <c r="G474" s="139"/>
    </row>
    <row r="475" spans="1:7" ht="15.75" customHeight="1">
      <c r="A475" s="72"/>
      <c r="B475" s="72"/>
      <c r="G475" s="139"/>
    </row>
    <row r="476" spans="1:7" ht="15.75" customHeight="1">
      <c r="A476" s="72"/>
      <c r="B476" s="72"/>
      <c r="G476" s="139"/>
    </row>
    <row r="477" spans="1:7" ht="15.75" customHeight="1">
      <c r="A477" s="72"/>
      <c r="B477" s="72"/>
      <c r="G477" s="139"/>
    </row>
    <row r="478" spans="1:7" ht="15.75" customHeight="1">
      <c r="A478" s="72"/>
      <c r="B478" s="72"/>
      <c r="G478" s="139"/>
    </row>
    <row r="479" spans="1:7" ht="15.75" customHeight="1">
      <c r="A479" s="72"/>
      <c r="B479" s="72"/>
      <c r="G479" s="139"/>
    </row>
    <row r="480" spans="1:7" ht="15.75" customHeight="1">
      <c r="A480" s="72"/>
      <c r="B480" s="72"/>
      <c r="G480" s="139"/>
    </row>
    <row r="481" spans="1:7" ht="15.75" customHeight="1">
      <c r="A481" s="72"/>
      <c r="B481" s="72"/>
      <c r="G481" s="139"/>
    </row>
    <row r="482" spans="1:7" ht="15.75" customHeight="1">
      <c r="A482" s="72"/>
      <c r="B482" s="72"/>
      <c r="G482" s="139"/>
    </row>
    <row r="483" spans="1:7" ht="15.75" customHeight="1">
      <c r="A483" s="72"/>
      <c r="B483" s="72"/>
      <c r="G483" s="139"/>
    </row>
    <row r="484" spans="1:7" ht="15.75" customHeight="1">
      <c r="A484" s="72"/>
      <c r="B484" s="72"/>
      <c r="G484" s="139"/>
    </row>
    <row r="485" spans="1:7" ht="15.75" customHeight="1">
      <c r="A485" s="72"/>
      <c r="B485" s="72"/>
      <c r="G485" s="139"/>
    </row>
    <row r="486" spans="1:7" ht="15.75" customHeight="1">
      <c r="A486" s="72"/>
      <c r="B486" s="72"/>
      <c r="G486" s="139"/>
    </row>
    <row r="487" spans="1:7" ht="15.75" customHeight="1">
      <c r="A487" s="72"/>
      <c r="B487" s="72"/>
      <c r="G487" s="139"/>
    </row>
    <row r="488" spans="1:7" ht="15.75" customHeight="1">
      <c r="A488" s="72"/>
      <c r="B488" s="72"/>
      <c r="G488" s="139"/>
    </row>
    <row r="489" spans="1:7" ht="15.75" customHeight="1">
      <c r="A489" s="72"/>
      <c r="B489" s="72"/>
      <c r="G489" s="139"/>
    </row>
    <row r="490" spans="1:7" ht="15.75" customHeight="1">
      <c r="A490" s="72"/>
      <c r="B490" s="72"/>
      <c r="G490" s="139"/>
    </row>
    <row r="491" spans="1:7" ht="15.75" customHeight="1">
      <c r="A491" s="72"/>
      <c r="B491" s="72"/>
      <c r="G491" s="139"/>
    </row>
    <row r="492" spans="1:7" ht="15.75" customHeight="1">
      <c r="A492" s="72"/>
      <c r="B492" s="72"/>
      <c r="G492" s="139"/>
    </row>
    <row r="493" spans="1:7" ht="15.75" customHeight="1">
      <c r="A493" s="72"/>
      <c r="B493" s="72"/>
      <c r="G493" s="139"/>
    </row>
    <row r="494" spans="1:7" ht="15.75" customHeight="1">
      <c r="A494" s="72"/>
      <c r="B494" s="72"/>
      <c r="G494" s="139"/>
    </row>
    <row r="495" spans="1:7" ht="15.75" customHeight="1">
      <c r="A495" s="72"/>
      <c r="B495" s="72"/>
      <c r="G495" s="139"/>
    </row>
    <row r="496" spans="1:7" ht="15.75" customHeight="1">
      <c r="A496" s="72"/>
      <c r="B496" s="72"/>
      <c r="G496" s="139"/>
    </row>
    <row r="497" spans="1:7" ht="15.75" customHeight="1">
      <c r="A497" s="72"/>
      <c r="B497" s="72"/>
      <c r="G497" s="139"/>
    </row>
    <row r="498" spans="1:7" ht="15.75" customHeight="1">
      <c r="A498" s="72"/>
      <c r="B498" s="72"/>
      <c r="G498" s="139"/>
    </row>
    <row r="499" spans="1:7" ht="15.75" customHeight="1">
      <c r="A499" s="72"/>
      <c r="B499" s="72"/>
      <c r="G499" s="139"/>
    </row>
    <row r="500" spans="1:7" ht="15.75" customHeight="1">
      <c r="A500" s="72"/>
      <c r="B500" s="72"/>
      <c r="G500" s="139"/>
    </row>
    <row r="501" spans="1:7" ht="15.75" customHeight="1">
      <c r="A501" s="72"/>
      <c r="B501" s="72"/>
      <c r="G501" s="139"/>
    </row>
    <row r="502" spans="1:7" ht="15.75" customHeight="1">
      <c r="A502" s="72"/>
      <c r="B502" s="72"/>
      <c r="G502" s="139"/>
    </row>
    <row r="503" spans="1:7" ht="15.75" customHeight="1">
      <c r="A503" s="72"/>
      <c r="B503" s="72"/>
      <c r="G503" s="139"/>
    </row>
    <row r="504" spans="1:7" ht="15.75" customHeight="1">
      <c r="A504" s="72"/>
      <c r="B504" s="72"/>
      <c r="G504" s="139"/>
    </row>
    <row r="505" spans="1:7" ht="15.75" customHeight="1">
      <c r="A505" s="72"/>
      <c r="B505" s="72"/>
      <c r="G505" s="139"/>
    </row>
    <row r="506" spans="1:7" ht="15.75" customHeight="1">
      <c r="A506" s="72"/>
      <c r="B506" s="72"/>
      <c r="G506" s="139"/>
    </row>
    <row r="507" spans="1:7" ht="15.75" customHeight="1">
      <c r="A507" s="72"/>
      <c r="B507" s="72"/>
      <c r="G507" s="139"/>
    </row>
    <row r="508" spans="1:7" ht="15.75" customHeight="1">
      <c r="A508" s="72"/>
      <c r="B508" s="72"/>
      <c r="G508" s="139"/>
    </row>
    <row r="509" spans="1:7" ht="15.75" customHeight="1">
      <c r="A509" s="72"/>
      <c r="B509" s="72"/>
      <c r="G509" s="139"/>
    </row>
    <row r="510" spans="1:7" ht="15.75" customHeight="1">
      <c r="A510" s="72"/>
      <c r="B510" s="72"/>
      <c r="G510" s="139"/>
    </row>
    <row r="511" spans="1:7" ht="15.75" customHeight="1">
      <c r="A511" s="72"/>
      <c r="B511" s="72"/>
      <c r="G511" s="139"/>
    </row>
    <row r="512" spans="1:7" ht="15.75" customHeight="1">
      <c r="A512" s="72"/>
      <c r="B512" s="72"/>
      <c r="G512" s="139"/>
    </row>
    <row r="513" spans="1:7" ht="15.75" customHeight="1">
      <c r="A513" s="72"/>
      <c r="B513" s="72"/>
      <c r="G513" s="139"/>
    </row>
    <row r="514" spans="1:7" ht="15.75" customHeight="1">
      <c r="A514" s="72"/>
      <c r="B514" s="72"/>
      <c r="G514" s="139"/>
    </row>
    <row r="515" spans="1:7" ht="15.75" customHeight="1">
      <c r="A515" s="72"/>
      <c r="B515" s="72"/>
      <c r="G515" s="139"/>
    </row>
    <row r="516" spans="1:7" ht="15.75" customHeight="1">
      <c r="A516" s="72"/>
      <c r="B516" s="72"/>
      <c r="G516" s="139"/>
    </row>
    <row r="517" spans="1:7" ht="15.75" customHeight="1">
      <c r="A517" s="72"/>
      <c r="B517" s="72"/>
      <c r="G517" s="139"/>
    </row>
    <row r="518" spans="1:7" ht="15.75" customHeight="1">
      <c r="A518" s="72"/>
      <c r="B518" s="72"/>
      <c r="G518" s="139"/>
    </row>
    <row r="519" spans="1:7" ht="15.75" customHeight="1">
      <c r="A519" s="72"/>
      <c r="B519" s="72"/>
      <c r="G519" s="139"/>
    </row>
    <row r="520" spans="1:7" ht="15.75" customHeight="1">
      <c r="A520" s="72"/>
      <c r="B520" s="72"/>
      <c r="G520" s="139"/>
    </row>
    <row r="521" spans="1:7" ht="15.75" customHeight="1">
      <c r="A521" s="72"/>
      <c r="B521" s="72"/>
      <c r="G521" s="139"/>
    </row>
    <row r="522" spans="1:7" ht="15.75" customHeight="1">
      <c r="A522" s="72"/>
      <c r="B522" s="72"/>
      <c r="G522" s="139"/>
    </row>
    <row r="523" spans="1:7" ht="15.75" customHeight="1">
      <c r="A523" s="72"/>
      <c r="B523" s="72"/>
      <c r="G523" s="139"/>
    </row>
    <row r="524" spans="1:7" ht="15.75" customHeight="1">
      <c r="A524" s="72"/>
      <c r="B524" s="72"/>
      <c r="G524" s="139"/>
    </row>
    <row r="525" spans="1:7" ht="15.75" customHeight="1">
      <c r="A525" s="72"/>
      <c r="B525" s="72"/>
      <c r="G525" s="139"/>
    </row>
    <row r="526" spans="1:7" ht="15.75" customHeight="1">
      <c r="A526" s="72"/>
      <c r="B526" s="72"/>
      <c r="G526" s="139"/>
    </row>
    <row r="527" spans="1:7" ht="15.75" customHeight="1">
      <c r="A527" s="72"/>
      <c r="B527" s="72"/>
      <c r="G527" s="139"/>
    </row>
    <row r="528" spans="1:7" ht="15.75" customHeight="1">
      <c r="A528" s="72"/>
      <c r="B528" s="72"/>
      <c r="G528" s="139"/>
    </row>
    <row r="529" spans="1:7" ht="15.75" customHeight="1">
      <c r="A529" s="72"/>
      <c r="B529" s="72"/>
      <c r="G529" s="139"/>
    </row>
    <row r="530" spans="1:7" ht="15.75" customHeight="1">
      <c r="A530" s="72"/>
      <c r="B530" s="72"/>
      <c r="G530" s="139"/>
    </row>
    <row r="531" spans="1:7" ht="15.75" customHeight="1">
      <c r="A531" s="72"/>
      <c r="B531" s="72"/>
      <c r="G531" s="139"/>
    </row>
    <row r="532" spans="1:7" ht="15.75" customHeight="1">
      <c r="A532" s="72"/>
      <c r="B532" s="72"/>
      <c r="G532" s="139"/>
    </row>
    <row r="533" spans="1:7" ht="15.75" customHeight="1">
      <c r="A533" s="72"/>
      <c r="B533" s="72"/>
      <c r="G533" s="139"/>
    </row>
    <row r="534" spans="1:7" ht="15.75" customHeight="1">
      <c r="A534" s="72"/>
      <c r="B534" s="72"/>
      <c r="G534" s="139"/>
    </row>
    <row r="535" spans="1:7" ht="15.75" customHeight="1">
      <c r="A535" s="72"/>
      <c r="B535" s="72"/>
      <c r="G535" s="139"/>
    </row>
    <row r="536" spans="1:7" ht="15.75" customHeight="1">
      <c r="A536" s="72"/>
      <c r="B536" s="72"/>
      <c r="G536" s="139"/>
    </row>
    <row r="537" spans="1:7" ht="15.75" customHeight="1">
      <c r="A537" s="72"/>
      <c r="B537" s="72"/>
      <c r="G537" s="139"/>
    </row>
    <row r="538" spans="1:7" ht="15.75" customHeight="1">
      <c r="A538" s="72"/>
      <c r="B538" s="72"/>
      <c r="G538" s="139"/>
    </row>
    <row r="539" spans="1:7" ht="15.75" customHeight="1">
      <c r="A539" s="72"/>
      <c r="B539" s="72"/>
      <c r="G539" s="139"/>
    </row>
    <row r="540" spans="1:7" ht="15.75" customHeight="1">
      <c r="A540" s="72"/>
      <c r="B540" s="72"/>
      <c r="G540" s="139"/>
    </row>
    <row r="541" spans="1:7" ht="15.75" customHeight="1">
      <c r="A541" s="72"/>
      <c r="B541" s="72"/>
      <c r="G541" s="139"/>
    </row>
    <row r="542" spans="1:7" ht="15.75" customHeight="1">
      <c r="A542" s="72"/>
      <c r="B542" s="72"/>
      <c r="G542" s="139"/>
    </row>
    <row r="543" spans="1:7" ht="15.75" customHeight="1">
      <c r="A543" s="72"/>
      <c r="B543" s="72"/>
      <c r="G543" s="139"/>
    </row>
    <row r="544" spans="1:7" ht="15.75" customHeight="1">
      <c r="A544" s="72"/>
      <c r="B544" s="72"/>
      <c r="G544" s="139"/>
    </row>
    <row r="545" spans="1:7" ht="15.75" customHeight="1">
      <c r="A545" s="72"/>
      <c r="B545" s="72"/>
      <c r="G545" s="139"/>
    </row>
    <row r="546" spans="1:7" ht="15.75" customHeight="1">
      <c r="A546" s="72"/>
      <c r="B546" s="72"/>
      <c r="G546" s="139"/>
    </row>
    <row r="547" spans="1:7" ht="15.75" customHeight="1">
      <c r="A547" s="72"/>
      <c r="B547" s="72"/>
      <c r="G547" s="139"/>
    </row>
    <row r="548" spans="1:7" ht="15.75" customHeight="1">
      <c r="A548" s="72"/>
      <c r="B548" s="72"/>
      <c r="G548" s="139"/>
    </row>
    <row r="549" spans="1:7" ht="15.75" customHeight="1">
      <c r="A549" s="72"/>
      <c r="B549" s="72"/>
      <c r="G549" s="139"/>
    </row>
    <row r="550" spans="1:7" ht="15.75" customHeight="1">
      <c r="A550" s="72"/>
      <c r="B550" s="72"/>
      <c r="G550" s="139"/>
    </row>
    <row r="551" spans="1:7" ht="15.75" customHeight="1">
      <c r="A551" s="72"/>
      <c r="B551" s="72"/>
      <c r="G551" s="139"/>
    </row>
    <row r="552" spans="1:7" ht="15.75" customHeight="1">
      <c r="A552" s="72"/>
      <c r="B552" s="72"/>
      <c r="G552" s="139"/>
    </row>
    <row r="553" spans="1:7" ht="15.75" customHeight="1">
      <c r="A553" s="72"/>
      <c r="B553" s="72"/>
      <c r="G553" s="139"/>
    </row>
    <row r="554" spans="1:7" ht="15.75" customHeight="1">
      <c r="A554" s="72"/>
      <c r="B554" s="72"/>
      <c r="G554" s="139"/>
    </row>
    <row r="555" spans="1:7" ht="15.75" customHeight="1">
      <c r="A555" s="72"/>
      <c r="B555" s="72"/>
      <c r="G555" s="139"/>
    </row>
    <row r="556" spans="1:7" ht="15.75" customHeight="1">
      <c r="A556" s="72"/>
      <c r="B556" s="72"/>
      <c r="G556" s="139"/>
    </row>
    <row r="557" spans="1:7" ht="15.75" customHeight="1">
      <c r="A557" s="72"/>
      <c r="B557" s="72"/>
      <c r="G557" s="139"/>
    </row>
    <row r="558" spans="1:7" ht="15.75" customHeight="1">
      <c r="A558" s="72"/>
      <c r="B558" s="72"/>
      <c r="G558" s="139"/>
    </row>
    <row r="559" spans="1:7" ht="15.75" customHeight="1">
      <c r="A559" s="72"/>
      <c r="B559" s="72"/>
      <c r="G559" s="139"/>
    </row>
    <row r="560" spans="1:7" ht="15.75" customHeight="1">
      <c r="A560" s="72"/>
      <c r="B560" s="72"/>
      <c r="G560" s="139"/>
    </row>
    <row r="561" spans="1:7" ht="15.75" customHeight="1">
      <c r="A561" s="72"/>
      <c r="B561" s="72"/>
      <c r="G561" s="139"/>
    </row>
    <row r="562" spans="1:7" ht="15.75" customHeight="1">
      <c r="A562" s="72"/>
      <c r="B562" s="72"/>
      <c r="G562" s="139"/>
    </row>
    <row r="563" spans="1:7" ht="15.75" customHeight="1">
      <c r="A563" s="72"/>
      <c r="B563" s="72"/>
      <c r="G563" s="139"/>
    </row>
    <row r="564" spans="1:7" ht="15.75" customHeight="1">
      <c r="A564" s="72"/>
      <c r="B564" s="72"/>
      <c r="G564" s="139"/>
    </row>
    <row r="565" spans="1:7" ht="15.75" customHeight="1">
      <c r="A565" s="72"/>
      <c r="B565" s="72"/>
      <c r="G565" s="139"/>
    </row>
    <row r="566" spans="1:7" ht="15.75" customHeight="1">
      <c r="A566" s="72"/>
      <c r="B566" s="72"/>
      <c r="G566" s="139"/>
    </row>
    <row r="567" spans="1:7" ht="15.75" customHeight="1">
      <c r="A567" s="72"/>
      <c r="B567" s="72"/>
      <c r="G567" s="139"/>
    </row>
    <row r="568" spans="1:7" ht="15.75" customHeight="1">
      <c r="A568" s="72"/>
      <c r="B568" s="72"/>
      <c r="G568" s="139"/>
    </row>
    <row r="569" spans="1:7" ht="15.75" customHeight="1">
      <c r="A569" s="72"/>
      <c r="B569" s="72"/>
      <c r="G569" s="139"/>
    </row>
    <row r="570" spans="1:7" ht="15.75" customHeight="1">
      <c r="A570" s="72"/>
      <c r="B570" s="72"/>
      <c r="G570" s="139"/>
    </row>
    <row r="571" spans="1:7" ht="15.75" customHeight="1">
      <c r="A571" s="72"/>
      <c r="B571" s="72"/>
      <c r="G571" s="139"/>
    </row>
    <row r="572" spans="1:7" ht="15.75" customHeight="1">
      <c r="A572" s="72"/>
      <c r="B572" s="72"/>
      <c r="G572" s="139"/>
    </row>
    <row r="573" spans="1:7" ht="15.75" customHeight="1">
      <c r="A573" s="72"/>
      <c r="B573" s="72"/>
      <c r="G573" s="139"/>
    </row>
    <row r="574" spans="1:7" ht="15.75" customHeight="1">
      <c r="A574" s="72"/>
      <c r="B574" s="72"/>
      <c r="G574" s="139"/>
    </row>
    <row r="575" spans="1:7" ht="15.75" customHeight="1">
      <c r="A575" s="72"/>
      <c r="B575" s="72"/>
      <c r="G575" s="139"/>
    </row>
    <row r="576" spans="1:7" ht="15.75" customHeight="1">
      <c r="A576" s="72"/>
      <c r="B576" s="72"/>
      <c r="G576" s="139"/>
    </row>
    <row r="577" spans="1:7" ht="15.75" customHeight="1">
      <c r="A577" s="72"/>
      <c r="B577" s="72"/>
      <c r="G577" s="139"/>
    </row>
    <row r="578" spans="1:7" ht="15.75" customHeight="1">
      <c r="A578" s="72"/>
      <c r="B578" s="72"/>
      <c r="G578" s="139"/>
    </row>
    <row r="579" spans="1:7" ht="15.75" customHeight="1">
      <c r="A579" s="72"/>
      <c r="B579" s="72"/>
      <c r="G579" s="139"/>
    </row>
    <row r="580" spans="1:7" ht="15.75" customHeight="1">
      <c r="A580" s="72"/>
      <c r="B580" s="72"/>
      <c r="G580" s="139"/>
    </row>
    <row r="581" spans="1:7" ht="15.75" customHeight="1">
      <c r="A581" s="72"/>
      <c r="B581" s="72"/>
      <c r="G581" s="139"/>
    </row>
    <row r="582" spans="1:7" ht="15.75" customHeight="1">
      <c r="A582" s="72"/>
      <c r="B582" s="72"/>
      <c r="G582" s="139"/>
    </row>
    <row r="583" spans="1:7" ht="15.75" customHeight="1">
      <c r="A583" s="72"/>
      <c r="B583" s="72"/>
      <c r="G583" s="139"/>
    </row>
    <row r="584" spans="1:7" ht="15.75" customHeight="1">
      <c r="A584" s="72"/>
      <c r="B584" s="72"/>
      <c r="G584" s="139"/>
    </row>
    <row r="585" spans="1:7" ht="15.75" customHeight="1">
      <c r="A585" s="72"/>
      <c r="B585" s="72"/>
      <c r="G585" s="139"/>
    </row>
    <row r="586" spans="1:7" ht="15.75" customHeight="1">
      <c r="A586" s="72"/>
      <c r="B586" s="72"/>
      <c r="G586" s="139"/>
    </row>
    <row r="587" spans="1:7" ht="15.75" customHeight="1">
      <c r="A587" s="72"/>
      <c r="B587" s="72"/>
      <c r="G587" s="139"/>
    </row>
    <row r="588" spans="1:7" ht="15.75" customHeight="1">
      <c r="A588" s="72"/>
      <c r="B588" s="72"/>
      <c r="G588" s="139"/>
    </row>
    <row r="589" spans="1:7" ht="15.75" customHeight="1">
      <c r="A589" s="72"/>
      <c r="B589" s="72"/>
      <c r="G589" s="139"/>
    </row>
    <row r="590" spans="1:7" ht="15.75" customHeight="1">
      <c r="A590" s="72"/>
      <c r="B590" s="72"/>
      <c r="G590" s="139"/>
    </row>
    <row r="591" spans="1:7" ht="15.75" customHeight="1">
      <c r="A591" s="72"/>
      <c r="B591" s="72"/>
      <c r="G591" s="139"/>
    </row>
    <row r="592" spans="1:7" ht="15.75" customHeight="1">
      <c r="A592" s="72"/>
      <c r="B592" s="72"/>
      <c r="G592" s="139"/>
    </row>
    <row r="593" spans="1:7" ht="15.75" customHeight="1">
      <c r="A593" s="72"/>
      <c r="B593" s="72"/>
      <c r="G593" s="139"/>
    </row>
    <row r="594" spans="1:7" ht="15.75" customHeight="1">
      <c r="A594" s="72"/>
      <c r="B594" s="72"/>
      <c r="G594" s="139"/>
    </row>
    <row r="595" spans="1:7" ht="15.75" customHeight="1">
      <c r="A595" s="72"/>
      <c r="B595" s="72"/>
      <c r="G595" s="139"/>
    </row>
    <row r="596" spans="1:7" ht="15.75" customHeight="1">
      <c r="A596" s="72"/>
      <c r="B596" s="72"/>
      <c r="G596" s="139"/>
    </row>
    <row r="597" spans="1:7" ht="15.75" customHeight="1">
      <c r="A597" s="72"/>
      <c r="B597" s="72"/>
      <c r="G597" s="139"/>
    </row>
    <row r="598" spans="1:7" ht="15.75" customHeight="1">
      <c r="A598" s="72"/>
      <c r="B598" s="72"/>
      <c r="G598" s="139"/>
    </row>
    <row r="599" spans="1:7" ht="15.75" customHeight="1">
      <c r="A599" s="72"/>
      <c r="B599" s="72"/>
      <c r="G599" s="139"/>
    </row>
    <row r="600" spans="1:7" ht="15.75" customHeight="1">
      <c r="A600" s="72"/>
      <c r="B600" s="72"/>
      <c r="G600" s="139"/>
    </row>
    <row r="601" spans="1:7" ht="15.75" customHeight="1">
      <c r="A601" s="72"/>
      <c r="B601" s="72"/>
      <c r="G601" s="139"/>
    </row>
    <row r="602" spans="1:7" ht="15.75" customHeight="1">
      <c r="A602" s="72"/>
      <c r="B602" s="72"/>
      <c r="G602" s="139"/>
    </row>
    <row r="603" spans="1:7" ht="15.75" customHeight="1">
      <c r="A603" s="72"/>
      <c r="B603" s="72"/>
      <c r="G603" s="139"/>
    </row>
    <row r="604" spans="1:7" ht="15.75" customHeight="1">
      <c r="A604" s="72"/>
      <c r="B604" s="72"/>
      <c r="G604" s="139"/>
    </row>
    <row r="605" spans="1:7" ht="15.75" customHeight="1">
      <c r="A605" s="72"/>
      <c r="B605" s="72"/>
      <c r="G605" s="139"/>
    </row>
    <row r="606" spans="1:7" ht="15.75" customHeight="1">
      <c r="A606" s="72"/>
      <c r="B606" s="72"/>
      <c r="G606" s="139"/>
    </row>
    <row r="607" spans="1:7" ht="15.75" customHeight="1">
      <c r="A607" s="72"/>
      <c r="B607" s="72"/>
      <c r="G607" s="139"/>
    </row>
    <row r="608" spans="1:7" ht="15.75" customHeight="1">
      <c r="A608" s="72"/>
      <c r="B608" s="72"/>
      <c r="G608" s="139"/>
    </row>
    <row r="609" spans="1:7" ht="15.75" customHeight="1">
      <c r="A609" s="72"/>
      <c r="B609" s="72"/>
      <c r="G609" s="139"/>
    </row>
    <row r="610" spans="1:7" ht="15.75" customHeight="1">
      <c r="A610" s="72"/>
      <c r="B610" s="72"/>
      <c r="G610" s="139"/>
    </row>
    <row r="611" spans="1:7" ht="15.75" customHeight="1">
      <c r="A611" s="72"/>
      <c r="B611" s="72"/>
      <c r="G611" s="139"/>
    </row>
    <row r="612" spans="1:7" ht="15.75" customHeight="1">
      <c r="A612" s="72"/>
      <c r="B612" s="72"/>
      <c r="G612" s="139"/>
    </row>
    <row r="613" spans="1:7" ht="15.75" customHeight="1">
      <c r="A613" s="72"/>
      <c r="B613" s="72"/>
      <c r="G613" s="139"/>
    </row>
    <row r="614" spans="1:7" ht="15.75" customHeight="1">
      <c r="A614" s="72"/>
      <c r="B614" s="72"/>
      <c r="G614" s="139"/>
    </row>
    <row r="615" spans="1:7" ht="15.75" customHeight="1">
      <c r="A615" s="72"/>
      <c r="B615" s="72"/>
      <c r="G615" s="139"/>
    </row>
    <row r="616" spans="1:7" ht="15.75" customHeight="1">
      <c r="A616" s="72"/>
      <c r="B616" s="72"/>
      <c r="G616" s="139"/>
    </row>
    <row r="617" spans="1:7" ht="15.75" customHeight="1">
      <c r="A617" s="72"/>
      <c r="B617" s="72"/>
      <c r="G617" s="139"/>
    </row>
    <row r="618" spans="1:7" ht="15.75" customHeight="1">
      <c r="A618" s="72"/>
      <c r="B618" s="72"/>
      <c r="G618" s="139"/>
    </row>
    <row r="619" spans="1:7" ht="15.75" customHeight="1">
      <c r="A619" s="72"/>
      <c r="B619" s="72"/>
      <c r="G619" s="139"/>
    </row>
    <row r="620" spans="1:7" ht="15.75" customHeight="1">
      <c r="A620" s="72"/>
      <c r="B620" s="72"/>
      <c r="G620" s="139"/>
    </row>
    <row r="621" spans="1:7" ht="15.75" customHeight="1">
      <c r="A621" s="72"/>
      <c r="B621" s="72"/>
      <c r="G621" s="139"/>
    </row>
    <row r="622" spans="1:7" ht="15.75" customHeight="1">
      <c r="A622" s="72"/>
      <c r="B622" s="72"/>
      <c r="G622" s="139"/>
    </row>
    <row r="623" spans="1:7" ht="15.75" customHeight="1">
      <c r="A623" s="72"/>
      <c r="B623" s="72"/>
      <c r="G623" s="139"/>
    </row>
    <row r="624" spans="1:7" ht="15.75" customHeight="1">
      <c r="A624" s="72"/>
      <c r="B624" s="72"/>
      <c r="G624" s="139"/>
    </row>
    <row r="625" spans="1:7" ht="15.75" customHeight="1">
      <c r="A625" s="72"/>
      <c r="B625" s="72"/>
      <c r="G625" s="139"/>
    </row>
    <row r="626" spans="1:7" ht="15.75" customHeight="1">
      <c r="A626" s="72"/>
      <c r="B626" s="72"/>
      <c r="G626" s="139"/>
    </row>
    <row r="627" spans="1:7" ht="15.75" customHeight="1">
      <c r="A627" s="72"/>
      <c r="B627" s="72"/>
      <c r="G627" s="139"/>
    </row>
    <row r="628" spans="1:7" ht="15.75" customHeight="1">
      <c r="A628" s="72"/>
      <c r="B628" s="72"/>
      <c r="G628" s="139"/>
    </row>
    <row r="629" spans="1:7" ht="15.75" customHeight="1">
      <c r="A629" s="72"/>
      <c r="B629" s="72"/>
      <c r="G629" s="139"/>
    </row>
    <row r="630" spans="1:7" ht="15.75" customHeight="1">
      <c r="A630" s="72"/>
      <c r="B630" s="72"/>
      <c r="G630" s="139"/>
    </row>
    <row r="631" spans="1:7" ht="15.75" customHeight="1">
      <c r="A631" s="72"/>
      <c r="B631" s="72"/>
      <c r="G631" s="139"/>
    </row>
    <row r="632" spans="1:7" ht="15.75" customHeight="1">
      <c r="A632" s="72"/>
      <c r="B632" s="72"/>
      <c r="G632" s="139"/>
    </row>
    <row r="633" spans="1:7" ht="15.75" customHeight="1">
      <c r="A633" s="72"/>
      <c r="B633" s="72"/>
      <c r="G633" s="139"/>
    </row>
    <row r="634" spans="1:7" ht="15.75" customHeight="1">
      <c r="A634" s="72"/>
      <c r="B634" s="72"/>
      <c r="G634" s="139"/>
    </row>
    <row r="635" spans="1:7" ht="15.75" customHeight="1">
      <c r="A635" s="72"/>
      <c r="B635" s="72"/>
      <c r="G635" s="139"/>
    </row>
    <row r="636" spans="1:7" ht="15.75" customHeight="1">
      <c r="A636" s="72"/>
      <c r="B636" s="72"/>
      <c r="G636" s="139"/>
    </row>
    <row r="637" spans="1:7" ht="15.75" customHeight="1">
      <c r="A637" s="72"/>
      <c r="B637" s="72"/>
      <c r="G637" s="139"/>
    </row>
    <row r="638" spans="1:7" ht="15.75" customHeight="1">
      <c r="A638" s="72"/>
      <c r="B638" s="72"/>
      <c r="G638" s="139"/>
    </row>
    <row r="639" spans="1:7" ht="15.75" customHeight="1">
      <c r="A639" s="72"/>
      <c r="B639" s="72"/>
      <c r="G639" s="139"/>
    </row>
    <row r="640" spans="1:7" ht="15.75" customHeight="1">
      <c r="A640" s="72"/>
      <c r="B640" s="72"/>
      <c r="G640" s="139"/>
    </row>
    <row r="641" spans="1:7" ht="15.75" customHeight="1">
      <c r="A641" s="72"/>
      <c r="B641" s="72"/>
      <c r="G641" s="139"/>
    </row>
    <row r="642" spans="1:7" ht="15.75" customHeight="1">
      <c r="A642" s="72"/>
      <c r="B642" s="72"/>
      <c r="G642" s="139"/>
    </row>
    <row r="643" spans="1:7" ht="15.75" customHeight="1">
      <c r="A643" s="72"/>
      <c r="B643" s="72"/>
      <c r="G643" s="139"/>
    </row>
    <row r="644" spans="1:7" ht="15.75" customHeight="1">
      <c r="A644" s="72"/>
      <c r="B644" s="72"/>
      <c r="G644" s="139"/>
    </row>
    <row r="645" spans="1:7" ht="15.75" customHeight="1">
      <c r="A645" s="72"/>
      <c r="B645" s="72"/>
      <c r="G645" s="139"/>
    </row>
    <row r="646" spans="1:7" ht="15.75" customHeight="1">
      <c r="A646" s="72"/>
      <c r="B646" s="72"/>
      <c r="G646" s="139"/>
    </row>
    <row r="647" spans="1:7" ht="15.75" customHeight="1">
      <c r="A647" s="72"/>
      <c r="B647" s="72"/>
      <c r="G647" s="139"/>
    </row>
    <row r="648" spans="1:7" ht="15.75" customHeight="1">
      <c r="A648" s="72"/>
      <c r="B648" s="72"/>
      <c r="G648" s="139"/>
    </row>
    <row r="649" spans="1:7" ht="15.75" customHeight="1">
      <c r="A649" s="72"/>
      <c r="B649" s="72"/>
      <c r="G649" s="139"/>
    </row>
    <row r="650" spans="1:7" ht="15.75" customHeight="1">
      <c r="A650" s="72"/>
      <c r="B650" s="72"/>
      <c r="G650" s="139"/>
    </row>
    <row r="651" spans="1:7" ht="15.75" customHeight="1">
      <c r="A651" s="72"/>
      <c r="B651" s="72"/>
      <c r="G651" s="139"/>
    </row>
    <row r="652" spans="1:7" ht="15.75" customHeight="1">
      <c r="A652" s="72"/>
      <c r="B652" s="72"/>
      <c r="G652" s="139"/>
    </row>
    <row r="653" spans="1:7" ht="15.75" customHeight="1">
      <c r="A653" s="72"/>
      <c r="B653" s="72"/>
      <c r="G653" s="139"/>
    </row>
    <row r="654" spans="1:7" ht="15.75" customHeight="1">
      <c r="A654" s="72"/>
      <c r="B654" s="72"/>
      <c r="G654" s="139"/>
    </row>
    <row r="655" spans="1:7" ht="15.75" customHeight="1">
      <c r="A655" s="72"/>
      <c r="B655" s="72"/>
      <c r="G655" s="139"/>
    </row>
    <row r="656" spans="1:7" ht="15.75" customHeight="1">
      <c r="A656" s="72"/>
      <c r="B656" s="72"/>
      <c r="G656" s="139"/>
    </row>
    <row r="657" spans="1:7" ht="15.75" customHeight="1">
      <c r="A657" s="72"/>
      <c r="B657" s="72"/>
      <c r="G657" s="139"/>
    </row>
    <row r="658" spans="1:7" ht="15.75" customHeight="1">
      <c r="A658" s="72"/>
      <c r="B658" s="72"/>
      <c r="G658" s="139"/>
    </row>
    <row r="659" spans="1:7" ht="15.75" customHeight="1">
      <c r="A659" s="72"/>
      <c r="B659" s="72"/>
      <c r="G659" s="139"/>
    </row>
    <row r="660" spans="1:7" ht="15.75" customHeight="1">
      <c r="A660" s="72"/>
      <c r="B660" s="72"/>
      <c r="G660" s="139"/>
    </row>
    <row r="661" spans="1:7" ht="15.75" customHeight="1">
      <c r="A661" s="72"/>
      <c r="B661" s="72"/>
      <c r="G661" s="139"/>
    </row>
    <row r="662" spans="1:7" ht="15.75" customHeight="1">
      <c r="A662" s="72"/>
      <c r="B662" s="72"/>
      <c r="G662" s="139"/>
    </row>
    <row r="663" spans="1:7" ht="15.75" customHeight="1">
      <c r="A663" s="72"/>
      <c r="B663" s="72"/>
      <c r="G663" s="139"/>
    </row>
    <row r="664" spans="1:7" ht="15.75" customHeight="1">
      <c r="A664" s="72"/>
      <c r="B664" s="72"/>
      <c r="G664" s="139"/>
    </row>
    <row r="665" spans="1:7" ht="15.75" customHeight="1">
      <c r="A665" s="72"/>
      <c r="B665" s="72"/>
      <c r="G665" s="139"/>
    </row>
    <row r="666" spans="1:7" ht="15.75" customHeight="1">
      <c r="A666" s="72"/>
      <c r="B666" s="72"/>
      <c r="G666" s="139"/>
    </row>
    <row r="667" spans="1:7" ht="15.75" customHeight="1">
      <c r="A667" s="72"/>
      <c r="B667" s="72"/>
      <c r="G667" s="139"/>
    </row>
    <row r="668" spans="1:7" ht="15.75" customHeight="1">
      <c r="A668" s="72"/>
      <c r="B668" s="72"/>
      <c r="G668" s="139"/>
    </row>
    <row r="669" spans="1:7" ht="15.75" customHeight="1">
      <c r="A669" s="72"/>
      <c r="B669" s="72"/>
      <c r="G669" s="139"/>
    </row>
    <row r="670" spans="1:7" ht="15.75" customHeight="1">
      <c r="A670" s="72"/>
      <c r="B670" s="72"/>
      <c r="G670" s="139"/>
    </row>
    <row r="671" spans="1:7" ht="15.75" customHeight="1">
      <c r="A671" s="72"/>
      <c r="B671" s="72"/>
      <c r="G671" s="139"/>
    </row>
    <row r="672" spans="1:7" ht="15.75" customHeight="1">
      <c r="A672" s="72"/>
      <c r="B672" s="72"/>
      <c r="G672" s="139"/>
    </row>
    <row r="673" spans="1:7" ht="15.75" customHeight="1">
      <c r="A673" s="72"/>
      <c r="B673" s="72"/>
      <c r="G673" s="139"/>
    </row>
    <row r="674" spans="1:7" ht="15.75" customHeight="1">
      <c r="A674" s="72"/>
      <c r="B674" s="72"/>
      <c r="G674" s="139"/>
    </row>
    <row r="675" spans="1:7" ht="15.75" customHeight="1">
      <c r="A675" s="72"/>
      <c r="B675" s="72"/>
      <c r="G675" s="139"/>
    </row>
    <row r="676" spans="1:7" ht="15.75" customHeight="1">
      <c r="A676" s="72"/>
      <c r="B676" s="72"/>
      <c r="G676" s="139"/>
    </row>
    <row r="677" spans="1:7" ht="15.75" customHeight="1">
      <c r="A677" s="72"/>
      <c r="B677" s="72"/>
      <c r="G677" s="139"/>
    </row>
    <row r="678" spans="1:7" ht="15.75" customHeight="1">
      <c r="A678" s="72"/>
      <c r="B678" s="72"/>
      <c r="G678" s="139"/>
    </row>
    <row r="679" spans="1:7" ht="15.75" customHeight="1">
      <c r="A679" s="72"/>
      <c r="B679" s="72"/>
      <c r="G679" s="139"/>
    </row>
    <row r="680" spans="1:7" ht="15.75" customHeight="1">
      <c r="A680" s="72"/>
      <c r="B680" s="72"/>
      <c r="G680" s="139"/>
    </row>
    <row r="681" spans="1:7" ht="15.75" customHeight="1">
      <c r="A681" s="72"/>
      <c r="B681" s="72"/>
      <c r="G681" s="139"/>
    </row>
    <row r="682" spans="1:7" ht="15.75" customHeight="1">
      <c r="A682" s="72"/>
      <c r="B682" s="72"/>
      <c r="G682" s="139"/>
    </row>
    <row r="683" spans="1:7" ht="15.75" customHeight="1">
      <c r="A683" s="72"/>
      <c r="B683" s="72"/>
      <c r="G683" s="139"/>
    </row>
    <row r="684" spans="1:7" ht="15.75" customHeight="1">
      <c r="A684" s="72"/>
      <c r="B684" s="72"/>
      <c r="G684" s="139"/>
    </row>
    <row r="685" spans="1:7" ht="15.75" customHeight="1">
      <c r="A685" s="72"/>
      <c r="B685" s="72"/>
      <c r="G685" s="139"/>
    </row>
    <row r="686" spans="1:7" ht="15.75" customHeight="1">
      <c r="A686" s="72"/>
      <c r="B686" s="72"/>
      <c r="G686" s="139"/>
    </row>
    <row r="687" spans="1:7" ht="15.75" customHeight="1">
      <c r="A687" s="72"/>
      <c r="B687" s="72"/>
      <c r="G687" s="139"/>
    </row>
    <row r="688" spans="1:7" ht="15.75" customHeight="1">
      <c r="A688" s="72"/>
      <c r="B688" s="72"/>
      <c r="G688" s="139"/>
    </row>
    <row r="689" spans="1:7" ht="15.75" customHeight="1">
      <c r="A689" s="72"/>
      <c r="B689" s="72"/>
      <c r="G689" s="139"/>
    </row>
    <row r="690" spans="1:7" ht="15.75" customHeight="1">
      <c r="A690" s="72"/>
      <c r="B690" s="72"/>
      <c r="G690" s="139"/>
    </row>
    <row r="691" spans="1:7" ht="15.75" customHeight="1">
      <c r="A691" s="72"/>
      <c r="B691" s="72"/>
      <c r="G691" s="139"/>
    </row>
    <row r="692" spans="1:7" ht="15.75" customHeight="1">
      <c r="A692" s="72"/>
      <c r="B692" s="72"/>
      <c r="G692" s="139"/>
    </row>
    <row r="693" spans="1:7" ht="15.75" customHeight="1">
      <c r="A693" s="72"/>
      <c r="B693" s="72"/>
      <c r="G693" s="139"/>
    </row>
    <row r="694" spans="1:7" ht="15.75" customHeight="1">
      <c r="A694" s="72"/>
      <c r="B694" s="72"/>
      <c r="G694" s="139"/>
    </row>
    <row r="695" spans="1:7" ht="15.75" customHeight="1">
      <c r="A695" s="72"/>
      <c r="B695" s="72"/>
      <c r="G695" s="139"/>
    </row>
    <row r="696" spans="1:7" ht="15.75" customHeight="1">
      <c r="A696" s="72"/>
      <c r="B696" s="72"/>
      <c r="G696" s="139"/>
    </row>
    <row r="697" spans="1:7" ht="15.75" customHeight="1">
      <c r="A697" s="72"/>
      <c r="B697" s="72"/>
      <c r="G697" s="139"/>
    </row>
    <row r="698" spans="1:7" ht="15.75" customHeight="1">
      <c r="A698" s="72"/>
      <c r="B698" s="72"/>
      <c r="G698" s="139"/>
    </row>
    <row r="699" spans="1:7" ht="15.75" customHeight="1">
      <c r="A699" s="72"/>
      <c r="B699" s="72"/>
      <c r="G699" s="139"/>
    </row>
    <row r="700" spans="1:7" ht="15.75" customHeight="1">
      <c r="A700" s="72"/>
      <c r="B700" s="72"/>
      <c r="G700" s="139"/>
    </row>
    <row r="701" spans="1:7" ht="15.75" customHeight="1">
      <c r="A701" s="72"/>
      <c r="B701" s="72"/>
      <c r="G701" s="139"/>
    </row>
    <row r="702" spans="1:7" ht="15.75" customHeight="1">
      <c r="A702" s="72"/>
      <c r="B702" s="72"/>
      <c r="G702" s="139"/>
    </row>
    <row r="703" spans="1:7" ht="15.75" customHeight="1">
      <c r="A703" s="72"/>
      <c r="B703" s="72"/>
      <c r="G703" s="139"/>
    </row>
    <row r="704" spans="1:7" ht="15.75" customHeight="1">
      <c r="A704" s="72"/>
      <c r="B704" s="72"/>
      <c r="G704" s="139"/>
    </row>
    <row r="705" spans="1:7" ht="15.75" customHeight="1">
      <c r="A705" s="72"/>
      <c r="B705" s="72"/>
      <c r="G705" s="139"/>
    </row>
    <row r="706" spans="1:7" ht="15.75" customHeight="1">
      <c r="A706" s="72"/>
      <c r="B706" s="72"/>
      <c r="G706" s="139"/>
    </row>
    <row r="707" spans="1:7" ht="15.75" customHeight="1">
      <c r="A707" s="72"/>
      <c r="B707" s="72"/>
      <c r="G707" s="139"/>
    </row>
    <row r="708" spans="1:7" ht="15.75" customHeight="1">
      <c r="A708" s="72"/>
      <c r="B708" s="72"/>
      <c r="G708" s="139"/>
    </row>
    <row r="709" spans="1:7" ht="15.75" customHeight="1">
      <c r="A709" s="72"/>
      <c r="B709" s="72"/>
      <c r="G709" s="139"/>
    </row>
    <row r="710" spans="1:7" ht="15.75" customHeight="1">
      <c r="A710" s="72"/>
      <c r="B710" s="72"/>
      <c r="G710" s="139"/>
    </row>
    <row r="711" spans="1:7" ht="15.75" customHeight="1">
      <c r="A711" s="72"/>
      <c r="B711" s="72"/>
      <c r="G711" s="139"/>
    </row>
    <row r="712" spans="1:7" ht="15.75" customHeight="1">
      <c r="A712" s="72"/>
      <c r="B712" s="72"/>
      <c r="G712" s="139"/>
    </row>
    <row r="713" spans="1:7" ht="15.75" customHeight="1">
      <c r="A713" s="72"/>
      <c r="B713" s="72"/>
      <c r="G713" s="139"/>
    </row>
    <row r="714" spans="1:7" ht="15.75" customHeight="1">
      <c r="A714" s="72"/>
      <c r="B714" s="72"/>
      <c r="G714" s="139"/>
    </row>
    <row r="715" spans="1:7" ht="15.75" customHeight="1">
      <c r="A715" s="72"/>
      <c r="B715" s="72"/>
      <c r="G715" s="139"/>
    </row>
    <row r="716" spans="1:7" ht="15.75" customHeight="1">
      <c r="A716" s="72"/>
      <c r="B716" s="72"/>
      <c r="G716" s="139"/>
    </row>
    <row r="717" spans="1:7" ht="15.75" customHeight="1">
      <c r="A717" s="72"/>
      <c r="B717" s="72"/>
      <c r="G717" s="139"/>
    </row>
    <row r="718" spans="1:7" ht="15.75" customHeight="1">
      <c r="A718" s="72"/>
      <c r="B718" s="72"/>
      <c r="G718" s="139"/>
    </row>
    <row r="719" spans="1:7" ht="15.75" customHeight="1">
      <c r="A719" s="72"/>
      <c r="B719" s="72"/>
      <c r="G719" s="139"/>
    </row>
    <row r="720" spans="1:7" ht="15.75" customHeight="1">
      <c r="A720" s="72"/>
      <c r="B720" s="72"/>
      <c r="G720" s="139"/>
    </row>
    <row r="721" spans="1:7" ht="15.75" customHeight="1">
      <c r="A721" s="72"/>
      <c r="B721" s="72"/>
      <c r="G721" s="139"/>
    </row>
    <row r="722" spans="1:7" ht="15.75" customHeight="1">
      <c r="A722" s="72"/>
      <c r="B722" s="72"/>
      <c r="G722" s="139"/>
    </row>
    <row r="723" spans="1:7" ht="15.75" customHeight="1">
      <c r="A723" s="72"/>
      <c r="B723" s="72"/>
      <c r="G723" s="139"/>
    </row>
    <row r="724" spans="1:7" ht="15.75" customHeight="1">
      <c r="A724" s="72"/>
      <c r="B724" s="72"/>
      <c r="G724" s="139"/>
    </row>
    <row r="725" spans="1:7" ht="15.75" customHeight="1">
      <c r="A725" s="72"/>
      <c r="B725" s="72"/>
      <c r="G725" s="139"/>
    </row>
    <row r="726" spans="1:7" ht="15.75" customHeight="1">
      <c r="A726" s="72"/>
      <c r="B726" s="72"/>
      <c r="G726" s="139"/>
    </row>
    <row r="727" spans="1:7" ht="15.75" customHeight="1">
      <c r="A727" s="72"/>
      <c r="B727" s="72"/>
      <c r="G727" s="139"/>
    </row>
    <row r="728" spans="1:7" ht="15.75" customHeight="1">
      <c r="A728" s="72"/>
      <c r="B728" s="72"/>
      <c r="G728" s="139"/>
    </row>
    <row r="729" spans="1:7" ht="15.75" customHeight="1">
      <c r="A729" s="72"/>
      <c r="B729" s="72"/>
      <c r="G729" s="139"/>
    </row>
    <row r="730" spans="1:7" ht="15.75" customHeight="1">
      <c r="A730" s="72"/>
      <c r="B730" s="72"/>
      <c r="G730" s="139"/>
    </row>
    <row r="731" spans="1:7" ht="15.75" customHeight="1">
      <c r="A731" s="72"/>
      <c r="B731" s="72"/>
      <c r="G731" s="139"/>
    </row>
    <row r="732" spans="1:7" ht="15.75" customHeight="1">
      <c r="A732" s="72"/>
      <c r="B732" s="72"/>
      <c r="G732" s="139"/>
    </row>
    <row r="733" spans="1:7" ht="15.75" customHeight="1">
      <c r="A733" s="72"/>
      <c r="B733" s="72"/>
      <c r="G733" s="139"/>
    </row>
    <row r="734" spans="1:7" ht="15.75" customHeight="1">
      <c r="A734" s="72"/>
      <c r="B734" s="72"/>
      <c r="G734" s="139"/>
    </row>
    <row r="735" spans="1:7" ht="15.75" customHeight="1">
      <c r="A735" s="72"/>
      <c r="B735" s="72"/>
      <c r="G735" s="139"/>
    </row>
    <row r="736" spans="1:7" ht="15.75" customHeight="1">
      <c r="A736" s="72"/>
      <c r="B736" s="72"/>
      <c r="G736" s="139"/>
    </row>
    <row r="737" spans="1:7" ht="15.75" customHeight="1">
      <c r="A737" s="72"/>
      <c r="B737" s="72"/>
      <c r="G737" s="139"/>
    </row>
    <row r="738" spans="1:7" ht="15.75" customHeight="1">
      <c r="A738" s="72"/>
      <c r="B738" s="72"/>
      <c r="G738" s="139"/>
    </row>
    <row r="739" spans="1:7" ht="15.75" customHeight="1">
      <c r="A739" s="72"/>
      <c r="B739" s="72"/>
      <c r="G739" s="139"/>
    </row>
    <row r="740" spans="1:7" ht="15.75" customHeight="1">
      <c r="A740" s="72"/>
      <c r="B740" s="72"/>
      <c r="G740" s="139"/>
    </row>
    <row r="741" spans="1:7" ht="15.75" customHeight="1">
      <c r="A741" s="72"/>
      <c r="B741" s="72"/>
      <c r="G741" s="139"/>
    </row>
    <row r="742" spans="1:7" ht="15.75" customHeight="1">
      <c r="A742" s="72"/>
      <c r="B742" s="72"/>
      <c r="G742" s="139"/>
    </row>
    <row r="743" spans="1:7" ht="15.75" customHeight="1">
      <c r="A743" s="72"/>
      <c r="B743" s="72"/>
      <c r="G743" s="139"/>
    </row>
    <row r="744" spans="1:7" ht="15.75" customHeight="1">
      <c r="A744" s="72"/>
      <c r="B744" s="72"/>
      <c r="G744" s="139"/>
    </row>
    <row r="745" spans="1:7" ht="15.75" customHeight="1">
      <c r="A745" s="72"/>
      <c r="B745" s="72"/>
      <c r="G745" s="139"/>
    </row>
    <row r="746" spans="1:7" ht="15.75" customHeight="1">
      <c r="A746" s="72"/>
      <c r="B746" s="72"/>
      <c r="G746" s="139"/>
    </row>
    <row r="747" spans="1:7" ht="15.75" customHeight="1">
      <c r="A747" s="72"/>
      <c r="B747" s="72"/>
      <c r="G747" s="139"/>
    </row>
    <row r="748" spans="1:7" ht="15.75" customHeight="1">
      <c r="A748" s="72"/>
      <c r="B748" s="72"/>
      <c r="G748" s="139"/>
    </row>
    <row r="749" spans="1:7" ht="15.75" customHeight="1">
      <c r="A749" s="72"/>
      <c r="B749" s="72"/>
      <c r="G749" s="139"/>
    </row>
    <row r="750" spans="1:7" ht="15.75" customHeight="1">
      <c r="A750" s="72"/>
      <c r="B750" s="72"/>
      <c r="G750" s="139"/>
    </row>
    <row r="751" spans="1:7" ht="15.75" customHeight="1">
      <c r="A751" s="72"/>
      <c r="B751" s="72"/>
      <c r="G751" s="139"/>
    </row>
    <row r="752" spans="1:7" ht="15.75" customHeight="1">
      <c r="A752" s="72"/>
      <c r="B752" s="72"/>
      <c r="G752" s="139"/>
    </row>
    <row r="753" spans="1:7" ht="15.75" customHeight="1">
      <c r="A753" s="72"/>
      <c r="B753" s="72"/>
      <c r="G753" s="139"/>
    </row>
    <row r="754" spans="1:7" ht="15.75" customHeight="1">
      <c r="A754" s="72"/>
      <c r="B754" s="72"/>
      <c r="G754" s="139"/>
    </row>
    <row r="755" spans="1:7" ht="15.75" customHeight="1">
      <c r="A755" s="72"/>
      <c r="B755" s="72"/>
      <c r="G755" s="139"/>
    </row>
    <row r="756" spans="1:7" ht="15.75" customHeight="1">
      <c r="A756" s="72"/>
      <c r="B756" s="72"/>
      <c r="G756" s="139"/>
    </row>
    <row r="757" spans="1:7" ht="15.75" customHeight="1">
      <c r="A757" s="72"/>
      <c r="B757" s="72"/>
      <c r="G757" s="139"/>
    </row>
    <row r="758" spans="1:7" ht="15.75" customHeight="1">
      <c r="A758" s="72"/>
      <c r="B758" s="72"/>
      <c r="G758" s="139"/>
    </row>
    <row r="759" spans="1:7" ht="15.75" customHeight="1">
      <c r="A759" s="72"/>
      <c r="B759" s="72"/>
      <c r="G759" s="139"/>
    </row>
    <row r="760" spans="1:7" ht="15.75" customHeight="1">
      <c r="A760" s="72"/>
      <c r="B760" s="72"/>
      <c r="G760" s="139"/>
    </row>
    <row r="761" spans="1:7" ht="15.75" customHeight="1">
      <c r="A761" s="72"/>
      <c r="B761" s="72"/>
      <c r="G761" s="139"/>
    </row>
    <row r="762" spans="1:7" ht="15.75" customHeight="1">
      <c r="A762" s="72"/>
      <c r="B762" s="72"/>
      <c r="G762" s="139"/>
    </row>
    <row r="763" spans="1:7" ht="15.75" customHeight="1">
      <c r="A763" s="72"/>
      <c r="B763" s="72"/>
      <c r="G763" s="139"/>
    </row>
    <row r="764" spans="1:7" ht="15.75" customHeight="1">
      <c r="A764" s="72"/>
      <c r="B764" s="72"/>
      <c r="G764" s="139"/>
    </row>
    <row r="765" spans="1:7" ht="15.75" customHeight="1">
      <c r="A765" s="72"/>
      <c r="B765" s="72"/>
      <c r="G765" s="139"/>
    </row>
    <row r="766" spans="1:7" ht="15.75" customHeight="1">
      <c r="A766" s="72"/>
      <c r="B766" s="72"/>
      <c r="G766" s="139"/>
    </row>
    <row r="767" spans="1:7" ht="15.75" customHeight="1">
      <c r="A767" s="72"/>
      <c r="B767" s="72"/>
      <c r="G767" s="139"/>
    </row>
    <row r="768" spans="1:7" ht="15.75" customHeight="1">
      <c r="A768" s="72"/>
      <c r="B768" s="72"/>
      <c r="G768" s="139"/>
    </row>
    <row r="769" spans="1:7" ht="15.75" customHeight="1">
      <c r="A769" s="72"/>
      <c r="B769" s="72"/>
      <c r="G769" s="139"/>
    </row>
    <row r="770" spans="1:7" ht="15.75" customHeight="1">
      <c r="A770" s="72"/>
      <c r="B770" s="72"/>
      <c r="G770" s="139"/>
    </row>
    <row r="771" spans="1:7" ht="15.75" customHeight="1">
      <c r="A771" s="72"/>
      <c r="B771" s="72"/>
      <c r="G771" s="139"/>
    </row>
    <row r="772" spans="1:7" ht="15.75" customHeight="1">
      <c r="A772" s="72"/>
      <c r="B772" s="72"/>
      <c r="G772" s="139"/>
    </row>
    <row r="773" spans="1:7" ht="15.75" customHeight="1">
      <c r="A773" s="72"/>
      <c r="B773" s="72"/>
      <c r="G773" s="139"/>
    </row>
    <row r="774" spans="1:7" ht="15.75" customHeight="1">
      <c r="A774" s="72"/>
      <c r="B774" s="72"/>
      <c r="G774" s="139"/>
    </row>
    <row r="775" spans="1:7" ht="15.75" customHeight="1">
      <c r="A775" s="72"/>
      <c r="B775" s="72"/>
      <c r="G775" s="139"/>
    </row>
    <row r="776" spans="1:7" ht="15.75" customHeight="1">
      <c r="A776" s="72"/>
      <c r="B776" s="72"/>
      <c r="G776" s="139"/>
    </row>
    <row r="777" spans="1:7" ht="15.75" customHeight="1">
      <c r="A777" s="72"/>
      <c r="B777" s="72"/>
      <c r="G777" s="139"/>
    </row>
    <row r="778" spans="1:7" ht="15.75" customHeight="1">
      <c r="A778" s="72"/>
      <c r="B778" s="72"/>
      <c r="G778" s="139"/>
    </row>
    <row r="779" spans="1:7" ht="15.75" customHeight="1">
      <c r="A779" s="72"/>
      <c r="B779" s="72"/>
      <c r="G779" s="139"/>
    </row>
    <row r="780" spans="1:7" ht="15.75" customHeight="1">
      <c r="A780" s="72"/>
      <c r="B780" s="72"/>
      <c r="G780" s="139"/>
    </row>
    <row r="781" spans="1:7" ht="15.75" customHeight="1">
      <c r="A781" s="72"/>
      <c r="B781" s="72"/>
      <c r="G781" s="139"/>
    </row>
    <row r="782" spans="1:7" ht="15.75" customHeight="1">
      <c r="A782" s="72"/>
      <c r="B782" s="72"/>
      <c r="G782" s="139"/>
    </row>
    <row r="783" spans="1:7" ht="15.75" customHeight="1">
      <c r="A783" s="72"/>
      <c r="B783" s="72"/>
      <c r="G783" s="139"/>
    </row>
    <row r="784" spans="1:7" ht="15.75" customHeight="1">
      <c r="A784" s="72"/>
      <c r="B784" s="72"/>
      <c r="G784" s="139"/>
    </row>
    <row r="785" spans="1:7" ht="15.75" customHeight="1">
      <c r="A785" s="72"/>
      <c r="B785" s="72"/>
      <c r="G785" s="139"/>
    </row>
    <row r="786" spans="1:7" ht="15.75" customHeight="1">
      <c r="A786" s="72"/>
      <c r="B786" s="72"/>
      <c r="G786" s="139"/>
    </row>
    <row r="787" spans="1:7" ht="15.75" customHeight="1">
      <c r="A787" s="72"/>
      <c r="B787" s="72"/>
      <c r="G787" s="139"/>
    </row>
    <row r="788" spans="1:7" ht="15.75" customHeight="1">
      <c r="A788" s="72"/>
      <c r="B788" s="72"/>
      <c r="G788" s="139"/>
    </row>
    <row r="789" spans="1:7" ht="15.75" customHeight="1">
      <c r="A789" s="72"/>
      <c r="B789" s="72"/>
      <c r="G789" s="139"/>
    </row>
    <row r="790" spans="1:7" ht="15.75" customHeight="1">
      <c r="A790" s="72"/>
      <c r="B790" s="72"/>
      <c r="G790" s="139"/>
    </row>
    <row r="791" spans="1:7" ht="15.75" customHeight="1">
      <c r="A791" s="72"/>
      <c r="B791" s="72"/>
      <c r="G791" s="139"/>
    </row>
    <row r="792" spans="1:7" ht="15.75" customHeight="1">
      <c r="A792" s="72"/>
      <c r="B792" s="72"/>
      <c r="G792" s="139"/>
    </row>
    <row r="793" spans="1:7" ht="15.75" customHeight="1">
      <c r="A793" s="72"/>
      <c r="B793" s="72"/>
      <c r="G793" s="139"/>
    </row>
    <row r="794" spans="1:7" ht="15.75" customHeight="1">
      <c r="A794" s="72"/>
      <c r="B794" s="72"/>
      <c r="G794" s="139"/>
    </row>
    <row r="795" spans="1:7" ht="15.75" customHeight="1">
      <c r="A795" s="72"/>
      <c r="B795" s="72"/>
      <c r="G795" s="139"/>
    </row>
    <row r="796" spans="1:7" ht="15.75" customHeight="1">
      <c r="A796" s="72"/>
      <c r="B796" s="72"/>
      <c r="G796" s="139"/>
    </row>
    <row r="797" spans="1:7" ht="15.75" customHeight="1">
      <c r="A797" s="72"/>
      <c r="B797" s="72"/>
      <c r="G797" s="139"/>
    </row>
    <row r="798" spans="1:7" ht="15.75" customHeight="1">
      <c r="A798" s="72"/>
      <c r="B798" s="72"/>
      <c r="G798" s="139"/>
    </row>
    <row r="799" spans="1:7" ht="15.75" customHeight="1">
      <c r="A799" s="72"/>
      <c r="B799" s="72"/>
      <c r="G799" s="139"/>
    </row>
    <row r="800" spans="1:7" ht="15.75" customHeight="1">
      <c r="A800" s="72"/>
      <c r="B800" s="72"/>
      <c r="G800" s="139"/>
    </row>
    <row r="801" spans="1:7" ht="15.75" customHeight="1">
      <c r="A801" s="72"/>
      <c r="B801" s="72"/>
      <c r="G801" s="139"/>
    </row>
    <row r="802" spans="1:7" ht="15.75" customHeight="1">
      <c r="A802" s="72"/>
      <c r="B802" s="72"/>
      <c r="G802" s="139"/>
    </row>
    <row r="803" spans="1:7" ht="15.75" customHeight="1">
      <c r="A803" s="72"/>
      <c r="B803" s="72"/>
      <c r="G803" s="139"/>
    </row>
    <row r="804" spans="1:7" ht="15.75" customHeight="1">
      <c r="A804" s="72"/>
      <c r="B804" s="72"/>
      <c r="G804" s="139"/>
    </row>
    <row r="805" spans="1:7" ht="15.75" customHeight="1">
      <c r="A805" s="72"/>
      <c r="B805" s="72"/>
      <c r="G805" s="139"/>
    </row>
    <row r="806" spans="1:7" ht="15.75" customHeight="1">
      <c r="A806" s="72"/>
      <c r="B806" s="72"/>
      <c r="G806" s="139"/>
    </row>
    <row r="807" spans="1:7" ht="15.75" customHeight="1">
      <c r="A807" s="72"/>
      <c r="B807" s="72"/>
      <c r="G807" s="139"/>
    </row>
    <row r="808" spans="1:7" ht="15.75" customHeight="1">
      <c r="A808" s="72"/>
      <c r="B808" s="72"/>
      <c r="G808" s="139"/>
    </row>
    <row r="809" spans="1:7" ht="15.75" customHeight="1">
      <c r="A809" s="72"/>
      <c r="B809" s="72"/>
      <c r="G809" s="139"/>
    </row>
    <row r="810" spans="1:7" ht="15.75" customHeight="1">
      <c r="A810" s="72"/>
      <c r="B810" s="72"/>
      <c r="G810" s="139"/>
    </row>
    <row r="811" spans="1:7" ht="15.75" customHeight="1">
      <c r="A811" s="72"/>
      <c r="B811" s="72"/>
      <c r="G811" s="139"/>
    </row>
    <row r="812" spans="1:7" ht="15.75" customHeight="1">
      <c r="A812" s="72"/>
      <c r="B812" s="72"/>
      <c r="G812" s="139"/>
    </row>
    <row r="813" spans="1:7" ht="15.75" customHeight="1">
      <c r="A813" s="72"/>
      <c r="B813" s="72"/>
      <c r="G813" s="139"/>
    </row>
    <row r="814" spans="1:7" ht="15.75" customHeight="1">
      <c r="A814" s="72"/>
      <c r="B814" s="72"/>
      <c r="G814" s="139"/>
    </row>
    <row r="815" spans="1:7" ht="15.75" customHeight="1">
      <c r="A815" s="72"/>
      <c r="B815" s="72"/>
      <c r="G815" s="139"/>
    </row>
    <row r="816" spans="1:7" ht="15.75" customHeight="1">
      <c r="A816" s="72"/>
      <c r="B816" s="72"/>
      <c r="G816" s="139"/>
    </row>
    <row r="817" spans="1:7" ht="15.75" customHeight="1">
      <c r="A817" s="72"/>
      <c r="B817" s="72"/>
      <c r="G817" s="139"/>
    </row>
    <row r="818" spans="1:7" ht="15.75" customHeight="1">
      <c r="A818" s="72"/>
      <c r="B818" s="72"/>
      <c r="G818" s="139"/>
    </row>
    <row r="819" spans="1:7" ht="15.75" customHeight="1">
      <c r="A819" s="72"/>
      <c r="B819" s="72"/>
      <c r="G819" s="139"/>
    </row>
    <row r="820" spans="1:7" ht="15.75" customHeight="1">
      <c r="A820" s="72"/>
      <c r="B820" s="72"/>
      <c r="G820" s="139"/>
    </row>
    <row r="821" spans="1:7" ht="15.75" customHeight="1">
      <c r="A821" s="72"/>
      <c r="B821" s="72"/>
      <c r="G821" s="139"/>
    </row>
    <row r="822" spans="1:7" ht="15.75" customHeight="1">
      <c r="A822" s="72"/>
      <c r="B822" s="72"/>
      <c r="G822" s="139"/>
    </row>
    <row r="823" spans="1:7" ht="15.75" customHeight="1">
      <c r="A823" s="72"/>
      <c r="B823" s="72"/>
      <c r="G823" s="139"/>
    </row>
    <row r="824" spans="1:7" ht="15.75" customHeight="1">
      <c r="A824" s="72"/>
      <c r="B824" s="72"/>
      <c r="G824" s="139"/>
    </row>
    <row r="825" spans="1:7" ht="15.75" customHeight="1">
      <c r="A825" s="72"/>
      <c r="B825" s="72"/>
      <c r="G825" s="139"/>
    </row>
    <row r="826" spans="1:7" ht="15.75" customHeight="1">
      <c r="A826" s="72"/>
      <c r="B826" s="72"/>
      <c r="G826" s="139"/>
    </row>
    <row r="827" spans="1:7" ht="15.75" customHeight="1">
      <c r="A827" s="72"/>
      <c r="B827" s="72"/>
      <c r="G827" s="139"/>
    </row>
    <row r="828" spans="1:7" ht="15.75" customHeight="1">
      <c r="A828" s="72"/>
      <c r="B828" s="72"/>
      <c r="G828" s="139"/>
    </row>
    <row r="829" spans="1:7" ht="15.75" customHeight="1">
      <c r="A829" s="72"/>
      <c r="B829" s="72"/>
      <c r="G829" s="139"/>
    </row>
    <row r="830" spans="1:7" ht="15.75" customHeight="1">
      <c r="A830" s="72"/>
      <c r="B830" s="72"/>
      <c r="G830" s="139"/>
    </row>
    <row r="831" spans="1:7" ht="15.75" customHeight="1">
      <c r="A831" s="72"/>
      <c r="B831" s="72"/>
      <c r="G831" s="139"/>
    </row>
    <row r="832" spans="1:7" ht="15.75" customHeight="1">
      <c r="A832" s="72"/>
      <c r="B832" s="72"/>
      <c r="G832" s="139"/>
    </row>
    <row r="833" spans="1:7" ht="15.75" customHeight="1">
      <c r="A833" s="72"/>
      <c r="B833" s="72"/>
      <c r="G833" s="139"/>
    </row>
    <row r="834" spans="1:7" ht="15.75" customHeight="1">
      <c r="A834" s="72"/>
      <c r="B834" s="72"/>
      <c r="G834" s="139"/>
    </row>
    <row r="835" spans="1:7" ht="15.75" customHeight="1">
      <c r="A835" s="72"/>
      <c r="B835" s="72"/>
      <c r="G835" s="139"/>
    </row>
    <row r="836" spans="1:7" ht="15.75" customHeight="1">
      <c r="A836" s="72"/>
      <c r="B836" s="72"/>
      <c r="G836" s="139"/>
    </row>
    <row r="837" spans="1:7" ht="15.75" customHeight="1">
      <c r="A837" s="72"/>
      <c r="B837" s="72"/>
      <c r="G837" s="139"/>
    </row>
    <row r="838" spans="1:7" ht="15.75" customHeight="1">
      <c r="A838" s="72"/>
      <c r="B838" s="72"/>
      <c r="G838" s="139"/>
    </row>
    <row r="839" spans="1:7" ht="15.75" customHeight="1">
      <c r="A839" s="72"/>
      <c r="B839" s="72"/>
      <c r="G839" s="139"/>
    </row>
    <row r="840" spans="1:7" ht="15.75" customHeight="1">
      <c r="A840" s="72"/>
      <c r="B840" s="72"/>
      <c r="G840" s="139"/>
    </row>
    <row r="841" spans="1:7" ht="15.75" customHeight="1">
      <c r="A841" s="72"/>
      <c r="B841" s="72"/>
      <c r="G841" s="139"/>
    </row>
    <row r="842" spans="1:7" ht="15.75" customHeight="1">
      <c r="A842" s="72"/>
      <c r="B842" s="72"/>
      <c r="G842" s="139"/>
    </row>
    <row r="843" spans="1:7" ht="15.75" customHeight="1">
      <c r="A843" s="72"/>
      <c r="B843" s="72"/>
      <c r="G843" s="139"/>
    </row>
    <row r="844" spans="1:7" ht="15.75" customHeight="1">
      <c r="A844" s="72"/>
      <c r="B844" s="72"/>
      <c r="G844" s="139"/>
    </row>
    <row r="845" spans="1:7" ht="15.75" customHeight="1">
      <c r="A845" s="72"/>
      <c r="B845" s="72"/>
      <c r="G845" s="139"/>
    </row>
    <row r="846" spans="1:7" ht="15.75" customHeight="1">
      <c r="A846" s="72"/>
      <c r="B846" s="72"/>
      <c r="G846" s="139"/>
    </row>
    <row r="847" spans="1:7" ht="15.75" customHeight="1">
      <c r="A847" s="72"/>
      <c r="B847" s="72"/>
      <c r="G847" s="139"/>
    </row>
    <row r="848" spans="1:7" ht="15.75" customHeight="1">
      <c r="A848" s="72"/>
      <c r="B848" s="72"/>
      <c r="G848" s="139"/>
    </row>
    <row r="849" spans="1:7" ht="15.75" customHeight="1">
      <c r="A849" s="72"/>
      <c r="B849" s="72"/>
      <c r="G849" s="139"/>
    </row>
    <row r="850" spans="1:7" ht="15.75" customHeight="1">
      <c r="A850" s="72"/>
      <c r="B850" s="72"/>
      <c r="G850" s="139"/>
    </row>
    <row r="851" spans="1:7" ht="15.75" customHeight="1">
      <c r="A851" s="72"/>
      <c r="B851" s="72"/>
      <c r="G851" s="139"/>
    </row>
    <row r="852" spans="1:7" ht="15.75" customHeight="1">
      <c r="A852" s="72"/>
      <c r="B852" s="72"/>
      <c r="G852" s="139"/>
    </row>
    <row r="853" spans="1:7" ht="15.75" customHeight="1">
      <c r="A853" s="72"/>
      <c r="B853" s="72"/>
      <c r="G853" s="139"/>
    </row>
    <row r="854" spans="1:7" ht="15.75" customHeight="1">
      <c r="A854" s="72"/>
      <c r="B854" s="72"/>
      <c r="G854" s="139"/>
    </row>
    <row r="855" spans="1:7" ht="15.75" customHeight="1">
      <c r="A855" s="72"/>
      <c r="B855" s="72"/>
      <c r="G855" s="139"/>
    </row>
    <row r="856" spans="1:7" ht="15.75" customHeight="1">
      <c r="A856" s="72"/>
      <c r="B856" s="72"/>
      <c r="G856" s="139"/>
    </row>
    <row r="857" spans="1:7" ht="15.75" customHeight="1">
      <c r="A857" s="72"/>
      <c r="B857" s="72"/>
      <c r="G857" s="139"/>
    </row>
    <row r="858" spans="1:7" ht="15.75" customHeight="1">
      <c r="A858" s="72"/>
      <c r="B858" s="72"/>
      <c r="G858" s="139"/>
    </row>
    <row r="859" spans="1:7" ht="15.75" customHeight="1">
      <c r="A859" s="72"/>
      <c r="B859" s="72"/>
      <c r="G859" s="139"/>
    </row>
    <row r="860" spans="1:7" ht="15.75" customHeight="1">
      <c r="A860" s="72"/>
      <c r="B860" s="72"/>
      <c r="G860" s="139"/>
    </row>
    <row r="861" spans="1:7" ht="15.75" customHeight="1">
      <c r="A861" s="72"/>
      <c r="B861" s="72"/>
      <c r="G861" s="139"/>
    </row>
    <row r="862" spans="1:7" ht="15.75" customHeight="1">
      <c r="A862" s="72"/>
      <c r="B862" s="72"/>
      <c r="G862" s="139"/>
    </row>
    <row r="863" spans="1:7" ht="15.75" customHeight="1">
      <c r="A863" s="72"/>
      <c r="B863" s="72"/>
      <c r="G863" s="139"/>
    </row>
    <row r="864" spans="1:7" ht="15.75" customHeight="1">
      <c r="A864" s="72"/>
      <c r="B864" s="72"/>
      <c r="G864" s="139"/>
    </row>
    <row r="865" spans="1:7" ht="15.75" customHeight="1">
      <c r="A865" s="72"/>
      <c r="B865" s="72"/>
      <c r="G865" s="139"/>
    </row>
    <row r="866" spans="1:7" ht="15.75" customHeight="1">
      <c r="A866" s="72"/>
      <c r="B866" s="72"/>
      <c r="G866" s="139"/>
    </row>
    <row r="867" spans="1:7" ht="15.75" customHeight="1">
      <c r="A867" s="72"/>
      <c r="B867" s="72"/>
      <c r="G867" s="139"/>
    </row>
    <row r="868" spans="1:7" ht="15.75" customHeight="1">
      <c r="A868" s="72"/>
      <c r="B868" s="72"/>
      <c r="G868" s="139"/>
    </row>
    <row r="869" spans="1:7" ht="15.75" customHeight="1">
      <c r="A869" s="72"/>
      <c r="B869" s="72"/>
      <c r="G869" s="139"/>
    </row>
    <row r="870" spans="1:7" ht="15.75" customHeight="1">
      <c r="A870" s="72"/>
      <c r="B870" s="72"/>
      <c r="G870" s="139"/>
    </row>
    <row r="871" spans="1:7" ht="15.75" customHeight="1">
      <c r="A871" s="72"/>
      <c r="B871" s="72"/>
      <c r="G871" s="139"/>
    </row>
    <row r="872" spans="1:7" ht="15.75" customHeight="1">
      <c r="A872" s="72"/>
      <c r="B872" s="72"/>
      <c r="G872" s="139"/>
    </row>
    <row r="873" spans="1:7" ht="15.75" customHeight="1">
      <c r="A873" s="72"/>
      <c r="B873" s="72"/>
      <c r="G873" s="139"/>
    </row>
    <row r="874" spans="1:7" ht="15.75" customHeight="1">
      <c r="A874" s="72"/>
      <c r="B874" s="72"/>
      <c r="G874" s="139"/>
    </row>
    <row r="875" spans="1:7" ht="15.75" customHeight="1">
      <c r="A875" s="72"/>
      <c r="B875" s="72"/>
      <c r="G875" s="139"/>
    </row>
    <row r="876" spans="1:7" ht="15.75" customHeight="1">
      <c r="A876" s="72"/>
      <c r="B876" s="72"/>
      <c r="G876" s="139"/>
    </row>
    <row r="877" spans="1:7" ht="15.75" customHeight="1">
      <c r="A877" s="72"/>
      <c r="B877" s="72"/>
      <c r="G877" s="139"/>
    </row>
    <row r="878" spans="1:7" ht="15.75" customHeight="1">
      <c r="A878" s="72"/>
      <c r="B878" s="72"/>
      <c r="G878" s="139"/>
    </row>
    <row r="879" spans="1:7" ht="15.75" customHeight="1">
      <c r="A879" s="72"/>
      <c r="B879" s="72"/>
      <c r="G879" s="139"/>
    </row>
    <row r="880" spans="1:7" ht="15.75" customHeight="1">
      <c r="A880" s="72"/>
      <c r="B880" s="72"/>
      <c r="G880" s="139"/>
    </row>
    <row r="881" spans="1:7" ht="15.75" customHeight="1">
      <c r="A881" s="72"/>
      <c r="B881" s="72"/>
      <c r="G881" s="139"/>
    </row>
    <row r="882" spans="1:7" ht="15.75" customHeight="1">
      <c r="A882" s="72"/>
      <c r="B882" s="72"/>
      <c r="G882" s="139"/>
    </row>
    <row r="883" spans="1:7" ht="15.75" customHeight="1">
      <c r="A883" s="72"/>
      <c r="B883" s="72"/>
      <c r="G883" s="139"/>
    </row>
    <row r="884" spans="1:7" ht="15.75" customHeight="1">
      <c r="A884" s="72"/>
      <c r="B884" s="72"/>
      <c r="G884" s="139"/>
    </row>
    <row r="885" spans="1:7" ht="15.75" customHeight="1">
      <c r="A885" s="72"/>
      <c r="B885" s="72"/>
      <c r="G885" s="139"/>
    </row>
    <row r="886" spans="1:7" ht="15.75" customHeight="1">
      <c r="A886" s="72"/>
      <c r="B886" s="72"/>
      <c r="G886" s="139"/>
    </row>
    <row r="887" spans="1:7" ht="15.75" customHeight="1">
      <c r="A887" s="72"/>
      <c r="B887" s="72"/>
      <c r="G887" s="139"/>
    </row>
    <row r="888" spans="1:7" ht="15.75" customHeight="1">
      <c r="A888" s="72"/>
      <c r="B888" s="72"/>
      <c r="G888" s="139"/>
    </row>
    <row r="889" spans="1:7" ht="15.75" customHeight="1">
      <c r="A889" s="72"/>
      <c r="B889" s="72"/>
      <c r="G889" s="139"/>
    </row>
    <row r="890" spans="1:7" ht="15.75" customHeight="1">
      <c r="A890" s="72"/>
      <c r="B890" s="72"/>
      <c r="G890" s="139"/>
    </row>
    <row r="891" spans="1:7" ht="15.75" customHeight="1">
      <c r="A891" s="72"/>
      <c r="B891" s="72"/>
      <c r="G891" s="139"/>
    </row>
    <row r="892" spans="1:7" ht="15.75" customHeight="1">
      <c r="A892" s="72"/>
      <c r="B892" s="72"/>
      <c r="G892" s="139"/>
    </row>
    <row r="893" spans="1:7" ht="15.75" customHeight="1">
      <c r="A893" s="72"/>
      <c r="B893" s="72"/>
      <c r="G893" s="139"/>
    </row>
    <row r="894" spans="1:7" ht="15.75" customHeight="1">
      <c r="A894" s="72"/>
      <c r="B894" s="72"/>
      <c r="G894" s="139"/>
    </row>
    <row r="895" spans="1:7" ht="15.75" customHeight="1">
      <c r="A895" s="72"/>
      <c r="B895" s="72"/>
      <c r="G895" s="139"/>
    </row>
    <row r="896" spans="1:7" ht="15.75" customHeight="1">
      <c r="A896" s="72"/>
      <c r="B896" s="72"/>
      <c r="G896" s="139"/>
    </row>
    <row r="897" spans="1:7" ht="15.75" customHeight="1">
      <c r="A897" s="72"/>
      <c r="B897" s="72"/>
      <c r="G897" s="139"/>
    </row>
    <row r="898" spans="1:7" ht="15.75" customHeight="1">
      <c r="A898" s="72"/>
      <c r="B898" s="72"/>
      <c r="G898" s="139"/>
    </row>
    <row r="899" spans="1:7" ht="15.75" customHeight="1">
      <c r="A899" s="72"/>
      <c r="B899" s="72"/>
      <c r="G899" s="139"/>
    </row>
    <row r="900" spans="1:7" ht="15.75" customHeight="1">
      <c r="A900" s="72"/>
      <c r="B900" s="72"/>
      <c r="G900" s="139"/>
    </row>
    <row r="901" spans="1:7" ht="15.75" customHeight="1">
      <c r="A901" s="72"/>
      <c r="B901" s="72"/>
      <c r="G901" s="139"/>
    </row>
    <row r="902" spans="1:7" ht="15.75" customHeight="1">
      <c r="A902" s="72"/>
      <c r="B902" s="72"/>
      <c r="G902" s="139"/>
    </row>
    <row r="903" spans="1:7" ht="15.75" customHeight="1">
      <c r="A903" s="72"/>
      <c r="B903" s="72"/>
      <c r="G903" s="139"/>
    </row>
    <row r="904" spans="1:7" ht="15.75" customHeight="1">
      <c r="A904" s="72"/>
      <c r="B904" s="72"/>
      <c r="G904" s="139"/>
    </row>
    <row r="905" spans="1:7" ht="15.75" customHeight="1">
      <c r="A905" s="72"/>
      <c r="B905" s="72"/>
      <c r="G905" s="139"/>
    </row>
    <row r="906" spans="1:7" ht="15.75" customHeight="1">
      <c r="A906" s="72"/>
      <c r="B906" s="72"/>
      <c r="G906" s="139"/>
    </row>
    <row r="907" spans="1:7" ht="15.75" customHeight="1">
      <c r="A907" s="72"/>
      <c r="B907" s="72"/>
      <c r="G907" s="139"/>
    </row>
    <row r="908" spans="1:7" ht="15.75" customHeight="1">
      <c r="A908" s="72"/>
      <c r="B908" s="72"/>
      <c r="G908" s="139"/>
    </row>
    <row r="909" spans="1:7" ht="15.75" customHeight="1">
      <c r="A909" s="72"/>
      <c r="B909" s="72"/>
      <c r="G909" s="139"/>
    </row>
    <row r="910" spans="1:7" ht="15.75" customHeight="1">
      <c r="A910" s="72"/>
      <c r="B910" s="72"/>
      <c r="G910" s="139"/>
    </row>
    <row r="911" spans="1:7" ht="15.75" customHeight="1">
      <c r="A911" s="72"/>
      <c r="B911" s="72"/>
      <c r="G911" s="139"/>
    </row>
    <row r="912" spans="1:7" ht="15.75" customHeight="1">
      <c r="A912" s="72"/>
      <c r="B912" s="72"/>
      <c r="G912" s="139"/>
    </row>
    <row r="913" spans="1:7" ht="15.75" customHeight="1">
      <c r="A913" s="72"/>
      <c r="B913" s="72"/>
      <c r="G913" s="139"/>
    </row>
    <row r="914" spans="1:7" ht="15.75" customHeight="1">
      <c r="A914" s="72"/>
      <c r="B914" s="72"/>
      <c r="G914" s="139"/>
    </row>
    <row r="915" spans="1:7" ht="15.75" customHeight="1">
      <c r="A915" s="72"/>
      <c r="B915" s="72"/>
      <c r="G915" s="139"/>
    </row>
    <row r="916" spans="1:7" ht="15.75" customHeight="1">
      <c r="A916" s="72"/>
      <c r="B916" s="72"/>
      <c r="G916" s="139"/>
    </row>
    <row r="917" spans="1:7" ht="15.75" customHeight="1">
      <c r="A917" s="72"/>
      <c r="B917" s="72"/>
      <c r="G917" s="139"/>
    </row>
    <row r="918" spans="1:7" ht="15.75" customHeight="1">
      <c r="A918" s="72"/>
      <c r="B918" s="72"/>
      <c r="G918" s="139"/>
    </row>
    <row r="919" spans="1:7" ht="15.75" customHeight="1">
      <c r="A919" s="72"/>
      <c r="B919" s="72"/>
      <c r="G919" s="139"/>
    </row>
    <row r="920" spans="1:7" ht="15.75" customHeight="1">
      <c r="A920" s="72"/>
      <c r="B920" s="72"/>
      <c r="G920" s="139"/>
    </row>
    <row r="921" spans="1:7" ht="15.75" customHeight="1">
      <c r="A921" s="72"/>
      <c r="B921" s="72"/>
      <c r="G921" s="139"/>
    </row>
    <row r="922" spans="1:7" ht="15.75" customHeight="1">
      <c r="A922" s="72"/>
      <c r="B922" s="72"/>
      <c r="G922" s="139"/>
    </row>
    <row r="923" spans="1:7" ht="15.75" customHeight="1">
      <c r="A923" s="72"/>
      <c r="B923" s="72"/>
      <c r="G923" s="139"/>
    </row>
    <row r="924" spans="1:7" ht="15.75" customHeight="1">
      <c r="A924" s="72"/>
      <c r="B924" s="72"/>
      <c r="G924" s="139"/>
    </row>
    <row r="925" spans="1:7" ht="15.75" customHeight="1">
      <c r="A925" s="72"/>
      <c r="B925" s="72"/>
      <c r="G925" s="139"/>
    </row>
    <row r="926" spans="1:7" ht="15.75" customHeight="1">
      <c r="A926" s="72"/>
      <c r="B926" s="72"/>
      <c r="G926" s="139"/>
    </row>
    <row r="927" spans="1:7" ht="15.75" customHeight="1">
      <c r="A927" s="72"/>
      <c r="B927" s="72"/>
      <c r="G927" s="139"/>
    </row>
    <row r="928" spans="1:7" ht="15.75" customHeight="1">
      <c r="A928" s="72"/>
      <c r="B928" s="72"/>
      <c r="G928" s="139"/>
    </row>
    <row r="929" spans="1:7" ht="15.75" customHeight="1">
      <c r="A929" s="72"/>
      <c r="B929" s="72"/>
      <c r="G929" s="139"/>
    </row>
    <row r="930" spans="1:7" ht="15.75" customHeight="1">
      <c r="A930" s="72"/>
      <c r="B930" s="72"/>
      <c r="G930" s="139"/>
    </row>
    <row r="931" spans="1:7" ht="15.75" customHeight="1">
      <c r="A931" s="72"/>
      <c r="B931" s="72"/>
      <c r="G931" s="139"/>
    </row>
    <row r="932" spans="1:7" ht="15.75" customHeight="1">
      <c r="A932" s="72"/>
      <c r="B932" s="72"/>
      <c r="G932" s="139"/>
    </row>
    <row r="933" spans="1:7" ht="15.75" customHeight="1">
      <c r="A933" s="72"/>
      <c r="B933" s="72"/>
      <c r="G933" s="139"/>
    </row>
    <row r="934" spans="1:7" ht="15.75" customHeight="1">
      <c r="A934" s="72"/>
      <c r="B934" s="72"/>
      <c r="G934" s="139"/>
    </row>
    <row r="935" spans="1:7" ht="15.75" customHeight="1">
      <c r="A935" s="72"/>
      <c r="B935" s="72"/>
      <c r="G935" s="139"/>
    </row>
    <row r="936" spans="1:7" ht="15.75" customHeight="1">
      <c r="A936" s="72"/>
      <c r="B936" s="72"/>
      <c r="G936" s="139"/>
    </row>
    <row r="937" spans="1:7" ht="15.75" customHeight="1">
      <c r="A937" s="72"/>
      <c r="B937" s="72"/>
      <c r="G937" s="139"/>
    </row>
    <row r="938" spans="1:7" ht="15.75" customHeight="1">
      <c r="A938" s="72"/>
      <c r="B938" s="72"/>
      <c r="G938" s="139"/>
    </row>
    <row r="939" spans="1:7" ht="15.75" customHeight="1">
      <c r="A939" s="72"/>
      <c r="B939" s="72"/>
      <c r="G939" s="139"/>
    </row>
    <row r="940" spans="1:7" ht="15.75" customHeight="1">
      <c r="A940" s="72"/>
      <c r="B940" s="72"/>
      <c r="G940" s="139"/>
    </row>
    <row r="941" spans="1:7" ht="15.75" customHeight="1">
      <c r="A941" s="72"/>
      <c r="B941" s="72"/>
      <c r="G941" s="139"/>
    </row>
    <row r="942" spans="1:7" ht="15.75" customHeight="1">
      <c r="A942" s="72"/>
      <c r="B942" s="72"/>
      <c r="G942" s="139"/>
    </row>
    <row r="943" spans="1:7" ht="15.75" customHeight="1">
      <c r="A943" s="72"/>
      <c r="B943" s="72"/>
      <c r="G943" s="139"/>
    </row>
    <row r="944" spans="1:7" ht="15.75" customHeight="1">
      <c r="A944" s="72"/>
      <c r="B944" s="72"/>
      <c r="G944" s="139"/>
    </row>
    <row r="945" spans="1:7" ht="15.75" customHeight="1">
      <c r="A945" s="72"/>
      <c r="B945" s="72"/>
      <c r="G945" s="139"/>
    </row>
    <row r="946" spans="1:7" ht="15.75" customHeight="1">
      <c r="A946" s="72"/>
      <c r="B946" s="72"/>
      <c r="G946" s="139"/>
    </row>
    <row r="947" spans="1:7" ht="15.75" customHeight="1">
      <c r="A947" s="72"/>
      <c r="B947" s="72"/>
      <c r="G947" s="139"/>
    </row>
    <row r="948" spans="1:7" ht="15.75" customHeight="1">
      <c r="A948" s="72"/>
      <c r="B948" s="72"/>
      <c r="G948" s="139"/>
    </row>
    <row r="949" spans="1:7" ht="15.75" customHeight="1">
      <c r="A949" s="72"/>
      <c r="B949" s="72"/>
      <c r="G949" s="139"/>
    </row>
    <row r="950" spans="1:7" ht="15.75" customHeight="1">
      <c r="A950" s="72"/>
      <c r="B950" s="72"/>
      <c r="G950" s="139"/>
    </row>
    <row r="951" spans="1:7" ht="15.75" customHeight="1">
      <c r="A951" s="72"/>
      <c r="B951" s="72"/>
      <c r="G951" s="139"/>
    </row>
    <row r="952" spans="1:7" ht="15.75" customHeight="1">
      <c r="A952" s="72"/>
      <c r="B952" s="72"/>
      <c r="G952" s="139"/>
    </row>
    <row r="953" spans="1:7" ht="15.75" customHeight="1">
      <c r="A953" s="72"/>
      <c r="B953" s="72"/>
      <c r="G953" s="139"/>
    </row>
    <row r="954" spans="1:7" ht="15.75" customHeight="1">
      <c r="A954" s="72"/>
      <c r="B954" s="72"/>
      <c r="G954" s="139"/>
    </row>
    <row r="955" spans="1:7" ht="15.75" customHeight="1">
      <c r="A955" s="72"/>
      <c r="B955" s="72"/>
      <c r="G955" s="139"/>
    </row>
    <row r="956" spans="1:7" ht="15.75" customHeight="1">
      <c r="A956" s="72"/>
      <c r="B956" s="72"/>
      <c r="G956" s="139"/>
    </row>
    <row r="957" spans="1:7" ht="15.75" customHeight="1">
      <c r="A957" s="72"/>
      <c r="B957" s="72"/>
      <c r="G957" s="139"/>
    </row>
    <row r="958" spans="1:7" ht="15.75" customHeight="1">
      <c r="A958" s="72"/>
      <c r="B958" s="72"/>
      <c r="G958" s="139"/>
    </row>
    <row r="959" spans="1:7" ht="15.75" customHeight="1">
      <c r="A959" s="72"/>
      <c r="B959" s="72"/>
      <c r="G959" s="139"/>
    </row>
    <row r="960" spans="1:7" ht="15.75" customHeight="1">
      <c r="A960" s="72"/>
      <c r="B960" s="72"/>
      <c r="G960" s="139"/>
    </row>
    <row r="961" spans="1:7" ht="15.75" customHeight="1">
      <c r="A961" s="72"/>
      <c r="B961" s="72"/>
      <c r="G961" s="139"/>
    </row>
    <row r="962" spans="1:7" ht="15.75" customHeight="1">
      <c r="A962" s="72"/>
      <c r="B962" s="72"/>
      <c r="G962" s="139"/>
    </row>
    <row r="963" spans="1:7" ht="15.75" customHeight="1">
      <c r="A963" s="72"/>
      <c r="B963" s="72"/>
      <c r="G963" s="139"/>
    </row>
    <row r="964" spans="1:7" ht="15.75" customHeight="1">
      <c r="A964" s="72"/>
      <c r="B964" s="72"/>
      <c r="G964" s="139"/>
    </row>
    <row r="965" spans="1:7" ht="15.75" customHeight="1">
      <c r="A965" s="72"/>
      <c r="B965" s="72"/>
      <c r="G965" s="139"/>
    </row>
    <row r="966" spans="1:7" ht="15.75" customHeight="1">
      <c r="A966" s="72"/>
      <c r="B966" s="72"/>
      <c r="G966" s="139"/>
    </row>
    <row r="967" spans="1:7" ht="15.75" customHeight="1">
      <c r="A967" s="72"/>
      <c r="B967" s="72"/>
      <c r="G967" s="139"/>
    </row>
    <row r="968" spans="1:7" ht="15.75" customHeight="1">
      <c r="A968" s="72"/>
      <c r="B968" s="72"/>
      <c r="G968" s="139"/>
    </row>
    <row r="969" spans="1:7" ht="15.75" customHeight="1">
      <c r="A969" s="72"/>
      <c r="B969" s="72"/>
      <c r="G969" s="139"/>
    </row>
    <row r="970" spans="1:7" ht="15.75" customHeight="1">
      <c r="A970" s="72"/>
      <c r="B970" s="72"/>
      <c r="G970" s="139"/>
    </row>
    <row r="971" spans="1:7" ht="15.75" customHeight="1">
      <c r="A971" s="72"/>
      <c r="B971" s="72"/>
      <c r="G971" s="139"/>
    </row>
    <row r="972" spans="1:7" ht="15.75" customHeight="1">
      <c r="A972" s="72"/>
      <c r="B972" s="72"/>
      <c r="G972" s="139"/>
    </row>
    <row r="973" spans="1:7" ht="15.75" customHeight="1">
      <c r="A973" s="72"/>
      <c r="B973" s="72"/>
      <c r="G973" s="139"/>
    </row>
    <row r="974" spans="1:7" ht="15.75" customHeight="1">
      <c r="A974" s="72"/>
      <c r="B974" s="72"/>
      <c r="G974" s="139"/>
    </row>
    <row r="975" spans="1:7" ht="15.75" customHeight="1">
      <c r="A975" s="72"/>
      <c r="B975" s="72"/>
      <c r="G975" s="139"/>
    </row>
    <row r="976" spans="1:7" ht="15.75" customHeight="1">
      <c r="A976" s="72"/>
      <c r="B976" s="72"/>
      <c r="G976" s="139"/>
    </row>
    <row r="977" spans="1:7" ht="15.75" customHeight="1">
      <c r="A977" s="72"/>
      <c r="B977" s="72"/>
      <c r="G977" s="139"/>
    </row>
    <row r="978" spans="1:7" ht="15.75" customHeight="1">
      <c r="A978" s="72"/>
      <c r="B978" s="72"/>
      <c r="G978" s="139"/>
    </row>
    <row r="979" spans="1:7" ht="15.75" customHeight="1">
      <c r="A979" s="72"/>
      <c r="B979" s="72"/>
      <c r="G979" s="139"/>
    </row>
    <row r="980" spans="1:7" ht="15.75" customHeight="1">
      <c r="A980" s="72"/>
      <c r="B980" s="72"/>
      <c r="G980" s="139"/>
    </row>
    <row r="981" spans="1:7" ht="15.75" customHeight="1">
      <c r="A981" s="72"/>
      <c r="B981" s="72"/>
      <c r="G981" s="139"/>
    </row>
    <row r="982" spans="1:7" ht="15.75" customHeight="1">
      <c r="A982" s="72"/>
      <c r="B982" s="72"/>
      <c r="G982" s="139"/>
    </row>
    <row r="983" spans="1:7" ht="15.75" customHeight="1">
      <c r="A983" s="72"/>
      <c r="B983" s="72"/>
      <c r="G983" s="139"/>
    </row>
    <row r="984" spans="1:7" ht="15.75" customHeight="1">
      <c r="A984" s="72"/>
      <c r="B984" s="72"/>
      <c r="G984" s="139"/>
    </row>
    <row r="985" spans="1:7" ht="15.75" customHeight="1">
      <c r="A985" s="72"/>
      <c r="B985" s="72"/>
      <c r="G985" s="139"/>
    </row>
    <row r="986" spans="1:7" ht="15.75" customHeight="1">
      <c r="A986" s="72"/>
      <c r="B986" s="72"/>
      <c r="G986" s="139"/>
    </row>
    <row r="987" spans="1:7" ht="15.75" customHeight="1">
      <c r="A987" s="72"/>
      <c r="B987" s="72"/>
      <c r="G987" s="139"/>
    </row>
    <row r="988" spans="1:7" ht="15.75" customHeight="1">
      <c r="A988" s="72"/>
      <c r="B988" s="72"/>
      <c r="G988" s="139"/>
    </row>
    <row r="989" spans="1:7" ht="15.75" customHeight="1">
      <c r="A989" s="72"/>
      <c r="B989" s="72"/>
      <c r="G989" s="139"/>
    </row>
    <row r="990" spans="1:7" ht="15.75" customHeight="1">
      <c r="A990" s="72"/>
      <c r="B990" s="72"/>
      <c r="G990" s="139"/>
    </row>
    <row r="991" spans="1:7" ht="15.75" customHeight="1">
      <c r="A991" s="72"/>
      <c r="B991" s="72"/>
      <c r="G991" s="139"/>
    </row>
    <row r="992" spans="1:7" ht="15.75" customHeight="1">
      <c r="A992" s="72"/>
      <c r="B992" s="72"/>
      <c r="G992" s="139"/>
    </row>
    <row r="993" spans="1:7" ht="15.75" customHeight="1">
      <c r="A993" s="72"/>
      <c r="B993" s="72"/>
      <c r="G993" s="139"/>
    </row>
    <row r="994" spans="1:7" ht="15.75" customHeight="1">
      <c r="A994" s="72"/>
      <c r="B994" s="72"/>
      <c r="G994" s="139"/>
    </row>
    <row r="995" spans="1:7" ht="15.75" customHeight="1">
      <c r="A995" s="72"/>
      <c r="B995" s="72"/>
      <c r="G995" s="139"/>
    </row>
    <row r="996" spans="1:7" ht="15.75" customHeight="1">
      <c r="A996" s="72"/>
      <c r="B996" s="72"/>
      <c r="G996" s="139"/>
    </row>
    <row r="997" spans="1:7" ht="15.75" customHeight="1">
      <c r="A997" s="72"/>
      <c r="B997" s="72"/>
      <c r="G997" s="139"/>
    </row>
    <row r="998" spans="1:7" ht="15.75" customHeight="1">
      <c r="A998" s="72"/>
      <c r="B998" s="72"/>
      <c r="G998" s="139"/>
    </row>
    <row r="999" spans="1:7" ht="15.75" customHeight="1">
      <c r="A999" s="72"/>
      <c r="B999" s="72"/>
      <c r="G999" s="139"/>
    </row>
    <row r="1000" spans="1:7" ht="15.75" customHeight="1">
      <c r="A1000" s="72"/>
      <c r="B1000" s="72"/>
      <c r="G1000" s="139"/>
    </row>
  </sheetData>
  <mergeCells count="26">
    <mergeCell ref="A2:H2"/>
    <mergeCell ref="G6:G13"/>
    <mergeCell ref="G15:G22"/>
    <mergeCell ref="G24:G31"/>
    <mergeCell ref="G33:G36"/>
    <mergeCell ref="G38:G41"/>
    <mergeCell ref="G42:G43"/>
    <mergeCell ref="G44:G54"/>
    <mergeCell ref="G56:G71"/>
    <mergeCell ref="G73:G80"/>
    <mergeCell ref="H73:H80"/>
    <mergeCell ref="G81:G90"/>
    <mergeCell ref="G93:G99"/>
    <mergeCell ref="G102:G109"/>
    <mergeCell ref="G181:G210"/>
    <mergeCell ref="G213:G215"/>
    <mergeCell ref="G216:G217"/>
    <mergeCell ref="G218:G226"/>
    <mergeCell ref="G229:G231"/>
    <mergeCell ref="G110:G118"/>
    <mergeCell ref="G119:G125"/>
    <mergeCell ref="G126:G133"/>
    <mergeCell ref="G134:G136"/>
    <mergeCell ref="G138:G145"/>
    <mergeCell ref="G147:G170"/>
    <mergeCell ref="G173:G179"/>
  </mergeCells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/>
  </sheetViews>
  <sheetFormatPr defaultColWidth="14.42578125" defaultRowHeight="15" customHeight="1"/>
  <cols>
    <col min="1" max="1" width="6.28515625" customWidth="1"/>
    <col min="2" max="2" width="9.140625" customWidth="1"/>
    <col min="3" max="3" width="16.7109375" customWidth="1"/>
    <col min="4" max="4" width="18.85546875" customWidth="1"/>
    <col min="5" max="5" width="9.7109375" customWidth="1"/>
    <col min="6" max="6" width="57" customWidth="1"/>
    <col min="7" max="7" width="13.28515625" hidden="1" customWidth="1"/>
    <col min="8" max="8" width="30.85546875" hidden="1" customWidth="1"/>
    <col min="9" max="9" width="8.7109375" hidden="1" customWidth="1"/>
    <col min="10" max="14" width="12.42578125" hidden="1" customWidth="1"/>
    <col min="15" max="19" width="8.7109375" hidden="1" customWidth="1"/>
    <col min="20" max="26" width="8.7109375" customWidth="1"/>
  </cols>
  <sheetData>
    <row r="1" spans="1:19">
      <c r="A1" s="30"/>
      <c r="B1" s="30"/>
      <c r="C1" s="30"/>
      <c r="D1" s="68"/>
      <c r="E1" s="30"/>
      <c r="F1" s="30"/>
      <c r="G1" s="68"/>
      <c r="H1" s="30"/>
      <c r="M1" s="69"/>
      <c r="N1" s="70"/>
      <c r="O1" s="71"/>
      <c r="P1" s="72"/>
    </row>
    <row r="2" spans="1:19" ht="19.5" customHeight="1">
      <c r="A2" s="355" t="s">
        <v>2</v>
      </c>
      <c r="B2" s="356" t="s">
        <v>3</v>
      </c>
      <c r="C2" s="357" t="s">
        <v>11</v>
      </c>
      <c r="D2" s="360" t="s">
        <v>1915</v>
      </c>
      <c r="E2" s="358" t="s">
        <v>7</v>
      </c>
      <c r="F2" s="357" t="s">
        <v>6</v>
      </c>
      <c r="G2" s="361" t="s">
        <v>10</v>
      </c>
      <c r="H2" s="357" t="s">
        <v>9</v>
      </c>
      <c r="I2" s="340" t="s">
        <v>1916</v>
      </c>
      <c r="J2" s="341"/>
      <c r="K2" s="342"/>
      <c r="L2" s="340" t="s">
        <v>1917</v>
      </c>
      <c r="M2" s="341"/>
      <c r="N2" s="341"/>
      <c r="O2" s="341"/>
      <c r="P2" s="343"/>
    </row>
    <row r="3" spans="1:19" ht="26.25" customHeight="1">
      <c r="A3" s="345"/>
      <c r="B3" s="347"/>
      <c r="C3" s="324"/>
      <c r="D3" s="324"/>
      <c r="E3" s="324"/>
      <c r="F3" s="324"/>
      <c r="G3" s="324"/>
      <c r="H3" s="324"/>
      <c r="I3" s="73" t="s">
        <v>12</v>
      </c>
      <c r="J3" s="73" t="s">
        <v>1918</v>
      </c>
      <c r="K3" s="74" t="s">
        <v>1919</v>
      </c>
      <c r="L3" s="73" t="s">
        <v>12</v>
      </c>
      <c r="M3" s="73" t="s">
        <v>1918</v>
      </c>
      <c r="N3" s="75" t="s">
        <v>1919</v>
      </c>
      <c r="O3" s="76" t="s">
        <v>1920</v>
      </c>
      <c r="P3" s="77" t="s">
        <v>1921</v>
      </c>
    </row>
    <row r="4" spans="1:19">
      <c r="A4" s="99">
        <v>1</v>
      </c>
      <c r="B4" s="100">
        <v>1000</v>
      </c>
      <c r="C4" s="359" t="s">
        <v>22</v>
      </c>
      <c r="D4" s="328" t="s">
        <v>1922</v>
      </c>
      <c r="E4" s="19" t="s">
        <v>20</v>
      </c>
      <c r="F4" s="19" t="s">
        <v>1923</v>
      </c>
      <c r="G4" s="27" t="s">
        <v>21</v>
      </c>
      <c r="H4" s="19"/>
      <c r="I4" s="80">
        <v>0.3125</v>
      </c>
      <c r="J4" s="80">
        <v>0.64583333333333337</v>
      </c>
      <c r="K4" s="80">
        <v>4.1666666666666664E-2</v>
      </c>
      <c r="L4" s="80">
        <v>0.3125</v>
      </c>
      <c r="M4" s="81">
        <v>0.58333333333333337</v>
      </c>
      <c r="N4" s="82">
        <v>4.1666666666666664E-2</v>
      </c>
      <c r="O4" s="83">
        <v>0.22916666666666666</v>
      </c>
      <c r="P4" s="84" t="s">
        <v>1924</v>
      </c>
    </row>
    <row r="5" spans="1:19">
      <c r="A5" s="99">
        <v>2</v>
      </c>
      <c r="B5" s="100">
        <v>1000</v>
      </c>
      <c r="C5" s="323"/>
      <c r="D5" s="324"/>
      <c r="E5" s="19" t="s">
        <v>28</v>
      </c>
      <c r="F5" s="19" t="s">
        <v>1925</v>
      </c>
      <c r="G5" s="27" t="s">
        <v>29</v>
      </c>
      <c r="H5" s="19"/>
      <c r="I5" s="80">
        <v>0.3125</v>
      </c>
      <c r="J5" s="80">
        <v>0.64583333333333337</v>
      </c>
      <c r="K5" s="80">
        <v>4.1666666666666664E-2</v>
      </c>
      <c r="L5" s="80">
        <v>0.3125</v>
      </c>
      <c r="M5" s="81">
        <v>0.58333333333333337</v>
      </c>
      <c r="N5" s="82">
        <v>4.1666666666666664E-2</v>
      </c>
      <c r="O5" s="83">
        <v>0.22916666666666666</v>
      </c>
      <c r="P5" s="84" t="s">
        <v>1924</v>
      </c>
    </row>
    <row r="6" spans="1:19">
      <c r="A6" s="99">
        <v>3</v>
      </c>
      <c r="B6" s="100">
        <v>1000</v>
      </c>
      <c r="C6" s="323"/>
      <c r="D6" s="327" t="s">
        <v>1927</v>
      </c>
      <c r="E6" s="19" t="s">
        <v>44</v>
      </c>
      <c r="F6" s="19" t="s">
        <v>43</v>
      </c>
      <c r="G6" s="27">
        <v>1111150005</v>
      </c>
      <c r="H6" s="19"/>
      <c r="I6" s="80">
        <v>0.3125</v>
      </c>
      <c r="J6" s="80">
        <v>0.64583333333333337</v>
      </c>
      <c r="K6" s="80">
        <v>4.1666666666666664E-2</v>
      </c>
      <c r="L6" s="80">
        <v>0.3125</v>
      </c>
      <c r="M6" s="81">
        <v>0.58333333333333337</v>
      </c>
      <c r="N6" s="82">
        <v>4.1666666666666664E-2</v>
      </c>
      <c r="O6" s="83">
        <v>0.22916666666666666</v>
      </c>
      <c r="P6" s="84" t="s">
        <v>1924</v>
      </c>
    </row>
    <row r="7" spans="1:19">
      <c r="A7" s="99">
        <v>4</v>
      </c>
      <c r="B7" s="100">
        <v>1000</v>
      </c>
      <c r="C7" s="324"/>
      <c r="D7" s="324"/>
      <c r="E7" s="19" t="s">
        <v>47</v>
      </c>
      <c r="F7" s="19" t="s">
        <v>46</v>
      </c>
      <c r="G7" s="27">
        <v>1111150007</v>
      </c>
      <c r="H7" s="19"/>
      <c r="I7" s="80">
        <v>0.3125</v>
      </c>
      <c r="J7" s="80">
        <v>0.64583333333333337</v>
      </c>
      <c r="K7" s="80">
        <v>4.1666666666666664E-2</v>
      </c>
      <c r="L7" s="80">
        <v>0.3125</v>
      </c>
      <c r="M7" s="81">
        <v>0.58333333333333337</v>
      </c>
      <c r="N7" s="82">
        <v>4.1666666666666664E-2</v>
      </c>
      <c r="O7" s="83">
        <v>0.22916666666666666</v>
      </c>
      <c r="P7" s="84" t="s">
        <v>1924</v>
      </c>
    </row>
    <row r="8" spans="1:19">
      <c r="A8" s="99">
        <v>5</v>
      </c>
      <c r="B8" s="100">
        <v>1000</v>
      </c>
      <c r="C8" s="327"/>
      <c r="D8" s="327" t="s">
        <v>78</v>
      </c>
      <c r="E8" s="19" t="s">
        <v>87</v>
      </c>
      <c r="F8" s="19" t="s">
        <v>86</v>
      </c>
      <c r="G8" s="27" t="s">
        <v>88</v>
      </c>
      <c r="H8" s="19"/>
      <c r="I8" s="80">
        <v>0.3125</v>
      </c>
      <c r="J8" s="80">
        <v>0.64583333333333337</v>
      </c>
      <c r="K8" s="80">
        <v>4.1666666666666664E-2</v>
      </c>
      <c r="L8" s="80">
        <v>0.3125</v>
      </c>
      <c r="M8" s="81">
        <v>0.64583333333333337</v>
      </c>
      <c r="N8" s="82">
        <v>4.1666666666666664E-2</v>
      </c>
      <c r="O8" s="83">
        <v>0.29166666666666669</v>
      </c>
      <c r="P8" s="84" t="s">
        <v>1924</v>
      </c>
    </row>
    <row r="9" spans="1:19">
      <c r="A9" s="99">
        <v>6</v>
      </c>
      <c r="B9" s="100">
        <v>1000</v>
      </c>
      <c r="C9" s="323"/>
      <c r="D9" s="323"/>
      <c r="E9" s="19" t="s">
        <v>91</v>
      </c>
      <c r="F9" s="19" t="s">
        <v>90</v>
      </c>
      <c r="G9" s="27" t="s">
        <v>88</v>
      </c>
      <c r="H9" s="19"/>
      <c r="I9" s="80">
        <v>0.3125</v>
      </c>
      <c r="J9" s="80">
        <v>0.97916666666666663</v>
      </c>
      <c r="K9" s="80">
        <v>8.3333333333333329E-2</v>
      </c>
      <c r="L9" s="80">
        <v>0.3125</v>
      </c>
      <c r="M9" s="81">
        <v>0.91666666666666663</v>
      </c>
      <c r="N9" s="82">
        <v>8.3333333333333329E-2</v>
      </c>
      <c r="O9" s="83">
        <v>0.52083333333333337</v>
      </c>
      <c r="P9" s="84" t="s">
        <v>1924</v>
      </c>
    </row>
    <row r="10" spans="1:19">
      <c r="A10" s="99">
        <v>7</v>
      </c>
      <c r="B10" s="100">
        <v>1000</v>
      </c>
      <c r="C10" s="324"/>
      <c r="D10" s="324"/>
      <c r="E10" s="19" t="s">
        <v>97</v>
      </c>
      <c r="F10" s="19" t="s">
        <v>96</v>
      </c>
      <c r="G10" s="27" t="s">
        <v>98</v>
      </c>
      <c r="H10" s="19"/>
      <c r="I10" s="94">
        <v>0.3125</v>
      </c>
      <c r="J10" s="94">
        <v>0.64583333333333337</v>
      </c>
      <c r="K10" s="94">
        <v>4.1666666666666664E-2</v>
      </c>
      <c r="L10" s="94">
        <v>0.3125</v>
      </c>
      <c r="M10" s="95">
        <v>0.64583333333333337</v>
      </c>
      <c r="N10" s="96">
        <v>4.1666666666666664E-2</v>
      </c>
      <c r="O10" s="83">
        <v>0.29166666666666669</v>
      </c>
      <c r="P10" s="84" t="s">
        <v>1924</v>
      </c>
    </row>
    <row r="11" spans="1:19">
      <c r="A11" s="99">
        <v>8</v>
      </c>
      <c r="B11" s="100">
        <v>1000</v>
      </c>
      <c r="C11" s="353" t="s">
        <v>1930</v>
      </c>
      <c r="D11" s="327" t="s">
        <v>1931</v>
      </c>
      <c r="E11" s="19" t="s">
        <v>116</v>
      </c>
      <c r="F11" s="19" t="s">
        <v>115</v>
      </c>
      <c r="G11" s="327" t="s">
        <v>117</v>
      </c>
      <c r="H11" s="19"/>
      <c r="I11" s="80">
        <v>0.3125</v>
      </c>
      <c r="J11" s="80">
        <v>0.3125</v>
      </c>
      <c r="K11" s="80">
        <v>0.125</v>
      </c>
      <c r="L11" s="80">
        <v>0.3125</v>
      </c>
      <c r="M11" s="81">
        <v>0.3125</v>
      </c>
      <c r="N11" s="82">
        <v>0.125</v>
      </c>
      <c r="O11" s="83">
        <v>0.875</v>
      </c>
      <c r="P11" s="84" t="s">
        <v>1924</v>
      </c>
      <c r="Q11" s="336" t="s">
        <v>1932</v>
      </c>
      <c r="R11" s="337"/>
      <c r="S11" s="337"/>
    </row>
    <row r="12" spans="1:19">
      <c r="A12" s="99">
        <v>9</v>
      </c>
      <c r="B12" s="100">
        <v>1000</v>
      </c>
      <c r="C12" s="323"/>
      <c r="D12" s="324"/>
      <c r="E12" s="19" t="s">
        <v>120</v>
      </c>
      <c r="F12" s="19" t="s">
        <v>119</v>
      </c>
      <c r="G12" s="324"/>
      <c r="H12" s="19"/>
      <c r="I12" s="80">
        <v>0.3125</v>
      </c>
      <c r="J12" s="80">
        <v>0.3125</v>
      </c>
      <c r="K12" s="80">
        <v>0.125</v>
      </c>
      <c r="L12" s="80">
        <v>0.3125</v>
      </c>
      <c r="M12" s="81">
        <v>0.3125</v>
      </c>
      <c r="N12" s="82">
        <v>0.125</v>
      </c>
      <c r="O12" s="83">
        <v>0.875</v>
      </c>
      <c r="P12" s="84" t="s">
        <v>1924</v>
      </c>
      <c r="Q12" s="338"/>
      <c r="R12" s="337"/>
      <c r="S12" s="337"/>
    </row>
    <row r="13" spans="1:19">
      <c r="A13" s="99">
        <v>10</v>
      </c>
      <c r="B13" s="100">
        <v>1000</v>
      </c>
      <c r="C13" s="323"/>
      <c r="D13" s="330" t="s">
        <v>1933</v>
      </c>
      <c r="E13" s="19" t="s">
        <v>1934</v>
      </c>
      <c r="F13" s="19" t="s">
        <v>1935</v>
      </c>
      <c r="G13" s="152">
        <v>1111012002</v>
      </c>
      <c r="H13" s="19" t="s">
        <v>1</v>
      </c>
      <c r="I13" s="80">
        <v>0.3125</v>
      </c>
      <c r="J13" s="80">
        <v>0.97916666666666663</v>
      </c>
      <c r="K13" s="80">
        <v>8.3333333333333329E-2</v>
      </c>
      <c r="L13" s="80">
        <v>0.3125</v>
      </c>
      <c r="M13" s="81">
        <v>0.97916666666666663</v>
      </c>
      <c r="N13" s="82">
        <v>8.3333333333333329E-2</v>
      </c>
      <c r="O13" s="83">
        <v>0.58333333333333337</v>
      </c>
      <c r="P13" s="84" t="s">
        <v>1924</v>
      </c>
    </row>
    <row r="14" spans="1:19">
      <c r="A14" s="99">
        <v>11</v>
      </c>
      <c r="B14" s="100">
        <v>1000</v>
      </c>
      <c r="C14" s="323"/>
      <c r="D14" s="324"/>
      <c r="E14" s="19" t="s">
        <v>124</v>
      </c>
      <c r="F14" s="19" t="s">
        <v>123</v>
      </c>
      <c r="G14" s="152">
        <v>1111012001</v>
      </c>
      <c r="H14" s="19"/>
      <c r="I14" s="80">
        <v>0.3125</v>
      </c>
      <c r="J14" s="80">
        <v>0.97916666666666663</v>
      </c>
      <c r="K14" s="80">
        <v>8.3333333333333329E-2</v>
      </c>
      <c r="L14" s="80">
        <v>0.3125</v>
      </c>
      <c r="M14" s="81">
        <v>0.97916666666666663</v>
      </c>
      <c r="N14" s="82">
        <v>8.3333333333333329E-2</v>
      </c>
      <c r="O14" s="83">
        <v>0.58333333333333337</v>
      </c>
      <c r="P14" s="84" t="s">
        <v>1924</v>
      </c>
    </row>
    <row r="15" spans="1:19">
      <c r="A15" s="99">
        <v>12</v>
      </c>
      <c r="B15" s="100">
        <v>1000</v>
      </c>
      <c r="C15" s="323"/>
      <c r="D15" s="327" t="s">
        <v>1936</v>
      </c>
      <c r="E15" s="19" t="s">
        <v>129</v>
      </c>
      <c r="F15" s="19" t="s">
        <v>128</v>
      </c>
      <c r="G15" s="354" t="s">
        <v>125</v>
      </c>
      <c r="H15" s="19">
        <v>12</v>
      </c>
      <c r="I15" s="80">
        <v>0.3125</v>
      </c>
      <c r="J15" s="80">
        <v>0.97916666666666663</v>
      </c>
      <c r="K15" s="80">
        <v>8.3333333333333329E-2</v>
      </c>
      <c r="L15" s="80">
        <v>0.3125</v>
      </c>
      <c r="M15" s="81">
        <v>0.97916666666666663</v>
      </c>
      <c r="N15" s="82">
        <v>8.3333333333333329E-2</v>
      </c>
      <c r="O15" s="83">
        <v>0.58333333333333337</v>
      </c>
      <c r="P15" s="84" t="s">
        <v>1924</v>
      </c>
    </row>
    <row r="16" spans="1:19">
      <c r="A16" s="99">
        <v>13</v>
      </c>
      <c r="B16" s="100">
        <v>1000</v>
      </c>
      <c r="C16" s="323"/>
      <c r="D16" s="323"/>
      <c r="E16" s="19" t="s">
        <v>133</v>
      </c>
      <c r="F16" s="19" t="s">
        <v>132</v>
      </c>
      <c r="G16" s="323"/>
      <c r="H16" s="19">
        <v>16</v>
      </c>
      <c r="I16" s="80">
        <v>0.3125</v>
      </c>
      <c r="J16" s="80">
        <v>0.97916666666666663</v>
      </c>
      <c r="K16" s="80">
        <v>8.3333333333333329E-2</v>
      </c>
      <c r="L16" s="80">
        <v>0.3125</v>
      </c>
      <c r="M16" s="81">
        <v>0.97916666666666663</v>
      </c>
      <c r="N16" s="82">
        <v>8.3333333333333329E-2</v>
      </c>
      <c r="O16" s="83">
        <v>0.58333333333333337</v>
      </c>
      <c r="P16" s="84" t="s">
        <v>1924</v>
      </c>
    </row>
    <row r="17" spans="1:26">
      <c r="A17" s="99">
        <v>14</v>
      </c>
      <c r="B17" s="100">
        <v>1000</v>
      </c>
      <c r="C17" s="323"/>
      <c r="D17" s="323"/>
      <c r="E17" s="19" t="s">
        <v>137</v>
      </c>
      <c r="F17" s="19" t="s">
        <v>136</v>
      </c>
      <c r="G17" s="323"/>
      <c r="H17" s="19">
        <v>16</v>
      </c>
      <c r="I17" s="101">
        <v>0.3125</v>
      </c>
      <c r="J17" s="101">
        <v>0.97916666666666663</v>
      </c>
      <c r="K17" s="101">
        <v>8.3333333333333329E-2</v>
      </c>
      <c r="L17" s="101">
        <v>0.3125</v>
      </c>
      <c r="M17" s="101">
        <v>0.97916666666666663</v>
      </c>
      <c r="N17" s="102">
        <v>8.3333333333333329E-2</v>
      </c>
      <c r="O17" s="103">
        <v>0.58333333333333337</v>
      </c>
      <c r="P17" s="104" t="s">
        <v>1924</v>
      </c>
      <c r="Q17" s="105"/>
      <c r="R17" s="105" t="s">
        <v>1937</v>
      </c>
      <c r="S17" s="105"/>
      <c r="T17" s="105"/>
      <c r="U17" s="105"/>
      <c r="V17" s="105"/>
      <c r="W17" s="105"/>
      <c r="X17" s="105"/>
      <c r="Y17" s="105"/>
      <c r="Z17" s="105"/>
    </row>
    <row r="18" spans="1:26">
      <c r="A18" s="99">
        <v>15</v>
      </c>
      <c r="B18" s="100">
        <v>1000</v>
      </c>
      <c r="C18" s="323"/>
      <c r="D18" s="323"/>
      <c r="E18" s="19" t="s">
        <v>140</v>
      </c>
      <c r="F18" s="19" t="s">
        <v>139</v>
      </c>
      <c r="G18" s="323"/>
      <c r="H18" s="19">
        <v>14</v>
      </c>
      <c r="I18" s="80">
        <v>0.3125</v>
      </c>
      <c r="J18" s="80">
        <v>0.97916666666666663</v>
      </c>
      <c r="K18" s="80">
        <v>8.3333333333333329E-2</v>
      </c>
      <c r="L18" s="80">
        <v>0.3125</v>
      </c>
      <c r="M18" s="81">
        <v>0.97916666666666663</v>
      </c>
      <c r="N18" s="82">
        <v>8.3333333333333329E-2</v>
      </c>
      <c r="O18" s="83">
        <v>0.58333333333333337</v>
      </c>
      <c r="P18" s="84" t="s">
        <v>1924</v>
      </c>
    </row>
    <row r="19" spans="1:26">
      <c r="A19" s="99">
        <v>16</v>
      </c>
      <c r="B19" s="100">
        <v>1000</v>
      </c>
      <c r="C19" s="324"/>
      <c r="D19" s="324"/>
      <c r="E19" s="19" t="s">
        <v>143</v>
      </c>
      <c r="F19" s="19" t="s">
        <v>142</v>
      </c>
      <c r="G19" s="324"/>
      <c r="H19" s="19"/>
      <c r="I19" s="80">
        <v>0.3125</v>
      </c>
      <c r="J19" s="80">
        <v>0.97916666666666663</v>
      </c>
      <c r="K19" s="80">
        <v>8.3333333333333329E-2</v>
      </c>
      <c r="L19" s="80">
        <v>0.3125</v>
      </c>
      <c r="M19" s="81">
        <v>0.97916666666666663</v>
      </c>
      <c r="N19" s="82">
        <v>8.3333333333333329E-2</v>
      </c>
      <c r="O19" s="83">
        <v>0.58333333333333337</v>
      </c>
      <c r="P19" s="84" t="s">
        <v>1924</v>
      </c>
    </row>
    <row r="20" spans="1:26" ht="15" customHeight="1">
      <c r="A20" s="99">
        <v>17</v>
      </c>
      <c r="B20" s="100">
        <v>1000</v>
      </c>
      <c r="C20" s="328" t="s">
        <v>1938</v>
      </c>
      <c r="D20" s="327" t="s">
        <v>145</v>
      </c>
      <c r="E20" s="19" t="s">
        <v>148</v>
      </c>
      <c r="F20" s="19" t="s">
        <v>147</v>
      </c>
      <c r="G20" s="27" t="s">
        <v>149</v>
      </c>
      <c r="H20" s="19"/>
      <c r="I20" s="80">
        <v>0.3125</v>
      </c>
      <c r="J20" s="80">
        <v>0.97916666666666663</v>
      </c>
      <c r="K20" s="80">
        <v>8.3333333333333329E-2</v>
      </c>
      <c r="L20" s="80">
        <v>0.3125</v>
      </c>
      <c r="M20" s="81">
        <v>0.91666666666666663</v>
      </c>
      <c r="N20" s="82">
        <v>0.14583333333333334</v>
      </c>
      <c r="O20" s="83">
        <v>0.45833333333333331</v>
      </c>
      <c r="P20" s="84" t="s">
        <v>1924</v>
      </c>
    </row>
    <row r="21" spans="1:26" ht="15.75" customHeight="1">
      <c r="A21" s="99">
        <v>18</v>
      </c>
      <c r="B21" s="100">
        <v>1000</v>
      </c>
      <c r="C21" s="323"/>
      <c r="D21" s="323"/>
      <c r="E21" s="19" t="s">
        <v>154</v>
      </c>
      <c r="F21" s="19" t="s">
        <v>153</v>
      </c>
      <c r="G21" s="27" t="s">
        <v>149</v>
      </c>
      <c r="H21" s="19"/>
      <c r="I21" s="80">
        <v>0.3125</v>
      </c>
      <c r="J21" s="80">
        <v>0.97916666666666663</v>
      </c>
      <c r="K21" s="80">
        <v>8.3333333333333329E-2</v>
      </c>
      <c r="L21" s="80">
        <v>0.3125</v>
      </c>
      <c r="M21" s="81">
        <v>0.91666666666666663</v>
      </c>
      <c r="N21" s="82">
        <v>0.14583333333333334</v>
      </c>
      <c r="O21" s="83">
        <v>0.45833333333333331</v>
      </c>
      <c r="P21" s="84" t="s">
        <v>1924</v>
      </c>
    </row>
    <row r="22" spans="1:26" ht="15.75" customHeight="1">
      <c r="A22" s="99">
        <v>19</v>
      </c>
      <c r="B22" s="100">
        <v>1000</v>
      </c>
      <c r="C22" s="323"/>
      <c r="D22" s="324"/>
      <c r="E22" s="19" t="s">
        <v>157</v>
      </c>
      <c r="F22" s="19" t="s">
        <v>2110</v>
      </c>
      <c r="G22" s="27" t="s">
        <v>149</v>
      </c>
      <c r="H22" s="19"/>
      <c r="I22" s="80">
        <v>0.3125</v>
      </c>
      <c r="J22" s="80">
        <v>0.97916666666666663</v>
      </c>
      <c r="K22" s="80">
        <v>8.3333333333333329E-2</v>
      </c>
      <c r="L22" s="80">
        <v>0.3125</v>
      </c>
      <c r="M22" s="81">
        <v>0.91666666666666663</v>
      </c>
      <c r="N22" s="82">
        <v>0.14583333333333334</v>
      </c>
      <c r="O22" s="83">
        <v>0.45833333333333331</v>
      </c>
      <c r="P22" s="84" t="s">
        <v>1924</v>
      </c>
    </row>
    <row r="23" spans="1:26" ht="15.75" customHeight="1">
      <c r="A23" s="99">
        <v>20</v>
      </c>
      <c r="B23" s="100">
        <v>1000</v>
      </c>
      <c r="C23" s="323"/>
      <c r="D23" s="327" t="s">
        <v>158</v>
      </c>
      <c r="E23" s="19" t="s">
        <v>161</v>
      </c>
      <c r="F23" s="19" t="s">
        <v>160</v>
      </c>
      <c r="G23" s="327">
        <v>1111023001</v>
      </c>
      <c r="H23" s="19"/>
      <c r="I23" s="80">
        <v>0.3125</v>
      </c>
      <c r="J23" s="80">
        <v>0.3125</v>
      </c>
      <c r="K23" s="80">
        <v>0.125</v>
      </c>
      <c r="L23" s="80">
        <v>0.3125</v>
      </c>
      <c r="M23" s="81">
        <v>0.25</v>
      </c>
      <c r="N23" s="82">
        <v>0.125</v>
      </c>
      <c r="O23" s="83">
        <v>0.8125</v>
      </c>
      <c r="P23" s="84" t="s">
        <v>1924</v>
      </c>
    </row>
    <row r="24" spans="1:26" ht="15.75" customHeight="1">
      <c r="A24" s="99">
        <v>21</v>
      </c>
      <c r="B24" s="100">
        <v>1000</v>
      </c>
      <c r="C24" s="323"/>
      <c r="D24" s="323"/>
      <c r="E24" s="19" t="s">
        <v>164</v>
      </c>
      <c r="F24" s="19" t="s">
        <v>163</v>
      </c>
      <c r="G24" s="323"/>
      <c r="H24" s="19"/>
      <c r="I24" s="80">
        <v>0.3125</v>
      </c>
      <c r="J24" s="80">
        <v>0.64583333333333337</v>
      </c>
      <c r="K24" s="80">
        <v>4.1666666666666664E-2</v>
      </c>
      <c r="L24" s="80">
        <v>0.3125</v>
      </c>
      <c r="M24" s="81">
        <v>0.58333333333333337</v>
      </c>
      <c r="N24" s="82">
        <v>4.1666666666666664E-2</v>
      </c>
      <c r="O24" s="83">
        <v>0.22916666666666666</v>
      </c>
      <c r="P24" s="84" t="s">
        <v>1924</v>
      </c>
    </row>
    <row r="25" spans="1:26" ht="15.75" customHeight="1">
      <c r="A25" s="99">
        <v>22</v>
      </c>
      <c r="B25" s="100">
        <v>1000</v>
      </c>
      <c r="C25" s="323"/>
      <c r="D25" s="324"/>
      <c r="E25" s="19" t="s">
        <v>167</v>
      </c>
      <c r="F25" s="19" t="s">
        <v>166</v>
      </c>
      <c r="G25" s="324"/>
      <c r="H25" s="19"/>
      <c r="I25" s="80">
        <v>0.3125</v>
      </c>
      <c r="J25" s="80">
        <v>0.64583333333333337</v>
      </c>
      <c r="K25" s="80">
        <v>4.1666666666666664E-2</v>
      </c>
      <c r="L25" s="80">
        <v>0.3125</v>
      </c>
      <c r="M25" s="81">
        <v>0.58333333333333337</v>
      </c>
      <c r="N25" s="82">
        <v>4.1666666666666664E-2</v>
      </c>
      <c r="O25" s="83">
        <v>0.22916666666666666</v>
      </c>
      <c r="P25" s="84" t="s">
        <v>1924</v>
      </c>
    </row>
    <row r="26" spans="1:26" ht="15.75" customHeight="1">
      <c r="A26" s="99">
        <v>23</v>
      </c>
      <c r="B26" s="100">
        <v>1000</v>
      </c>
      <c r="C26" s="323"/>
      <c r="D26" s="91" t="s">
        <v>168</v>
      </c>
      <c r="E26" s="19" t="s">
        <v>171</v>
      </c>
      <c r="F26" s="19" t="s">
        <v>170</v>
      </c>
      <c r="G26" s="27" t="s">
        <v>172</v>
      </c>
      <c r="H26" s="19"/>
      <c r="I26" s="80">
        <v>0.3125</v>
      </c>
      <c r="J26" s="80">
        <v>0.64583333333333337</v>
      </c>
      <c r="K26" s="80">
        <v>4.1666666666666664E-2</v>
      </c>
      <c r="L26" s="80">
        <v>0.3125</v>
      </c>
      <c r="M26" s="81">
        <v>0.58333333333333337</v>
      </c>
      <c r="N26" s="82">
        <v>4.1666666666666664E-2</v>
      </c>
      <c r="O26" s="83">
        <v>0.22916666666666666</v>
      </c>
      <c r="P26" s="84" t="s">
        <v>1924</v>
      </c>
    </row>
    <row r="27" spans="1:26" ht="15.75" customHeight="1">
      <c r="A27" s="99">
        <v>24</v>
      </c>
      <c r="B27" s="100">
        <v>1000</v>
      </c>
      <c r="C27" s="323"/>
      <c r="D27" s="91" t="s">
        <v>2111</v>
      </c>
      <c r="E27" s="19" t="s">
        <v>2112</v>
      </c>
      <c r="F27" s="19" t="s">
        <v>2113</v>
      </c>
      <c r="G27" s="27"/>
      <c r="H27" s="19"/>
      <c r="I27" s="80"/>
      <c r="J27" s="80"/>
      <c r="K27" s="80"/>
      <c r="L27" s="80"/>
      <c r="M27" s="81"/>
      <c r="N27" s="82"/>
      <c r="O27" s="83"/>
      <c r="P27" s="84"/>
    </row>
    <row r="28" spans="1:26" ht="15.75" customHeight="1">
      <c r="A28" s="99">
        <v>25</v>
      </c>
      <c r="B28" s="100">
        <v>1000</v>
      </c>
      <c r="C28" s="324"/>
      <c r="D28" s="91" t="s">
        <v>206</v>
      </c>
      <c r="E28" s="19" t="s">
        <v>209</v>
      </c>
      <c r="F28" s="19" t="s">
        <v>208</v>
      </c>
      <c r="G28" s="27">
        <v>1111025002</v>
      </c>
      <c r="H28" s="19"/>
      <c r="I28" s="80">
        <v>0.3125</v>
      </c>
      <c r="J28" s="80">
        <v>0.64583333333333337</v>
      </c>
      <c r="K28" s="80">
        <v>4.1666666666666664E-2</v>
      </c>
      <c r="L28" s="80">
        <v>0.3125</v>
      </c>
      <c r="M28" s="81">
        <v>0.58333333333333337</v>
      </c>
      <c r="N28" s="82">
        <v>4.1666666666666664E-2</v>
      </c>
      <c r="O28" s="83">
        <v>0.22916666666666666</v>
      </c>
      <c r="P28" s="84" t="s">
        <v>1924</v>
      </c>
    </row>
    <row r="29" spans="1:26" ht="15.75" customHeight="1">
      <c r="A29" s="99">
        <v>26</v>
      </c>
      <c r="B29" s="100">
        <v>1000</v>
      </c>
      <c r="C29" s="327" t="s">
        <v>173</v>
      </c>
      <c r="D29" s="327" t="s">
        <v>173</v>
      </c>
      <c r="E29" s="19" t="s">
        <v>176</v>
      </c>
      <c r="F29" s="19" t="s">
        <v>175</v>
      </c>
      <c r="G29" s="27" t="s">
        <v>177</v>
      </c>
      <c r="H29" s="19"/>
      <c r="I29" s="80">
        <v>0.3125</v>
      </c>
      <c r="J29" s="80">
        <v>0.97916666666666663</v>
      </c>
      <c r="K29" s="80">
        <v>8.3333333333333329E-2</v>
      </c>
      <c r="L29" s="80">
        <v>0.3125</v>
      </c>
      <c r="M29" s="81">
        <v>0.97916666666666663</v>
      </c>
      <c r="N29" s="82">
        <v>8.3333333333333329E-2</v>
      </c>
      <c r="O29" s="83">
        <v>0.58333333333333337</v>
      </c>
      <c r="P29" s="84" t="s">
        <v>1924</v>
      </c>
    </row>
    <row r="30" spans="1:26" ht="15.75" customHeight="1">
      <c r="A30" s="99">
        <v>27</v>
      </c>
      <c r="B30" s="100">
        <v>1000</v>
      </c>
      <c r="C30" s="323"/>
      <c r="D30" s="323"/>
      <c r="E30" s="19" t="s">
        <v>180</v>
      </c>
      <c r="F30" s="19" t="s">
        <v>179</v>
      </c>
      <c r="G30" s="27" t="s">
        <v>181</v>
      </c>
      <c r="H30" s="19"/>
      <c r="I30" s="80">
        <v>0.3125</v>
      </c>
      <c r="J30" s="80">
        <v>0.97916666666666663</v>
      </c>
      <c r="K30" s="80">
        <v>8.3333333333333329E-2</v>
      </c>
      <c r="L30" s="80">
        <v>0.3125</v>
      </c>
      <c r="M30" s="81">
        <v>0.97916666666666663</v>
      </c>
      <c r="N30" s="82">
        <v>8.3333333333333329E-2</v>
      </c>
      <c r="O30" s="83">
        <v>0.58333333333333337</v>
      </c>
      <c r="P30" s="84" t="s">
        <v>1924</v>
      </c>
    </row>
    <row r="31" spans="1:26" ht="15.75" customHeight="1">
      <c r="A31" s="99">
        <v>28</v>
      </c>
      <c r="B31" s="100">
        <v>1000</v>
      </c>
      <c r="C31" s="323"/>
      <c r="D31" s="323"/>
      <c r="E31" s="19" t="s">
        <v>184</v>
      </c>
      <c r="F31" s="19" t="s">
        <v>183</v>
      </c>
      <c r="G31" s="27" t="s">
        <v>185</v>
      </c>
      <c r="H31" s="19"/>
      <c r="I31" s="80">
        <v>0.3125</v>
      </c>
      <c r="J31" s="80">
        <v>0.97916666666666663</v>
      </c>
      <c r="K31" s="80">
        <v>8.3333333333333329E-2</v>
      </c>
      <c r="L31" s="80">
        <v>0.3125</v>
      </c>
      <c r="M31" s="81">
        <v>0.97916666666666663</v>
      </c>
      <c r="N31" s="82">
        <v>8.3333333333333329E-2</v>
      </c>
      <c r="O31" s="83">
        <v>0.58333333333333337</v>
      </c>
      <c r="P31" s="84" t="s">
        <v>1924</v>
      </c>
    </row>
    <row r="32" spans="1:26" ht="15.75" customHeight="1">
      <c r="A32" s="99">
        <v>29</v>
      </c>
      <c r="B32" s="100">
        <v>1000</v>
      </c>
      <c r="C32" s="323"/>
      <c r="D32" s="323"/>
      <c r="E32" s="19" t="s">
        <v>188</v>
      </c>
      <c r="F32" s="19" t="s">
        <v>187</v>
      </c>
      <c r="G32" s="27" t="s">
        <v>189</v>
      </c>
      <c r="H32" s="19"/>
      <c r="I32" s="80">
        <v>0.3125</v>
      </c>
      <c r="J32" s="101">
        <v>0.64583333333333337</v>
      </c>
      <c r="K32" s="80">
        <v>4.1666666666666664E-2</v>
      </c>
      <c r="L32" s="80">
        <v>0.3125</v>
      </c>
      <c r="M32" s="81">
        <v>0.64583333333333337</v>
      </c>
      <c r="N32" s="82">
        <v>4.1666666666666664E-2</v>
      </c>
      <c r="O32" s="83">
        <v>0.29166666666666669</v>
      </c>
      <c r="P32" s="84" t="s">
        <v>1924</v>
      </c>
    </row>
    <row r="33" spans="1:16" ht="15.75" customHeight="1">
      <c r="A33" s="99">
        <v>30</v>
      </c>
      <c r="B33" s="100">
        <v>1000</v>
      </c>
      <c r="C33" s="323"/>
      <c r="D33" s="323"/>
      <c r="E33" s="19" t="s">
        <v>192</v>
      </c>
      <c r="F33" s="19" t="s">
        <v>191</v>
      </c>
      <c r="G33" s="27" t="s">
        <v>193</v>
      </c>
      <c r="H33" s="19"/>
      <c r="I33" s="80">
        <v>0.3125</v>
      </c>
      <c r="J33" s="80">
        <v>0.64583333333333337</v>
      </c>
      <c r="K33" s="80">
        <v>4.1666666666666664E-2</v>
      </c>
      <c r="L33" s="80">
        <v>0.3125</v>
      </c>
      <c r="M33" s="81">
        <v>0.64583333333333337</v>
      </c>
      <c r="N33" s="82">
        <v>4.1666666666666664E-2</v>
      </c>
      <c r="O33" s="83">
        <v>0.29166666666666669</v>
      </c>
      <c r="P33" s="84" t="s">
        <v>1924</v>
      </c>
    </row>
    <row r="34" spans="1:16" ht="15.75" customHeight="1">
      <c r="A34" s="99">
        <v>31</v>
      </c>
      <c r="B34" s="100">
        <v>1000</v>
      </c>
      <c r="C34" s="323"/>
      <c r="D34" s="323"/>
      <c r="E34" s="19" t="s">
        <v>196</v>
      </c>
      <c r="F34" s="19" t="s">
        <v>195</v>
      </c>
      <c r="G34" s="27" t="s">
        <v>197</v>
      </c>
      <c r="H34" s="19"/>
      <c r="I34" s="80">
        <v>0.3125</v>
      </c>
      <c r="J34" s="80">
        <v>0.97916666666666663</v>
      </c>
      <c r="K34" s="80">
        <v>8.3333333333333329E-2</v>
      </c>
      <c r="L34" s="80">
        <v>0.3125</v>
      </c>
      <c r="M34" s="81">
        <v>0.97916666666666663</v>
      </c>
      <c r="N34" s="82">
        <v>8.3333333333333329E-2</v>
      </c>
      <c r="O34" s="83">
        <v>0.58333333333333337</v>
      </c>
      <c r="P34" s="84" t="s">
        <v>1924</v>
      </c>
    </row>
    <row r="35" spans="1:16" ht="15.75" customHeight="1">
      <c r="A35" s="99">
        <v>32</v>
      </c>
      <c r="B35" s="100">
        <v>1000</v>
      </c>
      <c r="C35" s="323"/>
      <c r="D35" s="323"/>
      <c r="E35" s="19" t="s">
        <v>200</v>
      </c>
      <c r="F35" s="19" t="s">
        <v>199</v>
      </c>
      <c r="G35" s="27" t="s">
        <v>201</v>
      </c>
      <c r="H35" s="19"/>
      <c r="I35" s="80">
        <v>0.3125</v>
      </c>
      <c r="J35" s="101">
        <v>0.64583333333333337</v>
      </c>
      <c r="K35" s="80">
        <v>4.1666666666666664E-2</v>
      </c>
      <c r="L35" s="80">
        <v>0.3125</v>
      </c>
      <c r="M35" s="81">
        <v>0.64583333333333337</v>
      </c>
      <c r="N35" s="82">
        <v>4.1666666666666664E-2</v>
      </c>
      <c r="O35" s="83">
        <v>0.29166666666666669</v>
      </c>
      <c r="P35" s="84" t="s">
        <v>1924</v>
      </c>
    </row>
    <row r="36" spans="1:16" ht="18.75" customHeight="1">
      <c r="A36" s="99">
        <v>33</v>
      </c>
      <c r="B36" s="100">
        <v>1000</v>
      </c>
      <c r="C36" s="324"/>
      <c r="D36" s="324"/>
      <c r="E36" s="19" t="s">
        <v>204</v>
      </c>
      <c r="F36" s="19" t="s">
        <v>203</v>
      </c>
      <c r="G36" s="27" t="s">
        <v>205</v>
      </c>
      <c r="H36" s="153" t="s">
        <v>1940</v>
      </c>
      <c r="I36" s="80">
        <v>0.3125</v>
      </c>
      <c r="J36" s="80">
        <v>0.97916666666666663</v>
      </c>
      <c r="K36" s="80">
        <v>8.3333333333333329E-2</v>
      </c>
      <c r="L36" s="80">
        <v>0.3125</v>
      </c>
      <c r="M36" s="107">
        <v>0.97916666666666663</v>
      </c>
      <c r="N36" s="82">
        <v>8.3333333333333329E-2</v>
      </c>
      <c r="O36" s="83">
        <v>0.58333333333333337</v>
      </c>
      <c r="P36" s="84" t="s">
        <v>1924</v>
      </c>
    </row>
    <row r="37" spans="1:16" ht="15.75" customHeight="1">
      <c r="A37" s="99">
        <v>34</v>
      </c>
      <c r="B37" s="100">
        <v>1000</v>
      </c>
      <c r="C37" s="327" t="s">
        <v>1941</v>
      </c>
      <c r="D37" s="327" t="s">
        <v>210</v>
      </c>
      <c r="E37" s="19" t="s">
        <v>213</v>
      </c>
      <c r="F37" s="19" t="s">
        <v>212</v>
      </c>
      <c r="G37" s="327" t="s">
        <v>214</v>
      </c>
      <c r="H37" s="19" t="s">
        <v>1942</v>
      </c>
      <c r="I37" s="80">
        <v>0.3125</v>
      </c>
      <c r="J37" s="80">
        <v>0.64583333333333337</v>
      </c>
      <c r="K37" s="80">
        <v>4.1666666666666664E-2</v>
      </c>
      <c r="L37" s="80">
        <v>0.3125</v>
      </c>
      <c r="M37" s="81">
        <v>0.58333333333333337</v>
      </c>
      <c r="N37" s="82">
        <v>4.1666666666666664E-2</v>
      </c>
      <c r="O37" s="83">
        <v>0.22916666666666666</v>
      </c>
      <c r="P37" s="84" t="s">
        <v>1924</v>
      </c>
    </row>
    <row r="38" spans="1:16" ht="15.75" customHeight="1">
      <c r="A38" s="99">
        <v>35</v>
      </c>
      <c r="B38" s="100">
        <v>1000</v>
      </c>
      <c r="C38" s="323"/>
      <c r="D38" s="324"/>
      <c r="E38" s="19" t="s">
        <v>219</v>
      </c>
      <c r="F38" s="19" t="s">
        <v>218</v>
      </c>
      <c r="G38" s="324"/>
      <c r="H38" s="19" t="s">
        <v>1942</v>
      </c>
      <c r="I38" s="80">
        <v>0.3125</v>
      </c>
      <c r="J38" s="80">
        <v>0.64583333333333337</v>
      </c>
      <c r="K38" s="80">
        <v>4.1666666666666664E-2</v>
      </c>
      <c r="L38" s="80">
        <v>0.3125</v>
      </c>
      <c r="M38" s="81">
        <v>0.58333333333333337</v>
      </c>
      <c r="N38" s="82">
        <v>4.1666666666666664E-2</v>
      </c>
      <c r="O38" s="83">
        <v>0.22916666666666666</v>
      </c>
      <c r="P38" s="84" t="s">
        <v>1924</v>
      </c>
    </row>
    <row r="39" spans="1:16" ht="15.75" customHeight="1">
      <c r="A39" s="99">
        <v>36</v>
      </c>
      <c r="B39" s="100">
        <v>1000</v>
      </c>
      <c r="C39" s="323"/>
      <c r="D39" s="327" t="s">
        <v>227</v>
      </c>
      <c r="E39" s="19" t="s">
        <v>230</v>
      </c>
      <c r="F39" s="19" t="s">
        <v>229</v>
      </c>
      <c r="G39" s="27" t="s">
        <v>231</v>
      </c>
      <c r="H39" s="19" t="s">
        <v>1942</v>
      </c>
      <c r="I39" s="80">
        <v>0.3125</v>
      </c>
      <c r="J39" s="80">
        <v>0.64583333333333337</v>
      </c>
      <c r="K39" s="80">
        <v>4.1666666666666664E-2</v>
      </c>
      <c r="L39" s="80">
        <v>0.3125</v>
      </c>
      <c r="M39" s="81">
        <v>0.58333333333333337</v>
      </c>
      <c r="N39" s="82">
        <v>4.1666666666666664E-2</v>
      </c>
      <c r="O39" s="83">
        <v>0.22916666666666666</v>
      </c>
      <c r="P39" s="84" t="s">
        <v>1924</v>
      </c>
    </row>
    <row r="40" spans="1:16" ht="15.75" customHeight="1">
      <c r="A40" s="99">
        <v>37</v>
      </c>
      <c r="B40" s="100">
        <v>1000</v>
      </c>
      <c r="C40" s="323"/>
      <c r="D40" s="323"/>
      <c r="E40" s="19" t="s">
        <v>234</v>
      </c>
      <c r="F40" s="19" t="s">
        <v>233</v>
      </c>
      <c r="G40" s="27" t="s">
        <v>235</v>
      </c>
      <c r="H40" s="19" t="s">
        <v>1942</v>
      </c>
      <c r="I40" s="80">
        <v>0.3125</v>
      </c>
      <c r="J40" s="80">
        <v>0.64583333333333337</v>
      </c>
      <c r="K40" s="80">
        <v>4.1666666666666664E-2</v>
      </c>
      <c r="L40" s="80">
        <v>0.3125</v>
      </c>
      <c r="M40" s="81">
        <v>0.58333333333333337</v>
      </c>
      <c r="N40" s="82">
        <v>4.1666666666666664E-2</v>
      </c>
      <c r="O40" s="83">
        <v>0.22916666666666666</v>
      </c>
      <c r="P40" s="84" t="s">
        <v>1924</v>
      </c>
    </row>
    <row r="41" spans="1:16" ht="15.75" customHeight="1">
      <c r="A41" s="99">
        <v>38</v>
      </c>
      <c r="B41" s="100">
        <v>1000</v>
      </c>
      <c r="C41" s="323"/>
      <c r="D41" s="323"/>
      <c r="E41" s="19" t="s">
        <v>239</v>
      </c>
      <c r="F41" s="19" t="s">
        <v>238</v>
      </c>
      <c r="G41" s="27" t="s">
        <v>235</v>
      </c>
      <c r="H41" s="19" t="s">
        <v>1942</v>
      </c>
      <c r="I41" s="80">
        <v>0.3125</v>
      </c>
      <c r="J41" s="80">
        <v>0.64583333333333337</v>
      </c>
      <c r="K41" s="80">
        <v>4.1666666666666664E-2</v>
      </c>
      <c r="L41" s="80">
        <v>0.3125</v>
      </c>
      <c r="M41" s="81">
        <v>0.58333333333333337</v>
      </c>
      <c r="N41" s="82">
        <v>4.1666666666666664E-2</v>
      </c>
      <c r="O41" s="83">
        <v>0.22916666666666666</v>
      </c>
      <c r="P41" s="84" t="s">
        <v>1924</v>
      </c>
    </row>
    <row r="42" spans="1:16" ht="15.75" customHeight="1">
      <c r="A42" s="99">
        <v>39</v>
      </c>
      <c r="B42" s="100">
        <v>1000</v>
      </c>
      <c r="C42" s="323"/>
      <c r="D42" s="323"/>
      <c r="E42" s="19" t="s">
        <v>242</v>
      </c>
      <c r="F42" s="19" t="s">
        <v>241</v>
      </c>
      <c r="G42" s="27" t="s">
        <v>243</v>
      </c>
      <c r="H42" s="19" t="s">
        <v>1942</v>
      </c>
      <c r="I42" s="80">
        <v>0.3125</v>
      </c>
      <c r="J42" s="80">
        <v>0.64583333333333337</v>
      </c>
      <c r="K42" s="80">
        <v>4.1666666666666664E-2</v>
      </c>
      <c r="L42" s="80">
        <v>0.3125</v>
      </c>
      <c r="M42" s="81">
        <v>0.58333333333333337</v>
      </c>
      <c r="N42" s="82">
        <v>4.1666666666666664E-2</v>
      </c>
      <c r="O42" s="83">
        <v>0.22916666666666666</v>
      </c>
      <c r="P42" s="84" t="s">
        <v>1924</v>
      </c>
    </row>
    <row r="43" spans="1:16" ht="15.75" customHeight="1">
      <c r="A43" s="99">
        <v>40</v>
      </c>
      <c r="B43" s="100">
        <v>1000</v>
      </c>
      <c r="C43" s="323"/>
      <c r="D43" s="324"/>
      <c r="E43" s="19" t="s">
        <v>246</v>
      </c>
      <c r="F43" s="19" t="s">
        <v>245</v>
      </c>
      <c r="G43" s="27" t="s">
        <v>243</v>
      </c>
      <c r="H43" s="19" t="s">
        <v>1942</v>
      </c>
      <c r="I43" s="80">
        <v>0.3125</v>
      </c>
      <c r="J43" s="80">
        <v>0.64583333333333337</v>
      </c>
      <c r="K43" s="80">
        <v>4.1666666666666664E-2</v>
      </c>
      <c r="L43" s="80">
        <v>0.3125</v>
      </c>
      <c r="M43" s="81">
        <v>0.58333333333333337</v>
      </c>
      <c r="N43" s="82">
        <v>4.1666666666666664E-2</v>
      </c>
      <c r="O43" s="83">
        <v>0.22916666666666666</v>
      </c>
      <c r="P43" s="84" t="s">
        <v>1924</v>
      </c>
    </row>
    <row r="44" spans="1:16" ht="15.75" customHeight="1">
      <c r="A44" s="99">
        <v>41</v>
      </c>
      <c r="B44" s="100">
        <v>1000</v>
      </c>
      <c r="C44" s="323"/>
      <c r="D44" s="327" t="s">
        <v>247</v>
      </c>
      <c r="E44" s="19" t="s">
        <v>250</v>
      </c>
      <c r="F44" s="154" t="s">
        <v>251</v>
      </c>
      <c r="G44" s="27">
        <v>1111034003</v>
      </c>
      <c r="H44" s="19"/>
      <c r="I44" s="80">
        <v>0.3125</v>
      </c>
      <c r="J44" s="80">
        <v>0.64583333333333337</v>
      </c>
      <c r="K44" s="80">
        <v>4.1666666666666664E-2</v>
      </c>
      <c r="L44" s="80">
        <v>0.3125</v>
      </c>
      <c r="M44" s="81">
        <v>0.58333333333333337</v>
      </c>
      <c r="N44" s="82">
        <v>4.1666666666666664E-2</v>
      </c>
      <c r="O44" s="83">
        <v>0.22916666666666666</v>
      </c>
      <c r="P44" s="84" t="s">
        <v>1924</v>
      </c>
    </row>
    <row r="45" spans="1:16" ht="15.75" customHeight="1">
      <c r="A45" s="99">
        <v>42</v>
      </c>
      <c r="B45" s="100">
        <v>1000</v>
      </c>
      <c r="C45" s="323"/>
      <c r="D45" s="323"/>
      <c r="E45" s="19" t="s">
        <v>255</v>
      </c>
      <c r="F45" s="154" t="s">
        <v>256</v>
      </c>
      <c r="G45" s="27">
        <v>1111034001</v>
      </c>
      <c r="H45" s="19"/>
      <c r="I45" s="80"/>
      <c r="J45" s="80"/>
      <c r="K45" s="80"/>
      <c r="L45" s="80"/>
      <c r="M45" s="81"/>
      <c r="N45" s="82"/>
      <c r="O45" s="83"/>
      <c r="P45" s="84"/>
    </row>
    <row r="46" spans="1:16" ht="15.75" customHeight="1">
      <c r="A46" s="99">
        <v>43</v>
      </c>
      <c r="B46" s="100">
        <v>1000</v>
      </c>
      <c r="C46" s="323"/>
      <c r="D46" s="324"/>
      <c r="E46" s="19" t="s">
        <v>257</v>
      </c>
      <c r="F46" s="154" t="s">
        <v>258</v>
      </c>
      <c r="G46" s="27">
        <v>1111034002</v>
      </c>
      <c r="H46" s="19"/>
      <c r="I46" s="80">
        <v>0.3125</v>
      </c>
      <c r="J46" s="80">
        <v>0.64583333333333337</v>
      </c>
      <c r="K46" s="80">
        <v>4.1666666666666664E-2</v>
      </c>
      <c r="L46" s="80">
        <v>0.3125</v>
      </c>
      <c r="M46" s="81">
        <v>0.58333333333333337</v>
      </c>
      <c r="N46" s="82">
        <v>4.1666666666666664E-2</v>
      </c>
      <c r="O46" s="83">
        <v>0.22916666666666666</v>
      </c>
      <c r="P46" s="84" t="s">
        <v>1924</v>
      </c>
    </row>
    <row r="47" spans="1:16" ht="15.75" customHeight="1">
      <c r="A47" s="99">
        <v>44</v>
      </c>
      <c r="B47" s="100">
        <v>1000</v>
      </c>
      <c r="C47" s="323"/>
      <c r="D47" s="327" t="s">
        <v>215</v>
      </c>
      <c r="E47" s="19" t="s">
        <v>261</v>
      </c>
      <c r="F47" s="19" t="s">
        <v>260</v>
      </c>
      <c r="G47" s="27" t="s">
        <v>262</v>
      </c>
      <c r="H47" s="19" t="s">
        <v>1943</v>
      </c>
      <c r="I47" s="80">
        <v>0.3125</v>
      </c>
      <c r="J47" s="80">
        <v>0.64583333333333337</v>
      </c>
      <c r="K47" s="80">
        <v>4.1666666666666664E-2</v>
      </c>
      <c r="L47" s="80">
        <v>0.3125</v>
      </c>
      <c r="M47" s="81">
        <v>0.58333333333333337</v>
      </c>
      <c r="N47" s="82">
        <v>4.1666666666666664E-2</v>
      </c>
      <c r="O47" s="83">
        <v>0.22916666666666666</v>
      </c>
      <c r="P47" s="84" t="s">
        <v>1924</v>
      </c>
    </row>
    <row r="48" spans="1:16" ht="15.75" customHeight="1">
      <c r="A48" s="99">
        <v>45</v>
      </c>
      <c r="B48" s="100">
        <v>1000</v>
      </c>
      <c r="C48" s="323"/>
      <c r="D48" s="323"/>
      <c r="E48" s="19" t="s">
        <v>265</v>
      </c>
      <c r="F48" s="19" t="s">
        <v>264</v>
      </c>
      <c r="G48" s="27" t="s">
        <v>266</v>
      </c>
      <c r="H48" s="19"/>
      <c r="I48" s="80">
        <v>0.3125</v>
      </c>
      <c r="J48" s="80">
        <v>0.64583333333333337</v>
      </c>
      <c r="K48" s="80">
        <v>4.1666666666666664E-2</v>
      </c>
      <c r="L48" s="80">
        <v>0.3125</v>
      </c>
      <c r="M48" s="81">
        <v>0.58333333333333337</v>
      </c>
      <c r="N48" s="82">
        <v>4.1666666666666664E-2</v>
      </c>
      <c r="O48" s="83">
        <v>0.22916666666666666</v>
      </c>
      <c r="P48" s="84" t="s">
        <v>1924</v>
      </c>
    </row>
    <row r="49" spans="1:16" ht="15.75" customHeight="1">
      <c r="A49" s="99">
        <v>46</v>
      </c>
      <c r="B49" s="100">
        <v>1000</v>
      </c>
      <c r="C49" s="323"/>
      <c r="D49" s="323"/>
      <c r="E49" s="19" t="s">
        <v>269</v>
      </c>
      <c r="F49" s="19" t="s">
        <v>268</v>
      </c>
      <c r="G49" s="27" t="s">
        <v>270</v>
      </c>
      <c r="H49" s="19"/>
      <c r="I49" s="80">
        <v>0.3125</v>
      </c>
      <c r="J49" s="80">
        <v>0.64583333333333337</v>
      </c>
      <c r="K49" s="80">
        <v>4.1666666666666664E-2</v>
      </c>
      <c r="L49" s="80">
        <v>0.3125</v>
      </c>
      <c r="M49" s="81">
        <v>0.58333333333333337</v>
      </c>
      <c r="N49" s="82">
        <v>4.1666666666666664E-2</v>
      </c>
      <c r="O49" s="83">
        <v>0.22916666666666666</v>
      </c>
      <c r="P49" s="84" t="s">
        <v>1924</v>
      </c>
    </row>
    <row r="50" spans="1:16" ht="15.75" customHeight="1">
      <c r="A50" s="99">
        <v>47</v>
      </c>
      <c r="B50" s="100">
        <v>1000</v>
      </c>
      <c r="C50" s="323"/>
      <c r="D50" s="323"/>
      <c r="E50" s="19" t="s">
        <v>273</v>
      </c>
      <c r="F50" s="19" t="s">
        <v>272</v>
      </c>
      <c r="G50" s="27" t="s">
        <v>274</v>
      </c>
      <c r="H50" s="19"/>
      <c r="I50" s="80">
        <v>0.3125</v>
      </c>
      <c r="J50" s="80">
        <v>0.64583333333333337</v>
      </c>
      <c r="K50" s="80">
        <v>4.1666666666666664E-2</v>
      </c>
      <c r="L50" s="80">
        <v>0.3125</v>
      </c>
      <c r="M50" s="81">
        <v>0.58333333333333337</v>
      </c>
      <c r="N50" s="82">
        <v>4.1666666666666664E-2</v>
      </c>
      <c r="O50" s="83">
        <v>0.22916666666666666</v>
      </c>
      <c r="P50" s="84" t="s">
        <v>1924</v>
      </c>
    </row>
    <row r="51" spans="1:16" ht="15.75" customHeight="1">
      <c r="A51" s="99">
        <v>48</v>
      </c>
      <c r="B51" s="100">
        <v>1000</v>
      </c>
      <c r="C51" s="323"/>
      <c r="D51" s="323"/>
      <c r="E51" s="19" t="s">
        <v>277</v>
      </c>
      <c r="F51" s="19" t="s">
        <v>276</v>
      </c>
      <c r="G51" s="27" t="s">
        <v>278</v>
      </c>
      <c r="H51" s="19"/>
      <c r="I51" s="80">
        <v>0.3125</v>
      </c>
      <c r="J51" s="80">
        <v>0.64583333333333337</v>
      </c>
      <c r="K51" s="80">
        <v>4.1666666666666664E-2</v>
      </c>
      <c r="L51" s="80">
        <v>0.3125</v>
      </c>
      <c r="M51" s="81">
        <v>0.58333333333333337</v>
      </c>
      <c r="N51" s="82">
        <v>4.1666666666666664E-2</v>
      </c>
      <c r="O51" s="83">
        <v>0.22916666666666666</v>
      </c>
      <c r="P51" s="84" t="s">
        <v>1924</v>
      </c>
    </row>
    <row r="52" spans="1:16" ht="15.75" customHeight="1">
      <c r="A52" s="99">
        <v>49</v>
      </c>
      <c r="B52" s="100">
        <v>1000</v>
      </c>
      <c r="C52" s="323"/>
      <c r="D52" s="323"/>
      <c r="E52" s="19" t="s">
        <v>281</v>
      </c>
      <c r="F52" s="19" t="s">
        <v>280</v>
      </c>
      <c r="G52" s="27" t="s">
        <v>282</v>
      </c>
      <c r="H52" s="19"/>
      <c r="I52" s="80">
        <v>0.3125</v>
      </c>
      <c r="J52" s="80">
        <v>0.64583333333333337</v>
      </c>
      <c r="K52" s="80">
        <v>4.1666666666666664E-2</v>
      </c>
      <c r="L52" s="80">
        <v>0.3125</v>
      </c>
      <c r="M52" s="81">
        <v>0.58333333333333337</v>
      </c>
      <c r="N52" s="82">
        <v>4.1666666666666664E-2</v>
      </c>
      <c r="O52" s="83">
        <v>0.22916666666666666</v>
      </c>
      <c r="P52" s="84" t="s">
        <v>1924</v>
      </c>
    </row>
    <row r="53" spans="1:16" ht="15.75" customHeight="1">
      <c r="A53" s="99">
        <v>50</v>
      </c>
      <c r="B53" s="100">
        <v>1000</v>
      </c>
      <c r="C53" s="323"/>
      <c r="D53" s="323"/>
      <c r="E53" s="19" t="s">
        <v>285</v>
      </c>
      <c r="F53" s="19" t="s">
        <v>284</v>
      </c>
      <c r="G53" s="27" t="s">
        <v>270</v>
      </c>
      <c r="H53" s="19"/>
      <c r="I53" s="80">
        <v>0.3125</v>
      </c>
      <c r="J53" s="80">
        <v>0.64583333333333337</v>
      </c>
      <c r="K53" s="80">
        <v>4.1666666666666664E-2</v>
      </c>
      <c r="L53" s="80">
        <v>0.3125</v>
      </c>
      <c r="M53" s="81">
        <v>0.58333333333333337</v>
      </c>
      <c r="N53" s="82">
        <v>4.1666666666666664E-2</v>
      </c>
      <c r="O53" s="83">
        <v>0.22916666666666666</v>
      </c>
      <c r="P53" s="84" t="s">
        <v>1924</v>
      </c>
    </row>
    <row r="54" spans="1:16" ht="15.75" customHeight="1">
      <c r="A54" s="99">
        <v>51</v>
      </c>
      <c r="B54" s="100">
        <v>1000</v>
      </c>
      <c r="C54" s="323"/>
      <c r="D54" s="323"/>
      <c r="E54" s="19" t="s">
        <v>288</v>
      </c>
      <c r="F54" s="19" t="s">
        <v>287</v>
      </c>
      <c r="G54" s="27" t="s">
        <v>289</v>
      </c>
      <c r="H54" s="19"/>
      <c r="I54" s="80">
        <v>0.3125</v>
      </c>
      <c r="J54" s="80">
        <v>0.64583333333333337</v>
      </c>
      <c r="K54" s="80">
        <v>4.1666666666666664E-2</v>
      </c>
      <c r="L54" s="80">
        <v>0.3125</v>
      </c>
      <c r="M54" s="81">
        <v>0.58333333333333337</v>
      </c>
      <c r="N54" s="82">
        <v>4.1666666666666664E-2</v>
      </c>
      <c r="O54" s="83">
        <v>0.22916666666666666</v>
      </c>
      <c r="P54" s="84" t="s">
        <v>1924</v>
      </c>
    </row>
    <row r="55" spans="1:16" ht="15.75" customHeight="1">
      <c r="A55" s="99">
        <v>52</v>
      </c>
      <c r="B55" s="100">
        <v>1000</v>
      </c>
      <c r="C55" s="323"/>
      <c r="D55" s="323"/>
      <c r="E55" s="19" t="s">
        <v>292</v>
      </c>
      <c r="F55" s="19" t="s">
        <v>291</v>
      </c>
      <c r="G55" s="27" t="s">
        <v>293</v>
      </c>
      <c r="H55" s="19"/>
      <c r="I55" s="80">
        <v>0.3125</v>
      </c>
      <c r="J55" s="80">
        <v>0.64583333333333337</v>
      </c>
      <c r="K55" s="80">
        <v>4.1666666666666664E-2</v>
      </c>
      <c r="L55" s="80">
        <v>0.3125</v>
      </c>
      <c r="M55" s="81">
        <v>0.58333333333333337</v>
      </c>
      <c r="N55" s="82">
        <v>4.1666666666666664E-2</v>
      </c>
      <c r="O55" s="83">
        <v>0.22916666666666666</v>
      </c>
      <c r="P55" s="84" t="s">
        <v>1924</v>
      </c>
    </row>
    <row r="56" spans="1:16" ht="15.75" customHeight="1">
      <c r="A56" s="99">
        <v>53</v>
      </c>
      <c r="B56" s="100">
        <v>1000</v>
      </c>
      <c r="C56" s="323"/>
      <c r="D56" s="323"/>
      <c r="E56" s="19" t="s">
        <v>300</v>
      </c>
      <c r="F56" s="19" t="s">
        <v>301</v>
      </c>
      <c r="G56" s="27" t="s">
        <v>302</v>
      </c>
      <c r="H56" s="19" t="s">
        <v>1944</v>
      </c>
      <c r="I56" s="80">
        <v>0.3125</v>
      </c>
      <c r="J56" s="80">
        <v>0.64583333333333337</v>
      </c>
      <c r="K56" s="80">
        <v>4.1666666666666664E-2</v>
      </c>
      <c r="L56" s="80">
        <v>0.3125</v>
      </c>
      <c r="M56" s="81">
        <v>0.58333333333333337</v>
      </c>
      <c r="N56" s="82">
        <v>4.1666666666666664E-2</v>
      </c>
      <c r="O56" s="83">
        <v>0.22916666666666666</v>
      </c>
      <c r="P56" s="84" t="s">
        <v>1924</v>
      </c>
    </row>
    <row r="57" spans="1:16" ht="15.75" customHeight="1">
      <c r="A57" s="99">
        <v>54</v>
      </c>
      <c r="B57" s="100">
        <v>1000</v>
      </c>
      <c r="C57" s="324"/>
      <c r="D57" s="324"/>
      <c r="E57" s="19" t="s">
        <v>305</v>
      </c>
      <c r="F57" s="19" t="s">
        <v>304</v>
      </c>
      <c r="G57" s="27" t="s">
        <v>306</v>
      </c>
      <c r="H57" s="19"/>
      <c r="I57" s="80">
        <v>0.3125</v>
      </c>
      <c r="J57" s="80">
        <v>0.64583333333333337</v>
      </c>
      <c r="K57" s="80">
        <v>4.1666666666666664E-2</v>
      </c>
      <c r="L57" s="80">
        <v>0.3125</v>
      </c>
      <c r="M57" s="81">
        <v>0.58333333333333337</v>
      </c>
      <c r="N57" s="82">
        <v>4.1666666666666664E-2</v>
      </c>
      <c r="O57" s="83">
        <v>0.22916666666666666</v>
      </c>
      <c r="P57" s="84" t="s">
        <v>1924</v>
      </c>
    </row>
    <row r="58" spans="1:16" ht="15.75" customHeight="1">
      <c r="A58" s="99">
        <v>55</v>
      </c>
      <c r="B58" s="100">
        <v>2000</v>
      </c>
      <c r="C58" s="328" t="s">
        <v>2114</v>
      </c>
      <c r="D58" s="91"/>
      <c r="E58" s="19" t="s">
        <v>320</v>
      </c>
      <c r="F58" s="19" t="s">
        <v>1947</v>
      </c>
      <c r="G58" s="27" t="s">
        <v>321</v>
      </c>
      <c r="H58" s="19" t="s">
        <v>1946</v>
      </c>
      <c r="I58" s="80">
        <v>0.3125</v>
      </c>
      <c r="J58" s="80">
        <v>0.3125</v>
      </c>
      <c r="K58" s="80">
        <v>0.125</v>
      </c>
      <c r="L58" s="80">
        <v>0.3125</v>
      </c>
      <c r="M58" s="81">
        <v>0.3125</v>
      </c>
      <c r="N58" s="82">
        <v>0.125</v>
      </c>
      <c r="O58" s="83">
        <v>0.875</v>
      </c>
      <c r="P58" s="84" t="s">
        <v>1924</v>
      </c>
    </row>
    <row r="59" spans="1:16" ht="15.75" customHeight="1">
      <c r="A59" s="99">
        <v>56</v>
      </c>
      <c r="B59" s="100">
        <v>2000</v>
      </c>
      <c r="C59" s="323"/>
      <c r="D59" s="91"/>
      <c r="E59" s="19" t="s">
        <v>337</v>
      </c>
      <c r="F59" s="19" t="s">
        <v>1948</v>
      </c>
      <c r="G59" s="27" t="s">
        <v>321</v>
      </c>
      <c r="H59" s="19" t="s">
        <v>1946</v>
      </c>
      <c r="I59" s="80">
        <v>0.3125</v>
      </c>
      <c r="J59" s="80">
        <v>0.3125</v>
      </c>
      <c r="K59" s="80">
        <v>0.125</v>
      </c>
      <c r="L59" s="80">
        <v>0.3125</v>
      </c>
      <c r="M59" s="81">
        <v>0.3125</v>
      </c>
      <c r="N59" s="82">
        <v>0.125</v>
      </c>
      <c r="O59" s="83">
        <v>0.875</v>
      </c>
      <c r="P59" s="84" t="s">
        <v>1924</v>
      </c>
    </row>
    <row r="60" spans="1:16" ht="15.75" customHeight="1">
      <c r="A60" s="99">
        <v>57</v>
      </c>
      <c r="B60" s="100">
        <v>2000</v>
      </c>
      <c r="C60" s="323"/>
      <c r="D60" s="327" t="s">
        <v>356</v>
      </c>
      <c r="E60" s="19" t="s">
        <v>359</v>
      </c>
      <c r="F60" s="19" t="s">
        <v>1953</v>
      </c>
      <c r="G60" s="27" t="s">
        <v>360</v>
      </c>
      <c r="H60" s="19"/>
      <c r="I60" s="80">
        <v>0.3125</v>
      </c>
      <c r="J60" s="80">
        <v>0.95833333333333337</v>
      </c>
      <c r="K60" s="80">
        <v>8.3333333333333329E-2</v>
      </c>
      <c r="L60" s="80">
        <v>0.3125</v>
      </c>
      <c r="M60" s="81">
        <v>0.97916666666666663</v>
      </c>
      <c r="N60" s="82">
        <v>8.3333333333333329E-2</v>
      </c>
      <c r="O60" s="83">
        <v>0.58333333333333337</v>
      </c>
      <c r="P60" s="84" t="s">
        <v>1924</v>
      </c>
    </row>
    <row r="61" spans="1:16" ht="15.75" customHeight="1">
      <c r="A61" s="99">
        <v>58</v>
      </c>
      <c r="B61" s="100">
        <v>2000</v>
      </c>
      <c r="C61" s="323"/>
      <c r="D61" s="323"/>
      <c r="E61" s="19" t="s">
        <v>371</v>
      </c>
      <c r="F61" s="19" t="s">
        <v>370</v>
      </c>
      <c r="G61" s="27" t="s">
        <v>372</v>
      </c>
      <c r="H61" s="19"/>
      <c r="I61" s="80">
        <v>0.3125</v>
      </c>
      <c r="J61" s="80">
        <v>0.97916666666666663</v>
      </c>
      <c r="K61" s="80">
        <v>8.3333333333333329E-2</v>
      </c>
      <c r="L61" s="80">
        <v>0.3125</v>
      </c>
      <c r="M61" s="81">
        <v>0.97916666666666663</v>
      </c>
      <c r="N61" s="82">
        <v>8.3333333333333329E-2</v>
      </c>
      <c r="O61" s="83">
        <v>0.58333333333333337</v>
      </c>
      <c r="P61" s="84" t="s">
        <v>1924</v>
      </c>
    </row>
    <row r="62" spans="1:16" ht="15.75" customHeight="1">
      <c r="A62" s="99">
        <v>59</v>
      </c>
      <c r="B62" s="100">
        <v>2000</v>
      </c>
      <c r="C62" s="323"/>
      <c r="D62" s="323"/>
      <c r="E62" s="19" t="s">
        <v>376</v>
      </c>
      <c r="F62" s="19" t="s">
        <v>375</v>
      </c>
      <c r="G62" s="27" t="s">
        <v>377</v>
      </c>
      <c r="H62" s="19"/>
      <c r="I62" s="80">
        <v>0.3125</v>
      </c>
      <c r="J62" s="80">
        <v>0.97916666666666663</v>
      </c>
      <c r="K62" s="80">
        <v>8.3333333333333329E-2</v>
      </c>
      <c r="L62" s="80">
        <v>0.3125</v>
      </c>
      <c r="M62" s="81">
        <v>0.97916666666666663</v>
      </c>
      <c r="N62" s="82">
        <v>8.3333333333333329E-2</v>
      </c>
      <c r="O62" s="83">
        <v>0.58333333333333337</v>
      </c>
      <c r="P62" s="84" t="s">
        <v>1924</v>
      </c>
    </row>
    <row r="63" spans="1:16" ht="15.75" customHeight="1">
      <c r="A63" s="99">
        <v>60</v>
      </c>
      <c r="B63" s="100">
        <v>2000</v>
      </c>
      <c r="C63" s="323"/>
      <c r="D63" s="324"/>
      <c r="E63" s="19" t="s">
        <v>380</v>
      </c>
      <c r="F63" s="19" t="s">
        <v>379</v>
      </c>
      <c r="G63" s="27" t="s">
        <v>381</v>
      </c>
      <c r="H63" s="19"/>
      <c r="I63" s="80">
        <v>0.3125</v>
      </c>
      <c r="J63" s="80">
        <v>0.97916666666666663</v>
      </c>
      <c r="K63" s="80">
        <v>8.3333333333333329E-2</v>
      </c>
      <c r="L63" s="80">
        <v>0.3125</v>
      </c>
      <c r="M63" s="81">
        <v>0.97916666666666663</v>
      </c>
      <c r="N63" s="82">
        <v>8.3333333333333329E-2</v>
      </c>
      <c r="O63" s="83">
        <v>0.58333333333333337</v>
      </c>
      <c r="P63" s="84" t="s">
        <v>1924</v>
      </c>
    </row>
    <row r="64" spans="1:16" ht="15.75" customHeight="1">
      <c r="A64" s="99">
        <v>61</v>
      </c>
      <c r="B64" s="100">
        <v>2000</v>
      </c>
      <c r="C64" s="324"/>
      <c r="D64" s="91" t="s">
        <v>382</v>
      </c>
      <c r="E64" s="19" t="s">
        <v>385</v>
      </c>
      <c r="F64" s="19" t="s">
        <v>1955</v>
      </c>
      <c r="G64" s="27">
        <v>1111043001</v>
      </c>
      <c r="H64" s="19" t="s">
        <v>1</v>
      </c>
      <c r="I64" s="80">
        <v>0.3125</v>
      </c>
      <c r="J64" s="80">
        <v>0.97916666666666663</v>
      </c>
      <c r="K64" s="80">
        <v>8.3333333333333329E-2</v>
      </c>
      <c r="L64" s="80">
        <v>0.3125</v>
      </c>
      <c r="M64" s="81">
        <v>0.97916666666666663</v>
      </c>
      <c r="N64" s="82">
        <v>8.3333333333333329E-2</v>
      </c>
      <c r="O64" s="83">
        <v>0.58333333333333337</v>
      </c>
      <c r="P64" s="84" t="s">
        <v>1924</v>
      </c>
    </row>
    <row r="65" spans="1:16" ht="15.75" customHeight="1">
      <c r="A65" s="99">
        <v>62</v>
      </c>
      <c r="B65" s="100">
        <v>2000</v>
      </c>
      <c r="C65" s="327"/>
      <c r="D65" s="354"/>
      <c r="E65" s="19" t="s">
        <v>422</v>
      </c>
      <c r="F65" s="19" t="s">
        <v>421</v>
      </c>
      <c r="G65" s="27">
        <v>1111082501</v>
      </c>
      <c r="H65" s="19"/>
      <c r="I65" s="80">
        <v>0.3125</v>
      </c>
      <c r="J65" s="80">
        <v>0.97916666666666663</v>
      </c>
      <c r="K65" s="80">
        <v>8.3333333333333329E-2</v>
      </c>
      <c r="L65" s="80">
        <v>0.3125</v>
      </c>
      <c r="M65" s="81">
        <v>0.91666666666666663</v>
      </c>
      <c r="N65" s="82">
        <v>0.14583333333333334</v>
      </c>
      <c r="O65" s="83">
        <v>0.45833333333333331</v>
      </c>
      <c r="P65" s="84" t="s">
        <v>1924</v>
      </c>
    </row>
    <row r="66" spans="1:16" ht="15.75" customHeight="1">
      <c r="A66" s="99">
        <v>63</v>
      </c>
      <c r="B66" s="100">
        <v>2000</v>
      </c>
      <c r="C66" s="323"/>
      <c r="D66" s="323"/>
      <c r="E66" s="19" t="s">
        <v>434</v>
      </c>
      <c r="F66" s="19" t="s">
        <v>433</v>
      </c>
      <c r="G66" s="27">
        <v>1111082401</v>
      </c>
      <c r="H66" s="19"/>
      <c r="I66" s="80">
        <v>0.3125</v>
      </c>
      <c r="J66" s="80">
        <v>0.97916666666666663</v>
      </c>
      <c r="K66" s="80">
        <v>8.3333333333333329E-2</v>
      </c>
      <c r="L66" s="80">
        <v>0.3125</v>
      </c>
      <c r="M66" s="81">
        <v>0.91666666666666663</v>
      </c>
      <c r="N66" s="82">
        <v>0.14583333333333334</v>
      </c>
      <c r="O66" s="83">
        <v>0.45833333333333331</v>
      </c>
      <c r="P66" s="84" t="s">
        <v>1924</v>
      </c>
    </row>
    <row r="67" spans="1:16" ht="15.75" customHeight="1">
      <c r="A67" s="99">
        <v>64</v>
      </c>
      <c r="B67" s="100">
        <v>2000</v>
      </c>
      <c r="C67" s="323"/>
      <c r="D67" s="323"/>
      <c r="E67" s="19" t="s">
        <v>426</v>
      </c>
      <c r="F67" s="19" t="s">
        <v>427</v>
      </c>
      <c r="G67" s="27">
        <v>1111082504</v>
      </c>
      <c r="H67" s="19"/>
      <c r="I67" s="80">
        <v>0.3125</v>
      </c>
      <c r="J67" s="80">
        <v>0.64583333333333337</v>
      </c>
      <c r="K67" s="80">
        <v>4.1666666666666664E-2</v>
      </c>
      <c r="L67" s="80">
        <v>0.3125</v>
      </c>
      <c r="M67" s="81">
        <v>0.58333333333333337</v>
      </c>
      <c r="N67" s="82">
        <v>4.1666666666666664E-2</v>
      </c>
      <c r="O67" s="83">
        <v>0.22916666666666666</v>
      </c>
      <c r="P67" s="84" t="s">
        <v>1924</v>
      </c>
    </row>
    <row r="68" spans="1:16" ht="15.75" customHeight="1">
      <c r="A68" s="99">
        <v>65</v>
      </c>
      <c r="B68" s="100">
        <v>2000</v>
      </c>
      <c r="C68" s="323"/>
      <c r="D68" s="323"/>
      <c r="E68" s="19" t="s">
        <v>442</v>
      </c>
      <c r="F68" s="19" t="s">
        <v>443</v>
      </c>
      <c r="G68" s="27">
        <v>1111082505</v>
      </c>
      <c r="H68" s="19"/>
      <c r="I68" s="80">
        <v>0.3125</v>
      </c>
      <c r="J68" s="80">
        <v>0.64583333333333337</v>
      </c>
      <c r="K68" s="80">
        <v>4.1666666666666664E-2</v>
      </c>
      <c r="L68" s="80">
        <v>0.3125</v>
      </c>
      <c r="M68" s="81">
        <v>0.58333333333333337</v>
      </c>
      <c r="N68" s="82">
        <v>4.1666666666666664E-2</v>
      </c>
      <c r="O68" s="83">
        <v>0.22916666666666666</v>
      </c>
      <c r="P68" s="84" t="s">
        <v>1924</v>
      </c>
    </row>
    <row r="69" spans="1:16" ht="15.75" customHeight="1">
      <c r="A69" s="99">
        <v>66</v>
      </c>
      <c r="B69" s="100">
        <v>2000</v>
      </c>
      <c r="C69" s="323"/>
      <c r="D69" s="323"/>
      <c r="E69" s="19" t="s">
        <v>430</v>
      </c>
      <c r="F69" s="19" t="s">
        <v>431</v>
      </c>
      <c r="G69" s="27">
        <v>1111082503</v>
      </c>
      <c r="H69" s="19"/>
      <c r="I69" s="80">
        <v>0.3125</v>
      </c>
      <c r="J69" s="80">
        <v>0.64583333333333337</v>
      </c>
      <c r="K69" s="80">
        <v>4.1666666666666664E-2</v>
      </c>
      <c r="L69" s="80">
        <v>0.3125</v>
      </c>
      <c r="M69" s="81">
        <v>0.58333333333333337</v>
      </c>
      <c r="N69" s="82">
        <v>4.1666666666666664E-2</v>
      </c>
      <c r="O69" s="83">
        <v>0.22916666666666666</v>
      </c>
      <c r="P69" s="84" t="s">
        <v>1924</v>
      </c>
    </row>
    <row r="70" spans="1:16" ht="15.75" customHeight="1">
      <c r="A70" s="99">
        <v>67</v>
      </c>
      <c r="B70" s="100">
        <v>2000</v>
      </c>
      <c r="C70" s="323"/>
      <c r="D70" s="323"/>
      <c r="E70" s="19" t="s">
        <v>437</v>
      </c>
      <c r="F70" s="19" t="s">
        <v>438</v>
      </c>
      <c r="G70" s="27">
        <v>1111082404</v>
      </c>
      <c r="H70" s="19"/>
      <c r="I70" s="80">
        <v>0.3125</v>
      </c>
      <c r="J70" s="80">
        <v>0.64583333333333337</v>
      </c>
      <c r="K70" s="80">
        <v>4.1666666666666664E-2</v>
      </c>
      <c r="L70" s="80">
        <v>0.3125</v>
      </c>
      <c r="M70" s="81">
        <v>0.58333333333333337</v>
      </c>
      <c r="N70" s="82">
        <v>4.1666666666666664E-2</v>
      </c>
      <c r="O70" s="83">
        <v>0.22916666666666666</v>
      </c>
      <c r="P70" s="84" t="s">
        <v>1924</v>
      </c>
    </row>
    <row r="71" spans="1:16" ht="15.75" customHeight="1">
      <c r="A71" s="99">
        <v>68</v>
      </c>
      <c r="B71" s="100">
        <v>2000</v>
      </c>
      <c r="C71" s="323"/>
      <c r="D71" s="323"/>
      <c r="E71" s="19" t="s">
        <v>448</v>
      </c>
      <c r="F71" s="19" t="s">
        <v>449</v>
      </c>
      <c r="G71" s="27">
        <v>1111082405</v>
      </c>
      <c r="H71" s="19"/>
      <c r="I71" s="80">
        <v>0.3125</v>
      </c>
      <c r="J71" s="80">
        <v>0.64583333333333337</v>
      </c>
      <c r="K71" s="80">
        <v>4.1666666666666664E-2</v>
      </c>
      <c r="L71" s="80">
        <v>0.3125</v>
      </c>
      <c r="M71" s="81">
        <v>0.58333333333333337</v>
      </c>
      <c r="N71" s="82">
        <v>4.1666666666666664E-2</v>
      </c>
      <c r="O71" s="83">
        <v>0.22916666666666666</v>
      </c>
      <c r="P71" s="84" t="s">
        <v>1924</v>
      </c>
    </row>
    <row r="72" spans="1:16" ht="15.75" customHeight="1">
      <c r="A72" s="99">
        <v>69</v>
      </c>
      <c r="B72" s="100">
        <v>2000</v>
      </c>
      <c r="C72" s="323"/>
      <c r="D72" s="323"/>
      <c r="E72" s="19" t="s">
        <v>441</v>
      </c>
      <c r="F72" s="19" t="s">
        <v>440</v>
      </c>
      <c r="G72" s="27">
        <v>1111082403</v>
      </c>
      <c r="H72" s="19"/>
      <c r="I72" s="80">
        <v>0.3125</v>
      </c>
      <c r="J72" s="80">
        <v>0.64583333333333337</v>
      </c>
      <c r="K72" s="80">
        <v>4.1666666666666664E-2</v>
      </c>
      <c r="L72" s="80">
        <v>0.3125</v>
      </c>
      <c r="M72" s="81">
        <v>0.58333333333333337</v>
      </c>
      <c r="N72" s="82">
        <v>4.1666666666666664E-2</v>
      </c>
      <c r="O72" s="83">
        <v>0.22916666666666666</v>
      </c>
      <c r="P72" s="84" t="s">
        <v>1924</v>
      </c>
    </row>
    <row r="73" spans="1:16" ht="15.75" customHeight="1">
      <c r="A73" s="99">
        <v>70</v>
      </c>
      <c r="B73" s="100">
        <v>2000</v>
      </c>
      <c r="C73" s="323"/>
      <c r="D73" s="323"/>
      <c r="E73" s="19" t="s">
        <v>444</v>
      </c>
      <c r="F73" s="19" t="s">
        <v>445</v>
      </c>
      <c r="G73" s="27">
        <v>1111082506</v>
      </c>
      <c r="H73" s="19"/>
      <c r="I73" s="80">
        <v>0.3125</v>
      </c>
      <c r="J73" s="80">
        <v>0.64583333333333337</v>
      </c>
      <c r="K73" s="80">
        <v>4.1666666666666664E-2</v>
      </c>
      <c r="L73" s="80">
        <v>0.3125</v>
      </c>
      <c r="M73" s="81">
        <v>0.58333333333333337</v>
      </c>
      <c r="N73" s="82">
        <v>4.1666666666666664E-2</v>
      </c>
      <c r="O73" s="83">
        <v>0.22916666666666666</v>
      </c>
      <c r="P73" s="84" t="s">
        <v>1924</v>
      </c>
    </row>
    <row r="74" spans="1:16" ht="15.75" customHeight="1">
      <c r="A74" s="99">
        <v>71</v>
      </c>
      <c r="B74" s="100">
        <v>2000</v>
      </c>
      <c r="C74" s="324"/>
      <c r="D74" s="324"/>
      <c r="E74" s="19" t="s">
        <v>446</v>
      </c>
      <c r="F74" s="19" t="s">
        <v>447</v>
      </c>
      <c r="G74" s="27">
        <v>1111082507</v>
      </c>
      <c r="H74" s="19"/>
      <c r="I74" s="80">
        <v>0.3125</v>
      </c>
      <c r="J74" s="80">
        <v>0.64583333333333337</v>
      </c>
      <c r="K74" s="80">
        <v>4.1666666666666664E-2</v>
      </c>
      <c r="L74" s="80">
        <v>0.3125</v>
      </c>
      <c r="M74" s="81">
        <v>0.58333333333333337</v>
      </c>
      <c r="N74" s="82">
        <v>4.1666666666666664E-2</v>
      </c>
      <c r="O74" s="83">
        <v>0.22916666666666666</v>
      </c>
      <c r="P74" s="84" t="s">
        <v>1924</v>
      </c>
    </row>
    <row r="75" spans="1:16" ht="15.75" customHeight="1">
      <c r="A75" s="99">
        <v>72</v>
      </c>
      <c r="B75" s="100">
        <v>2000</v>
      </c>
      <c r="C75" s="91"/>
      <c r="D75" s="27" t="s">
        <v>450</v>
      </c>
      <c r="E75" s="19" t="s">
        <v>457</v>
      </c>
      <c r="F75" s="19" t="s">
        <v>456</v>
      </c>
      <c r="G75" s="27" t="s">
        <v>458</v>
      </c>
      <c r="H75" s="19"/>
      <c r="I75" s="80">
        <v>0.3125</v>
      </c>
      <c r="J75" s="80">
        <v>0.64583333333333337</v>
      </c>
      <c r="K75" s="80">
        <v>4.1666666666666664E-2</v>
      </c>
      <c r="L75" s="80">
        <v>0.3125</v>
      </c>
      <c r="M75" s="81">
        <v>0.58333333333333337</v>
      </c>
      <c r="N75" s="82">
        <v>4.1666666666666664E-2</v>
      </c>
      <c r="O75" s="83">
        <v>0.22916666666666666</v>
      </c>
      <c r="P75" s="84" t="s">
        <v>1924</v>
      </c>
    </row>
    <row r="76" spans="1:16" ht="15.75" customHeight="1">
      <c r="A76" s="99">
        <v>73</v>
      </c>
      <c r="B76" s="100">
        <v>2000</v>
      </c>
      <c r="C76" s="327" t="s">
        <v>1960</v>
      </c>
      <c r="D76" s="91" t="s">
        <v>168</v>
      </c>
      <c r="E76" s="19" t="s">
        <v>461</v>
      </c>
      <c r="F76" s="19" t="s">
        <v>460</v>
      </c>
      <c r="G76" s="27" t="s">
        <v>462</v>
      </c>
      <c r="H76" s="19" t="s">
        <v>1946</v>
      </c>
      <c r="I76" s="80">
        <v>0.3125</v>
      </c>
      <c r="J76" s="80">
        <v>0.64583333333333337</v>
      </c>
      <c r="K76" s="80">
        <v>4.1666666666666664E-2</v>
      </c>
      <c r="L76" s="80">
        <v>0.3125</v>
      </c>
      <c r="M76" s="81">
        <v>0.58333333333333337</v>
      </c>
      <c r="N76" s="82">
        <v>4.1666666666666664E-2</v>
      </c>
      <c r="O76" s="83">
        <v>0.22916666666666666</v>
      </c>
      <c r="P76" s="84" t="s">
        <v>1924</v>
      </c>
    </row>
    <row r="77" spans="1:16" ht="15.75" customHeight="1">
      <c r="A77" s="99">
        <v>74</v>
      </c>
      <c r="B77" s="100">
        <v>2000</v>
      </c>
      <c r="C77" s="323"/>
      <c r="D77" s="91" t="s">
        <v>465</v>
      </c>
      <c r="E77" s="19" t="s">
        <v>476</v>
      </c>
      <c r="F77" s="19" t="s">
        <v>475</v>
      </c>
      <c r="G77" s="27" t="s">
        <v>477</v>
      </c>
      <c r="H77" s="19" t="s">
        <v>1946</v>
      </c>
      <c r="I77" s="80">
        <v>0.3125</v>
      </c>
      <c r="J77" s="80">
        <v>0.64583333333333337</v>
      </c>
      <c r="K77" s="80">
        <v>4.1666666666666664E-2</v>
      </c>
      <c r="L77" s="80">
        <v>0.3125</v>
      </c>
      <c r="M77" s="81">
        <v>0.58333333333333337</v>
      </c>
      <c r="N77" s="82">
        <v>4.1666666666666664E-2</v>
      </c>
      <c r="O77" s="83">
        <v>0.22916666666666666</v>
      </c>
      <c r="P77" s="84" t="s">
        <v>1924</v>
      </c>
    </row>
    <row r="78" spans="1:16" ht="15.75" customHeight="1">
      <c r="A78" s="99">
        <v>75</v>
      </c>
      <c r="B78" s="100">
        <v>2000</v>
      </c>
      <c r="C78" s="323"/>
      <c r="D78" s="327" t="s">
        <v>356</v>
      </c>
      <c r="E78" s="19" t="s">
        <v>480</v>
      </c>
      <c r="F78" s="19" t="s">
        <v>479</v>
      </c>
      <c r="G78" s="27" t="s">
        <v>481</v>
      </c>
      <c r="H78" s="19"/>
      <c r="I78" s="80">
        <v>0.3125</v>
      </c>
      <c r="J78" s="80">
        <v>0.64583333333333337</v>
      </c>
      <c r="K78" s="80">
        <v>4.1666666666666664E-2</v>
      </c>
      <c r="L78" s="80">
        <v>0.3125</v>
      </c>
      <c r="M78" s="81">
        <v>0.58333333333333337</v>
      </c>
      <c r="N78" s="82">
        <v>4.1666666666666664E-2</v>
      </c>
      <c r="O78" s="83">
        <v>0.22916666666666666</v>
      </c>
      <c r="P78" s="84" t="s">
        <v>1924</v>
      </c>
    </row>
    <row r="79" spans="1:16" ht="15.75" customHeight="1">
      <c r="A79" s="99">
        <v>76</v>
      </c>
      <c r="B79" s="100">
        <v>2000</v>
      </c>
      <c r="C79" s="323"/>
      <c r="D79" s="323"/>
      <c r="E79" s="19" t="s">
        <v>484</v>
      </c>
      <c r="F79" s="19" t="s">
        <v>485</v>
      </c>
      <c r="G79" s="27">
        <v>1111073002</v>
      </c>
      <c r="H79" s="19"/>
      <c r="I79" s="80">
        <v>0.3125</v>
      </c>
      <c r="J79" s="80">
        <v>0.64583333333333337</v>
      </c>
      <c r="K79" s="80">
        <v>4.1666666666666664E-2</v>
      </c>
      <c r="L79" s="80">
        <v>0.3125</v>
      </c>
      <c r="M79" s="81">
        <v>0.58333333333333337</v>
      </c>
      <c r="N79" s="82">
        <v>4.1666666666666664E-2</v>
      </c>
      <c r="O79" s="83">
        <v>0.22916666666666666</v>
      </c>
      <c r="P79" s="84" t="s">
        <v>1924</v>
      </c>
    </row>
    <row r="80" spans="1:16" ht="15.75" customHeight="1">
      <c r="A80" s="99">
        <v>77</v>
      </c>
      <c r="B80" s="100">
        <v>2000</v>
      </c>
      <c r="C80" s="324"/>
      <c r="D80" s="324"/>
      <c r="E80" s="19" t="s">
        <v>487</v>
      </c>
      <c r="F80" s="19" t="s">
        <v>488</v>
      </c>
      <c r="G80" s="27">
        <v>1111073003</v>
      </c>
      <c r="H80" s="19"/>
      <c r="I80" s="80">
        <v>0.3125</v>
      </c>
      <c r="J80" s="80">
        <v>0.64583333333333337</v>
      </c>
      <c r="K80" s="80">
        <v>4.1666666666666664E-2</v>
      </c>
      <c r="L80" s="80">
        <v>0.3125</v>
      </c>
      <c r="M80" s="81">
        <v>0.58333333333333337</v>
      </c>
      <c r="N80" s="82">
        <v>4.1666666666666664E-2</v>
      </c>
      <c r="O80" s="83">
        <v>0.22916666666666666</v>
      </c>
      <c r="P80" s="84" t="s">
        <v>1924</v>
      </c>
    </row>
    <row r="81" spans="1:16" ht="15.75" customHeight="1">
      <c r="A81" s="99">
        <v>78</v>
      </c>
      <c r="B81" s="100">
        <v>2000</v>
      </c>
      <c r="C81" s="328" t="s">
        <v>494</v>
      </c>
      <c r="D81" s="327" t="s">
        <v>489</v>
      </c>
      <c r="E81" s="19" t="s">
        <v>492</v>
      </c>
      <c r="F81" s="19" t="s">
        <v>491</v>
      </c>
      <c r="G81" s="27" t="s">
        <v>493</v>
      </c>
      <c r="H81" s="19" t="s">
        <v>1946</v>
      </c>
      <c r="I81" s="80">
        <v>0.3125</v>
      </c>
      <c r="J81" s="80">
        <v>0.64583333333333337</v>
      </c>
      <c r="K81" s="80">
        <v>4.1666666666666664E-2</v>
      </c>
      <c r="L81" s="80">
        <v>0.3125</v>
      </c>
      <c r="M81" s="81">
        <v>0.58333333333333337</v>
      </c>
      <c r="N81" s="82">
        <v>4.1666666666666664E-2</v>
      </c>
      <c r="O81" s="83">
        <v>0.22916666666666666</v>
      </c>
      <c r="P81" s="84" t="s">
        <v>1924</v>
      </c>
    </row>
    <row r="82" spans="1:16" ht="15.75" customHeight="1">
      <c r="A82" s="99">
        <v>79</v>
      </c>
      <c r="B82" s="100">
        <v>2000</v>
      </c>
      <c r="C82" s="323"/>
      <c r="D82" s="323"/>
      <c r="E82" s="19" t="s">
        <v>498</v>
      </c>
      <c r="F82" s="19" t="s">
        <v>497</v>
      </c>
      <c r="G82" s="27" t="s">
        <v>499</v>
      </c>
      <c r="H82" s="19" t="s">
        <v>1946</v>
      </c>
      <c r="I82" s="80">
        <v>0.3125</v>
      </c>
      <c r="J82" s="80">
        <v>0.64583333333333337</v>
      </c>
      <c r="K82" s="80">
        <v>4.1666666666666664E-2</v>
      </c>
      <c r="L82" s="80">
        <v>0.3125</v>
      </c>
      <c r="M82" s="81">
        <v>0.58333333333333337</v>
      </c>
      <c r="N82" s="82">
        <v>4.1666666666666664E-2</v>
      </c>
      <c r="O82" s="83">
        <v>0.22916666666666666</v>
      </c>
      <c r="P82" s="84" t="s">
        <v>1924</v>
      </c>
    </row>
    <row r="83" spans="1:16" ht="15.75" customHeight="1">
      <c r="A83" s="99">
        <v>80</v>
      </c>
      <c r="B83" s="100">
        <v>2000</v>
      </c>
      <c r="C83" s="323"/>
      <c r="D83" s="324"/>
      <c r="E83" s="19" t="s">
        <v>518</v>
      </c>
      <c r="F83" s="19" t="s">
        <v>517</v>
      </c>
      <c r="G83" s="27" t="s">
        <v>519</v>
      </c>
      <c r="H83" s="19" t="s">
        <v>1946</v>
      </c>
      <c r="I83" s="80">
        <v>0.3125</v>
      </c>
      <c r="J83" s="80">
        <v>0.97916666666666663</v>
      </c>
      <c r="K83" s="80">
        <v>8.3333333333333329E-2</v>
      </c>
      <c r="L83" s="80">
        <v>0.3125</v>
      </c>
      <c r="M83" s="81">
        <v>0.85416666666666663</v>
      </c>
      <c r="N83" s="82">
        <v>8.3333333333333329E-2</v>
      </c>
      <c r="O83" s="83">
        <v>0.45833333333333331</v>
      </c>
      <c r="P83" s="84" t="s">
        <v>1924</v>
      </c>
    </row>
    <row r="84" spans="1:16" ht="15.75" customHeight="1">
      <c r="A84" s="99">
        <v>81</v>
      </c>
      <c r="B84" s="100">
        <v>2000</v>
      </c>
      <c r="C84" s="323"/>
      <c r="D84" s="330" t="s">
        <v>566</v>
      </c>
      <c r="E84" s="19" t="s">
        <v>564</v>
      </c>
      <c r="F84" s="19" t="s">
        <v>565</v>
      </c>
      <c r="G84" s="27" t="s">
        <v>571</v>
      </c>
      <c r="H84" s="27"/>
      <c r="I84" s="80">
        <v>0.3125</v>
      </c>
      <c r="J84" s="80">
        <v>0.64583333333333337</v>
      </c>
      <c r="K84" s="80">
        <v>4.1666666666666664E-2</v>
      </c>
      <c r="L84" s="80">
        <v>0.3125</v>
      </c>
      <c r="M84" s="81">
        <v>0.64583333333333337</v>
      </c>
      <c r="N84" s="82">
        <v>4.1666666666666664E-2</v>
      </c>
      <c r="O84" s="83">
        <v>0.29166666666666669</v>
      </c>
      <c r="P84" s="84" t="s">
        <v>1924</v>
      </c>
    </row>
    <row r="85" spans="1:16" ht="15.75" customHeight="1">
      <c r="A85" s="99">
        <v>82</v>
      </c>
      <c r="B85" s="100">
        <v>2000</v>
      </c>
      <c r="C85" s="323"/>
      <c r="D85" s="323"/>
      <c r="E85" s="19" t="s">
        <v>569</v>
      </c>
      <c r="F85" s="19" t="s">
        <v>570</v>
      </c>
      <c r="G85" s="27" t="s">
        <v>571</v>
      </c>
      <c r="H85" s="27"/>
      <c r="I85" s="80">
        <v>0.3125</v>
      </c>
      <c r="J85" s="80">
        <v>0.64583333333333337</v>
      </c>
      <c r="K85" s="80">
        <v>4.1666666666666664E-2</v>
      </c>
      <c r="L85" s="80">
        <v>0.3125</v>
      </c>
      <c r="M85" s="81">
        <v>0.64583333333333337</v>
      </c>
      <c r="N85" s="82">
        <v>4.1666666666666664E-2</v>
      </c>
      <c r="O85" s="83">
        <v>0.29166666666666669</v>
      </c>
      <c r="P85" s="84" t="s">
        <v>1924</v>
      </c>
    </row>
    <row r="86" spans="1:16" ht="15.75" customHeight="1">
      <c r="A86" s="99">
        <v>83</v>
      </c>
      <c r="B86" s="100">
        <v>2000</v>
      </c>
      <c r="C86" s="323"/>
      <c r="D86" s="364"/>
      <c r="E86" s="19" t="s">
        <v>574</v>
      </c>
      <c r="F86" s="19" t="s">
        <v>575</v>
      </c>
      <c r="G86" s="27" t="s">
        <v>576</v>
      </c>
      <c r="H86" s="27"/>
      <c r="I86" s="80">
        <v>0.3125</v>
      </c>
      <c r="J86" s="80">
        <v>0.64583333333333337</v>
      </c>
      <c r="K86" s="80">
        <v>4.1666666666666664E-2</v>
      </c>
      <c r="L86" s="80">
        <v>0.3125</v>
      </c>
      <c r="M86" s="81">
        <v>0.64583333333333337</v>
      </c>
      <c r="N86" s="82">
        <v>4.1666666666666664E-2</v>
      </c>
      <c r="O86" s="83">
        <v>0.29166666666666669</v>
      </c>
      <c r="P86" s="84" t="s">
        <v>1924</v>
      </c>
    </row>
    <row r="87" spans="1:16" ht="15.75" customHeight="1">
      <c r="A87" s="99">
        <v>84</v>
      </c>
      <c r="B87" s="100">
        <v>2000</v>
      </c>
      <c r="C87" s="324"/>
      <c r="D87" s="155"/>
      <c r="E87" s="19" t="s">
        <v>610</v>
      </c>
      <c r="F87" s="19" t="s">
        <v>611</v>
      </c>
      <c r="G87" s="27">
        <v>1111055003</v>
      </c>
      <c r="H87" s="19"/>
      <c r="I87" s="80"/>
      <c r="J87" s="80"/>
      <c r="K87" s="80"/>
      <c r="L87" s="80"/>
      <c r="M87" s="81"/>
      <c r="N87" s="82"/>
      <c r="O87" s="83"/>
      <c r="P87" s="84"/>
    </row>
    <row r="88" spans="1:16" ht="15.75" customHeight="1">
      <c r="A88" s="99">
        <v>85</v>
      </c>
      <c r="B88" s="100">
        <v>2000</v>
      </c>
      <c r="C88" s="328" t="s">
        <v>1965</v>
      </c>
      <c r="D88" s="327" t="s">
        <v>614</v>
      </c>
      <c r="E88" s="19" t="s">
        <v>617</v>
      </c>
      <c r="F88" s="19" t="s">
        <v>616</v>
      </c>
      <c r="G88" s="27" t="s">
        <v>618</v>
      </c>
      <c r="H88" s="19" t="s">
        <v>1946</v>
      </c>
      <c r="I88" s="80">
        <v>0.3125</v>
      </c>
      <c r="J88" s="80">
        <v>0.64583333333333337</v>
      </c>
      <c r="K88" s="80">
        <v>4.1666666666666664E-2</v>
      </c>
      <c r="L88" s="80">
        <v>0.3125</v>
      </c>
      <c r="M88" s="81">
        <v>0.58333333333333337</v>
      </c>
      <c r="N88" s="82">
        <v>4.1666666666666664E-2</v>
      </c>
      <c r="O88" s="83">
        <v>0.22916666666666666</v>
      </c>
      <c r="P88" s="84" t="s">
        <v>1924</v>
      </c>
    </row>
    <row r="89" spans="1:16" ht="15.75" customHeight="1">
      <c r="A89" s="99">
        <v>86</v>
      </c>
      <c r="B89" s="100">
        <v>2000</v>
      </c>
      <c r="C89" s="323"/>
      <c r="D89" s="324"/>
      <c r="E89" s="19" t="s">
        <v>623</v>
      </c>
      <c r="F89" s="19" t="s">
        <v>622</v>
      </c>
      <c r="G89" s="27" t="s">
        <v>624</v>
      </c>
      <c r="H89" s="19" t="s">
        <v>1946</v>
      </c>
      <c r="I89" s="80">
        <v>0.3125</v>
      </c>
      <c r="J89" s="80">
        <v>0.64583333333333337</v>
      </c>
      <c r="K89" s="80">
        <v>4.1666666666666664E-2</v>
      </c>
      <c r="L89" s="80">
        <v>0.3125</v>
      </c>
      <c r="M89" s="81">
        <v>0.58333333333333337</v>
      </c>
      <c r="N89" s="82">
        <v>4.1666666666666664E-2</v>
      </c>
      <c r="O89" s="83">
        <v>0.22916666666666666</v>
      </c>
      <c r="P89" s="84" t="s">
        <v>1924</v>
      </c>
    </row>
    <row r="90" spans="1:16" ht="15.75" customHeight="1">
      <c r="A90" s="99">
        <v>87</v>
      </c>
      <c r="B90" s="100">
        <v>2000</v>
      </c>
      <c r="C90" s="323"/>
      <c r="D90" s="327" t="s">
        <v>625</v>
      </c>
      <c r="E90" s="19" t="s">
        <v>628</v>
      </c>
      <c r="F90" s="19" t="s">
        <v>627</v>
      </c>
      <c r="G90" s="27" t="s">
        <v>629</v>
      </c>
      <c r="H90" s="19" t="s">
        <v>1946</v>
      </c>
      <c r="I90" s="80">
        <v>0.3125</v>
      </c>
      <c r="J90" s="80">
        <v>0.64583333333333337</v>
      </c>
      <c r="K90" s="80">
        <v>4.1666666666666664E-2</v>
      </c>
      <c r="L90" s="80">
        <v>0.3125</v>
      </c>
      <c r="M90" s="81">
        <v>0.58333333333333337</v>
      </c>
      <c r="N90" s="82">
        <v>4.1666666666666664E-2</v>
      </c>
      <c r="O90" s="83">
        <v>0.22916666666666666</v>
      </c>
      <c r="P90" s="84" t="s">
        <v>1924</v>
      </c>
    </row>
    <row r="91" spans="1:16" ht="15.75" customHeight="1">
      <c r="A91" s="99">
        <v>88</v>
      </c>
      <c r="B91" s="100">
        <v>2000</v>
      </c>
      <c r="C91" s="323"/>
      <c r="D91" s="323"/>
      <c r="E91" s="19" t="s">
        <v>632</v>
      </c>
      <c r="F91" s="19" t="s">
        <v>631</v>
      </c>
      <c r="G91" s="27" t="s">
        <v>633</v>
      </c>
      <c r="H91" s="19" t="s">
        <v>1946</v>
      </c>
      <c r="I91" s="80">
        <v>0.3125</v>
      </c>
      <c r="J91" s="80">
        <v>0.64583333333333337</v>
      </c>
      <c r="K91" s="80">
        <v>4.1666666666666664E-2</v>
      </c>
      <c r="L91" s="80">
        <v>0.3125</v>
      </c>
      <c r="M91" s="81">
        <v>0.58333333333333337</v>
      </c>
      <c r="N91" s="82">
        <v>4.1666666666666664E-2</v>
      </c>
      <c r="O91" s="83">
        <v>0.22916666666666666</v>
      </c>
      <c r="P91" s="84" t="s">
        <v>1924</v>
      </c>
    </row>
    <row r="92" spans="1:16" ht="15.75" customHeight="1">
      <c r="A92" s="99">
        <v>89</v>
      </c>
      <c r="B92" s="100">
        <v>2000</v>
      </c>
      <c r="C92" s="323"/>
      <c r="D92" s="323"/>
      <c r="E92" s="19" t="s">
        <v>636</v>
      </c>
      <c r="F92" s="19" t="s">
        <v>635</v>
      </c>
      <c r="G92" s="27" t="s">
        <v>637</v>
      </c>
      <c r="H92" s="19" t="s">
        <v>1946</v>
      </c>
      <c r="I92" s="80">
        <v>0.3125</v>
      </c>
      <c r="J92" s="80">
        <v>0.64583333333333337</v>
      </c>
      <c r="K92" s="80">
        <v>4.1666666666666664E-2</v>
      </c>
      <c r="L92" s="80">
        <v>0.3125</v>
      </c>
      <c r="M92" s="81">
        <v>0.58333333333333337</v>
      </c>
      <c r="N92" s="82">
        <v>4.1666666666666664E-2</v>
      </c>
      <c r="O92" s="83">
        <v>0.22916666666666666</v>
      </c>
      <c r="P92" s="84" t="s">
        <v>1924</v>
      </c>
    </row>
    <row r="93" spans="1:16" ht="15.75" customHeight="1">
      <c r="A93" s="99">
        <v>90</v>
      </c>
      <c r="B93" s="100">
        <v>2000</v>
      </c>
      <c r="C93" s="323"/>
      <c r="D93" s="324"/>
      <c r="E93" s="19" t="s">
        <v>640</v>
      </c>
      <c r="F93" s="19" t="s">
        <v>639</v>
      </c>
      <c r="G93" s="27" t="s">
        <v>641</v>
      </c>
      <c r="H93" s="19" t="s">
        <v>1946</v>
      </c>
      <c r="I93" s="80">
        <v>0.3125</v>
      </c>
      <c r="J93" s="80">
        <v>0.64583333333333337</v>
      </c>
      <c r="K93" s="80">
        <v>4.1666666666666664E-2</v>
      </c>
      <c r="L93" s="80">
        <v>0.3125</v>
      </c>
      <c r="M93" s="81">
        <v>0.58333333333333337</v>
      </c>
      <c r="N93" s="82">
        <v>4.1666666666666664E-2</v>
      </c>
      <c r="O93" s="83">
        <v>0.22916666666666666</v>
      </c>
      <c r="P93" s="84" t="s">
        <v>1924</v>
      </c>
    </row>
    <row r="94" spans="1:16" ht="15.75" customHeight="1">
      <c r="A94" s="99">
        <v>91</v>
      </c>
      <c r="B94" s="100">
        <v>2000</v>
      </c>
      <c r="C94" s="323"/>
      <c r="D94" s="327" t="s">
        <v>642</v>
      </c>
      <c r="E94" s="19" t="s">
        <v>645</v>
      </c>
      <c r="F94" s="19" t="s">
        <v>644</v>
      </c>
      <c r="G94" s="27" t="s">
        <v>646</v>
      </c>
      <c r="H94" s="19"/>
      <c r="I94" s="80">
        <v>0.3125</v>
      </c>
      <c r="J94" s="80">
        <v>0.64583333333333337</v>
      </c>
      <c r="K94" s="80">
        <v>4.1666666666666664E-2</v>
      </c>
      <c r="L94" s="80">
        <v>0.3125</v>
      </c>
      <c r="M94" s="81">
        <v>0.58333333333333337</v>
      </c>
      <c r="N94" s="82">
        <v>4.1666666666666664E-2</v>
      </c>
      <c r="O94" s="83">
        <v>0.22916666666666666</v>
      </c>
      <c r="P94" s="84" t="s">
        <v>1924</v>
      </c>
    </row>
    <row r="95" spans="1:16" ht="15.75" customHeight="1">
      <c r="A95" s="99">
        <v>92</v>
      </c>
      <c r="B95" s="100">
        <v>2000</v>
      </c>
      <c r="C95" s="324"/>
      <c r="D95" s="324"/>
      <c r="E95" s="19" t="s">
        <v>649</v>
      </c>
      <c r="F95" s="19" t="s">
        <v>648</v>
      </c>
      <c r="G95" s="27" t="s">
        <v>650</v>
      </c>
      <c r="H95" s="19"/>
      <c r="I95" s="80">
        <v>0.3125</v>
      </c>
      <c r="J95" s="80">
        <v>0.64583333333333337</v>
      </c>
      <c r="K95" s="80">
        <v>4.1666666666666664E-2</v>
      </c>
      <c r="L95" s="80">
        <v>0.3125</v>
      </c>
      <c r="M95" s="81">
        <v>0.58333333333333337</v>
      </c>
      <c r="N95" s="82">
        <v>4.1666666666666664E-2</v>
      </c>
      <c r="O95" s="83">
        <v>0.22916666666666666</v>
      </c>
      <c r="P95" s="84" t="s">
        <v>1924</v>
      </c>
    </row>
    <row r="96" spans="1:16" ht="15" customHeight="1">
      <c r="A96" s="99">
        <v>93</v>
      </c>
      <c r="B96" s="100">
        <v>2000</v>
      </c>
      <c r="C96" s="328" t="s">
        <v>651</v>
      </c>
      <c r="D96" s="328" t="s">
        <v>651</v>
      </c>
      <c r="E96" s="27" t="s">
        <v>654</v>
      </c>
      <c r="F96" s="27" t="s">
        <v>653</v>
      </c>
      <c r="G96" s="27" t="s">
        <v>655</v>
      </c>
      <c r="H96" s="19" t="s">
        <v>1946</v>
      </c>
      <c r="I96" s="80">
        <v>0.3125</v>
      </c>
      <c r="J96" s="80">
        <v>0.97916666666666663</v>
      </c>
      <c r="K96" s="80">
        <v>8.3333333333333329E-2</v>
      </c>
      <c r="L96" s="80">
        <v>0.3125</v>
      </c>
      <c r="M96" s="81">
        <v>0.91666666666666663</v>
      </c>
      <c r="N96" s="82">
        <v>0.14583333333333334</v>
      </c>
      <c r="O96" s="83">
        <v>0.45833333333333331</v>
      </c>
      <c r="P96" s="84" t="s">
        <v>1924</v>
      </c>
    </row>
    <row r="97" spans="1:16" ht="15.75" customHeight="1">
      <c r="A97" s="99">
        <v>94</v>
      </c>
      <c r="B97" s="100">
        <v>2000</v>
      </c>
      <c r="C97" s="323"/>
      <c r="D97" s="323"/>
      <c r="E97" s="27" t="s">
        <v>694</v>
      </c>
      <c r="F97" s="27" t="s">
        <v>693</v>
      </c>
      <c r="G97" s="27" t="s">
        <v>695</v>
      </c>
      <c r="H97" s="19" t="s">
        <v>1946</v>
      </c>
      <c r="I97" s="80">
        <v>0.3125</v>
      </c>
      <c r="J97" s="80">
        <v>0.97916666666666663</v>
      </c>
      <c r="K97" s="80">
        <v>8.3333333333333329E-2</v>
      </c>
      <c r="L97" s="80">
        <v>0.3125</v>
      </c>
      <c r="M97" s="81">
        <v>0.91666666666666663</v>
      </c>
      <c r="N97" s="82">
        <v>0.14583333333333334</v>
      </c>
      <c r="O97" s="83">
        <v>0.45833333333333331</v>
      </c>
      <c r="P97" s="84" t="s">
        <v>1924</v>
      </c>
    </row>
    <row r="98" spans="1:16" ht="15.75" customHeight="1">
      <c r="A98" s="99">
        <v>95</v>
      </c>
      <c r="B98" s="100">
        <v>2000</v>
      </c>
      <c r="C98" s="323"/>
      <c r="D98" s="323"/>
      <c r="E98" s="27" t="s">
        <v>2115</v>
      </c>
      <c r="F98" s="27" t="s">
        <v>2116</v>
      </c>
      <c r="G98" s="27">
        <v>1111061001</v>
      </c>
      <c r="H98" s="19" t="s">
        <v>2117</v>
      </c>
      <c r="I98" s="80">
        <v>0.3125</v>
      </c>
      <c r="J98" s="80">
        <v>0.97916666666666663</v>
      </c>
      <c r="K98" s="80">
        <v>8.3333333333333329E-2</v>
      </c>
      <c r="L98" s="80">
        <v>0.3125</v>
      </c>
      <c r="M98" s="81">
        <v>0.91666666666666663</v>
      </c>
      <c r="N98" s="82">
        <v>0.14583333333333334</v>
      </c>
      <c r="O98" s="83">
        <v>0.45833333333333331</v>
      </c>
      <c r="P98" s="84" t="s">
        <v>1924</v>
      </c>
    </row>
    <row r="99" spans="1:16" ht="15.75" customHeight="1">
      <c r="A99" s="99">
        <v>96</v>
      </c>
      <c r="B99" s="100">
        <v>2000</v>
      </c>
      <c r="C99" s="324"/>
      <c r="D99" s="324"/>
      <c r="E99" s="27" t="s">
        <v>744</v>
      </c>
      <c r="F99" s="27" t="s">
        <v>2118</v>
      </c>
      <c r="G99" s="27">
        <v>1111061001</v>
      </c>
      <c r="H99" s="19" t="s">
        <v>1946</v>
      </c>
      <c r="I99" s="80">
        <v>0.3125</v>
      </c>
      <c r="J99" s="80">
        <v>0.97916666666666663</v>
      </c>
      <c r="K99" s="80">
        <v>8.3333333333333329E-2</v>
      </c>
      <c r="L99" s="80">
        <v>0.3125</v>
      </c>
      <c r="M99" s="81">
        <v>0.91666666666666663</v>
      </c>
      <c r="N99" s="82">
        <v>0.14583333333333334</v>
      </c>
      <c r="O99" s="83">
        <v>0.45833333333333331</v>
      </c>
      <c r="P99" s="84" t="s">
        <v>1924</v>
      </c>
    </row>
    <row r="100" spans="1:16" ht="15.75" customHeight="1">
      <c r="A100" s="99">
        <v>97</v>
      </c>
      <c r="B100" s="100">
        <v>2000</v>
      </c>
      <c r="C100" s="327" t="s">
        <v>1966</v>
      </c>
      <c r="D100" s="327" t="s">
        <v>1966</v>
      </c>
      <c r="E100" s="27" t="s">
        <v>747</v>
      </c>
      <c r="F100" s="27" t="s">
        <v>748</v>
      </c>
      <c r="G100" s="27" t="s">
        <v>749</v>
      </c>
      <c r="H100" s="19" t="s">
        <v>1946</v>
      </c>
      <c r="I100" s="80">
        <v>0.3125</v>
      </c>
      <c r="J100" s="80">
        <v>0.97916666666666663</v>
      </c>
      <c r="K100" s="80">
        <v>8.3333333333333329E-2</v>
      </c>
      <c r="L100" s="80">
        <v>0.3125</v>
      </c>
      <c r="M100" s="81">
        <v>0.58333333333333337</v>
      </c>
      <c r="N100" s="82">
        <v>4.1666666666666664E-2</v>
      </c>
      <c r="O100" s="83">
        <v>0.22916666666666666</v>
      </c>
      <c r="P100" s="84" t="s">
        <v>1924</v>
      </c>
    </row>
    <row r="101" spans="1:16" ht="15.75" customHeight="1">
      <c r="A101" s="99">
        <v>98</v>
      </c>
      <c r="B101" s="100">
        <v>2000</v>
      </c>
      <c r="C101" s="323"/>
      <c r="D101" s="323"/>
      <c r="E101" s="27" t="s">
        <v>754</v>
      </c>
      <c r="F101" s="27" t="s">
        <v>755</v>
      </c>
      <c r="G101" s="27" t="s">
        <v>749</v>
      </c>
      <c r="H101" s="19" t="s">
        <v>1946</v>
      </c>
      <c r="I101" s="80">
        <v>0.3125</v>
      </c>
      <c r="J101" s="80">
        <v>0.97916666666666663</v>
      </c>
      <c r="K101" s="80">
        <v>8.3333333333333329E-2</v>
      </c>
      <c r="L101" s="80">
        <v>0.3125</v>
      </c>
      <c r="M101" s="81">
        <v>0.58333333333333337</v>
      </c>
      <c r="N101" s="82">
        <v>4.1666666666666664E-2</v>
      </c>
      <c r="O101" s="83">
        <v>0.22916666666666666</v>
      </c>
      <c r="P101" s="84" t="s">
        <v>1924</v>
      </c>
    </row>
    <row r="102" spans="1:16" ht="15.75" customHeight="1">
      <c r="A102" s="99">
        <v>99</v>
      </c>
      <c r="B102" s="100">
        <v>2000</v>
      </c>
      <c r="C102" s="323"/>
      <c r="D102" s="323"/>
      <c r="E102" s="27" t="s">
        <v>758</v>
      </c>
      <c r="F102" s="27" t="s">
        <v>759</v>
      </c>
      <c r="G102" s="27" t="s">
        <v>760</v>
      </c>
      <c r="H102" s="19" t="s">
        <v>1946</v>
      </c>
      <c r="I102" s="80">
        <v>0.3125</v>
      </c>
      <c r="J102" s="80">
        <v>0.97916666666666663</v>
      </c>
      <c r="K102" s="80">
        <v>8.3333333333333329E-2</v>
      </c>
      <c r="L102" s="80">
        <v>0.3125</v>
      </c>
      <c r="M102" s="81">
        <v>0.58333333333333337</v>
      </c>
      <c r="N102" s="82">
        <v>4.1666666666666664E-2</v>
      </c>
      <c r="O102" s="83">
        <v>0.22916666666666666</v>
      </c>
      <c r="P102" s="84" t="s">
        <v>1924</v>
      </c>
    </row>
    <row r="103" spans="1:16" ht="15.75" customHeight="1">
      <c r="A103" s="99">
        <v>100</v>
      </c>
      <c r="B103" s="100">
        <v>2000</v>
      </c>
      <c r="C103" s="323"/>
      <c r="D103" s="323"/>
      <c r="E103" s="27" t="s">
        <v>763</v>
      </c>
      <c r="F103" s="27" t="s">
        <v>764</v>
      </c>
      <c r="G103" s="27" t="s">
        <v>760</v>
      </c>
      <c r="H103" s="19" t="s">
        <v>1946</v>
      </c>
      <c r="I103" s="80">
        <v>0.3125</v>
      </c>
      <c r="J103" s="80">
        <v>0.97916666666666663</v>
      </c>
      <c r="K103" s="80">
        <v>8.3333333333333329E-2</v>
      </c>
      <c r="L103" s="80">
        <v>0.3125</v>
      </c>
      <c r="M103" s="81">
        <v>0.58333333333333337</v>
      </c>
      <c r="N103" s="82">
        <v>4.1666666666666664E-2</v>
      </c>
      <c r="O103" s="83">
        <v>0.22916666666666666</v>
      </c>
      <c r="P103" s="84" t="s">
        <v>1924</v>
      </c>
    </row>
    <row r="104" spans="1:16" ht="15.75" customHeight="1">
      <c r="A104" s="99">
        <v>101</v>
      </c>
      <c r="B104" s="100">
        <v>2000</v>
      </c>
      <c r="C104" s="323"/>
      <c r="D104" s="323"/>
      <c r="E104" s="27" t="s">
        <v>767</v>
      </c>
      <c r="F104" s="27" t="s">
        <v>768</v>
      </c>
      <c r="G104" s="27" t="s">
        <v>760</v>
      </c>
      <c r="H104" s="19" t="s">
        <v>1946</v>
      </c>
      <c r="I104" s="80">
        <v>0.3125</v>
      </c>
      <c r="J104" s="80">
        <v>0.97916666666666663</v>
      </c>
      <c r="K104" s="80">
        <v>8.3333333333333329E-2</v>
      </c>
      <c r="L104" s="80">
        <v>0.3125</v>
      </c>
      <c r="M104" s="81">
        <v>0.58333333333333337</v>
      </c>
      <c r="N104" s="82">
        <v>4.1666666666666664E-2</v>
      </c>
      <c r="O104" s="83">
        <v>0.22916666666666666</v>
      </c>
      <c r="P104" s="84" t="s">
        <v>1924</v>
      </c>
    </row>
    <row r="105" spans="1:16" ht="15.75" customHeight="1">
      <c r="A105" s="99">
        <v>102</v>
      </c>
      <c r="B105" s="100">
        <v>2000</v>
      </c>
      <c r="C105" s="323"/>
      <c r="D105" s="323"/>
      <c r="E105" s="27" t="s">
        <v>771</v>
      </c>
      <c r="F105" s="27" t="s">
        <v>772</v>
      </c>
      <c r="G105" s="27" t="s">
        <v>760</v>
      </c>
      <c r="H105" s="19" t="s">
        <v>1946</v>
      </c>
      <c r="I105" s="80">
        <v>0.3125</v>
      </c>
      <c r="J105" s="80">
        <v>0.97916666666666663</v>
      </c>
      <c r="K105" s="80">
        <v>8.3333333333333329E-2</v>
      </c>
      <c r="L105" s="80">
        <v>0.3125</v>
      </c>
      <c r="M105" s="81">
        <v>0.58333333333333337</v>
      </c>
      <c r="N105" s="82">
        <v>4.1666666666666664E-2</v>
      </c>
      <c r="O105" s="83">
        <v>0.22916666666666666</v>
      </c>
      <c r="P105" s="84" t="s">
        <v>1924</v>
      </c>
    </row>
    <row r="106" spans="1:16" ht="15.75" customHeight="1">
      <c r="A106" s="99">
        <v>103</v>
      </c>
      <c r="B106" s="100">
        <v>2000</v>
      </c>
      <c r="C106" s="324"/>
      <c r="D106" s="324"/>
      <c r="E106" s="27" t="s">
        <v>774</v>
      </c>
      <c r="F106" s="27" t="s">
        <v>773</v>
      </c>
      <c r="G106" s="27">
        <v>1111120003</v>
      </c>
      <c r="H106" s="19" t="s">
        <v>1946</v>
      </c>
      <c r="I106" s="80">
        <v>0.3125</v>
      </c>
      <c r="J106" s="80">
        <v>0.97916666666666663</v>
      </c>
      <c r="K106" s="80">
        <v>8.3333333333333329E-2</v>
      </c>
      <c r="L106" s="80">
        <v>0.3125</v>
      </c>
      <c r="M106" s="81">
        <v>0.58333333333333337</v>
      </c>
      <c r="N106" s="82">
        <v>4.1666666666666664E-2</v>
      </c>
      <c r="O106" s="83">
        <v>0.22916666666666666</v>
      </c>
      <c r="P106" s="84" t="s">
        <v>1924</v>
      </c>
    </row>
    <row r="107" spans="1:16" ht="15.75" customHeight="1">
      <c r="A107" s="99">
        <v>104</v>
      </c>
      <c r="B107" s="100">
        <v>2000</v>
      </c>
      <c r="C107" s="328" t="s">
        <v>779</v>
      </c>
      <c r="D107" s="327" t="s">
        <v>1967</v>
      </c>
      <c r="E107" s="27" t="s">
        <v>786</v>
      </c>
      <c r="F107" s="27" t="s">
        <v>1968</v>
      </c>
      <c r="G107" s="27">
        <v>1111062102</v>
      </c>
      <c r="H107" s="156">
        <v>1111062101</v>
      </c>
      <c r="I107" s="80">
        <v>0.3125</v>
      </c>
      <c r="J107" s="80">
        <v>0.64583333333333337</v>
      </c>
      <c r="K107" s="80">
        <v>4.1666666666666664E-2</v>
      </c>
      <c r="L107" s="80">
        <v>0.3125</v>
      </c>
      <c r="M107" s="81">
        <v>0.58333333333333337</v>
      </c>
      <c r="N107" s="82">
        <v>4.1666666666666664E-2</v>
      </c>
      <c r="O107" s="83">
        <v>0.22916666666666666</v>
      </c>
      <c r="P107" s="84" t="s">
        <v>1924</v>
      </c>
    </row>
    <row r="108" spans="1:16" ht="15.75" customHeight="1">
      <c r="A108" s="99">
        <v>105</v>
      </c>
      <c r="B108" s="100">
        <v>2000</v>
      </c>
      <c r="C108" s="323"/>
      <c r="D108" s="323"/>
      <c r="E108" s="27" t="s">
        <v>1837</v>
      </c>
      <c r="F108" s="27" t="s">
        <v>1838</v>
      </c>
      <c r="G108" s="27">
        <v>1111062103</v>
      </c>
      <c r="H108" s="19"/>
      <c r="I108" s="80">
        <v>0.3125</v>
      </c>
      <c r="J108" s="80">
        <v>0.64583333333333337</v>
      </c>
      <c r="K108" s="80">
        <v>4.1666666666666664E-2</v>
      </c>
      <c r="L108" s="80">
        <v>0.3125</v>
      </c>
      <c r="M108" s="81">
        <v>0.58333333333333337</v>
      </c>
      <c r="N108" s="82">
        <v>4.1666666666666664E-2</v>
      </c>
      <c r="O108" s="83">
        <v>0.22916666666666666</v>
      </c>
      <c r="P108" s="84" t="s">
        <v>1924</v>
      </c>
    </row>
    <row r="109" spans="1:16" ht="15.75" customHeight="1">
      <c r="A109" s="99">
        <v>106</v>
      </c>
      <c r="B109" s="100">
        <v>2000</v>
      </c>
      <c r="C109" s="323"/>
      <c r="D109" s="323"/>
      <c r="E109" s="27" t="s">
        <v>791</v>
      </c>
      <c r="F109" s="27" t="s">
        <v>790</v>
      </c>
      <c r="G109" s="27">
        <v>1111062102</v>
      </c>
      <c r="H109" s="19"/>
      <c r="I109" s="80">
        <v>0.3125</v>
      </c>
      <c r="J109" s="80">
        <v>0.64583333333333337</v>
      </c>
      <c r="K109" s="80">
        <v>4.1666666666666664E-2</v>
      </c>
      <c r="L109" s="80">
        <v>0.3125</v>
      </c>
      <c r="M109" s="81">
        <v>0.58333333333333337</v>
      </c>
      <c r="N109" s="82">
        <v>4.1666666666666664E-2</v>
      </c>
      <c r="O109" s="83">
        <v>0.22916666666666666</v>
      </c>
      <c r="P109" s="84" t="s">
        <v>1924</v>
      </c>
    </row>
    <row r="110" spans="1:16" ht="15.75" customHeight="1">
      <c r="A110" s="99">
        <v>107</v>
      </c>
      <c r="B110" s="100">
        <v>2000</v>
      </c>
      <c r="C110" s="323"/>
      <c r="D110" s="323"/>
      <c r="E110" s="27" t="s">
        <v>794</v>
      </c>
      <c r="F110" s="27" t="s">
        <v>793</v>
      </c>
      <c r="G110" s="27">
        <v>1111062103</v>
      </c>
      <c r="H110" s="19"/>
      <c r="I110" s="80">
        <v>0.3125</v>
      </c>
      <c r="J110" s="80">
        <v>0.64583333333333337</v>
      </c>
      <c r="K110" s="80">
        <v>4.1666666666666664E-2</v>
      </c>
      <c r="L110" s="80">
        <v>0.3125</v>
      </c>
      <c r="M110" s="81">
        <v>0.58333333333333337</v>
      </c>
      <c r="N110" s="82">
        <v>4.1666666666666664E-2</v>
      </c>
      <c r="O110" s="83">
        <v>0.22916666666666666</v>
      </c>
      <c r="P110" s="84" t="s">
        <v>1924</v>
      </c>
    </row>
    <row r="111" spans="1:16" ht="15.75" customHeight="1">
      <c r="A111" s="99">
        <v>108</v>
      </c>
      <c r="B111" s="100">
        <v>2000</v>
      </c>
      <c r="C111" s="323"/>
      <c r="D111" s="323"/>
      <c r="E111" s="27" t="s">
        <v>797</v>
      </c>
      <c r="F111" s="27" t="s">
        <v>796</v>
      </c>
      <c r="G111" s="27">
        <v>1111062202</v>
      </c>
      <c r="H111" s="19"/>
      <c r="I111" s="80">
        <v>0.3125</v>
      </c>
      <c r="J111" s="80">
        <v>0.64583333333333337</v>
      </c>
      <c r="K111" s="80">
        <v>4.1666666666666664E-2</v>
      </c>
      <c r="L111" s="80">
        <v>0.3125</v>
      </c>
      <c r="M111" s="81">
        <v>0.58333333333333337</v>
      </c>
      <c r="N111" s="82">
        <v>4.1666666666666664E-2</v>
      </c>
      <c r="O111" s="83">
        <v>0.22916666666666666</v>
      </c>
      <c r="P111" s="84" t="s">
        <v>1924</v>
      </c>
    </row>
    <row r="112" spans="1:16" ht="15.75" customHeight="1">
      <c r="A112" s="99">
        <v>109</v>
      </c>
      <c r="B112" s="100">
        <v>2000</v>
      </c>
      <c r="C112" s="324"/>
      <c r="D112" s="324"/>
      <c r="E112" s="27" t="s">
        <v>800</v>
      </c>
      <c r="F112" s="27" t="s">
        <v>799</v>
      </c>
      <c r="G112" s="27">
        <v>1111062203</v>
      </c>
      <c r="H112" s="19"/>
      <c r="I112" s="80">
        <v>0.3125</v>
      </c>
      <c r="J112" s="80">
        <v>0.64583333333333337</v>
      </c>
      <c r="K112" s="80">
        <v>4.1666666666666664E-2</v>
      </c>
      <c r="L112" s="80">
        <v>0.3125</v>
      </c>
      <c r="M112" s="81">
        <v>0.58333333333333337</v>
      </c>
      <c r="N112" s="82">
        <v>4.1666666666666664E-2</v>
      </c>
      <c r="O112" s="83">
        <v>0.22916666666666666</v>
      </c>
      <c r="P112" s="84" t="s">
        <v>1924</v>
      </c>
    </row>
    <row r="113" spans="1:16" ht="15.75" customHeight="1">
      <c r="A113" s="99">
        <v>110</v>
      </c>
      <c r="B113" s="100">
        <v>2000</v>
      </c>
      <c r="C113" s="362" t="s">
        <v>2119</v>
      </c>
      <c r="D113" s="363"/>
      <c r="E113" s="27" t="s">
        <v>858</v>
      </c>
      <c r="F113" s="27" t="s">
        <v>857</v>
      </c>
      <c r="G113" s="27" t="s">
        <v>859</v>
      </c>
      <c r="H113" s="19"/>
      <c r="I113" s="80">
        <v>0.3125</v>
      </c>
      <c r="J113" s="80">
        <v>0.64583333333333337</v>
      </c>
      <c r="K113" s="80">
        <v>4.1666666666666664E-2</v>
      </c>
      <c r="L113" s="80">
        <v>0.3125</v>
      </c>
      <c r="M113" s="81">
        <v>0.58333333333333337</v>
      </c>
      <c r="N113" s="82">
        <v>4.1666666666666664E-2</v>
      </c>
      <c r="O113" s="83">
        <v>0.29166666666666669</v>
      </c>
      <c r="P113" s="84" t="s">
        <v>1924</v>
      </c>
    </row>
    <row r="114" spans="1:16" ht="15.75" customHeight="1">
      <c r="A114" s="99">
        <v>111</v>
      </c>
      <c r="B114" s="100">
        <v>2000</v>
      </c>
      <c r="C114" s="323"/>
      <c r="D114" s="323"/>
      <c r="E114" s="27" t="s">
        <v>862</v>
      </c>
      <c r="F114" s="27" t="s">
        <v>861</v>
      </c>
      <c r="G114" s="27" t="s">
        <v>863</v>
      </c>
      <c r="H114" s="19"/>
      <c r="I114" s="80">
        <v>0.3125</v>
      </c>
      <c r="J114" s="80">
        <v>0.64583333333333337</v>
      </c>
      <c r="K114" s="80">
        <v>4.1666666666666664E-2</v>
      </c>
      <c r="L114" s="80">
        <v>0.3125</v>
      </c>
      <c r="M114" s="81">
        <v>0.58333333333333337</v>
      </c>
      <c r="N114" s="82">
        <v>4.1666666666666664E-2</v>
      </c>
      <c r="O114" s="83">
        <v>0.29166666666666669</v>
      </c>
      <c r="P114" s="84" t="s">
        <v>1924</v>
      </c>
    </row>
    <row r="115" spans="1:16" ht="15.75" customHeight="1">
      <c r="A115" s="99">
        <v>112</v>
      </c>
      <c r="B115" s="100">
        <v>2000</v>
      </c>
      <c r="C115" s="323"/>
      <c r="D115" s="323"/>
      <c r="E115" s="27" t="s">
        <v>866</v>
      </c>
      <c r="F115" s="27">
        <v>1111091006</v>
      </c>
      <c r="G115" s="27" t="s">
        <v>867</v>
      </c>
      <c r="H115" s="19"/>
      <c r="I115" s="80">
        <v>0.3125</v>
      </c>
      <c r="J115" s="80">
        <v>0.64583333333333337</v>
      </c>
      <c r="K115" s="80">
        <v>4.1666666666666664E-2</v>
      </c>
      <c r="L115" s="80">
        <v>0.3125</v>
      </c>
      <c r="M115" s="81">
        <v>0.58333333333333337</v>
      </c>
      <c r="N115" s="82">
        <v>4.1666666666666664E-2</v>
      </c>
      <c r="O115" s="83">
        <v>0.29166666666666669</v>
      </c>
      <c r="P115" s="84" t="s">
        <v>1924</v>
      </c>
    </row>
    <row r="116" spans="1:16" ht="15.75" customHeight="1">
      <c r="A116" s="99">
        <v>113</v>
      </c>
      <c r="B116" s="100">
        <v>2000</v>
      </c>
      <c r="C116" s="323"/>
      <c r="D116" s="323"/>
      <c r="E116" s="19" t="s">
        <v>2120</v>
      </c>
      <c r="F116" s="19" t="s">
        <v>2121</v>
      </c>
      <c r="G116" s="27">
        <v>1111091006</v>
      </c>
      <c r="H116" s="19"/>
      <c r="I116" s="80"/>
      <c r="J116" s="80"/>
      <c r="K116" s="80"/>
      <c r="L116" s="80"/>
      <c r="M116" s="81"/>
      <c r="N116" s="82"/>
      <c r="O116" s="83"/>
      <c r="P116" s="84"/>
    </row>
    <row r="117" spans="1:16" ht="15.75" customHeight="1">
      <c r="A117" s="99">
        <v>114</v>
      </c>
      <c r="B117" s="100">
        <v>2000</v>
      </c>
      <c r="C117" s="323"/>
      <c r="D117" s="323"/>
      <c r="E117" s="27" t="s">
        <v>870</v>
      </c>
      <c r="F117" s="27" t="s">
        <v>869</v>
      </c>
      <c r="G117" s="27">
        <v>1111091006</v>
      </c>
      <c r="H117" s="19"/>
      <c r="I117" s="80">
        <v>0.3125</v>
      </c>
      <c r="J117" s="80">
        <v>0.64583333333333337</v>
      </c>
      <c r="K117" s="80">
        <v>4.1666666666666664E-2</v>
      </c>
      <c r="L117" s="80">
        <v>0.3125</v>
      </c>
      <c r="M117" s="81">
        <v>0.58333333333333337</v>
      </c>
      <c r="N117" s="82">
        <v>4.1666666666666664E-2</v>
      </c>
      <c r="O117" s="83">
        <v>0.29166666666666669</v>
      </c>
      <c r="P117" s="84" t="s">
        <v>1924</v>
      </c>
    </row>
    <row r="118" spans="1:16" ht="15.75" customHeight="1">
      <c r="A118" s="99">
        <v>115</v>
      </c>
      <c r="B118" s="100">
        <v>2000</v>
      </c>
      <c r="C118" s="323"/>
      <c r="D118" s="323"/>
      <c r="E118" s="27" t="s">
        <v>871</v>
      </c>
      <c r="F118" s="27" t="s">
        <v>872</v>
      </c>
      <c r="G118" s="27">
        <v>1111091007</v>
      </c>
      <c r="H118" s="19"/>
      <c r="I118" s="80">
        <v>0.3125</v>
      </c>
      <c r="J118" s="80">
        <v>0.64583333333333337</v>
      </c>
      <c r="K118" s="80">
        <v>4.1666666666666664E-2</v>
      </c>
      <c r="L118" s="80">
        <v>0.3125</v>
      </c>
      <c r="M118" s="81">
        <v>0.58333333333333337</v>
      </c>
      <c r="N118" s="82">
        <v>4.1666666666666664E-2</v>
      </c>
      <c r="O118" s="83">
        <v>0.29166666666666669</v>
      </c>
      <c r="P118" s="84" t="s">
        <v>1924</v>
      </c>
    </row>
    <row r="119" spans="1:16" ht="15.75" customHeight="1">
      <c r="A119" s="99">
        <v>116</v>
      </c>
      <c r="B119" s="100">
        <v>2000</v>
      </c>
      <c r="C119" s="323"/>
      <c r="D119" s="323"/>
      <c r="E119" s="19" t="s">
        <v>2122</v>
      </c>
      <c r="F119" s="19" t="s">
        <v>2123</v>
      </c>
      <c r="G119" s="157">
        <v>1111091008</v>
      </c>
      <c r="H119" s="158"/>
      <c r="I119" s="112"/>
      <c r="J119" s="112"/>
      <c r="K119" s="112"/>
      <c r="L119" s="112"/>
      <c r="M119" s="113"/>
      <c r="N119" s="159"/>
      <c r="O119" s="115"/>
      <c r="P119" s="116"/>
    </row>
    <row r="120" spans="1:16" ht="15.75" customHeight="1">
      <c r="A120" s="99">
        <v>117</v>
      </c>
      <c r="B120" s="100">
        <v>2000</v>
      </c>
      <c r="C120" s="323"/>
      <c r="D120" s="323"/>
      <c r="E120" s="160" t="s">
        <v>1766</v>
      </c>
      <c r="F120" s="160" t="s">
        <v>1767</v>
      </c>
      <c r="G120" s="157">
        <v>1111091008</v>
      </c>
      <c r="H120" s="362" t="s">
        <v>1973</v>
      </c>
      <c r="I120" s="112"/>
      <c r="J120" s="112"/>
      <c r="K120" s="112"/>
      <c r="L120" s="112"/>
      <c r="M120" s="113"/>
      <c r="N120" s="114"/>
      <c r="O120" s="115"/>
      <c r="P120" s="116"/>
    </row>
    <row r="121" spans="1:16" ht="15.75" customHeight="1">
      <c r="A121" s="99">
        <v>118</v>
      </c>
      <c r="B121" s="100">
        <v>2000</v>
      </c>
      <c r="C121" s="323"/>
      <c r="D121" s="323"/>
      <c r="E121" s="160" t="s">
        <v>1768</v>
      </c>
      <c r="F121" s="160" t="s">
        <v>1769</v>
      </c>
      <c r="G121" s="157">
        <v>1111091009</v>
      </c>
      <c r="H121" s="323"/>
      <c r="I121" s="112"/>
      <c r="J121" s="112"/>
      <c r="K121" s="112"/>
      <c r="L121" s="112"/>
      <c r="M121" s="113"/>
      <c r="N121" s="114"/>
      <c r="O121" s="115"/>
      <c r="P121" s="116"/>
    </row>
    <row r="122" spans="1:16" ht="15.75" customHeight="1">
      <c r="A122" s="99">
        <v>119</v>
      </c>
      <c r="B122" s="100">
        <v>2000</v>
      </c>
      <c r="C122" s="323"/>
      <c r="D122" s="323"/>
      <c r="E122" s="160" t="s">
        <v>1770</v>
      </c>
      <c r="F122" s="160" t="s">
        <v>1771</v>
      </c>
      <c r="G122" s="157">
        <v>1111091010</v>
      </c>
      <c r="H122" s="323"/>
      <c r="I122" s="112"/>
      <c r="J122" s="112"/>
      <c r="K122" s="112"/>
      <c r="L122" s="112"/>
      <c r="M122" s="113"/>
      <c r="N122" s="114"/>
      <c r="O122" s="115"/>
      <c r="P122" s="116"/>
    </row>
    <row r="123" spans="1:16" ht="15.75" customHeight="1">
      <c r="A123" s="99">
        <v>120</v>
      </c>
      <c r="B123" s="100">
        <v>2000</v>
      </c>
      <c r="C123" s="323"/>
      <c r="D123" s="323"/>
      <c r="E123" s="160" t="s">
        <v>1772</v>
      </c>
      <c r="F123" s="160" t="s">
        <v>1773</v>
      </c>
      <c r="G123" s="157">
        <v>1111091011</v>
      </c>
      <c r="H123" s="323"/>
      <c r="I123" s="112"/>
      <c r="J123" s="112"/>
      <c r="K123" s="112"/>
      <c r="L123" s="112"/>
      <c r="M123" s="113"/>
      <c r="N123" s="114"/>
      <c r="O123" s="115"/>
      <c r="P123" s="116"/>
    </row>
    <row r="124" spans="1:16" ht="15.75" customHeight="1">
      <c r="A124" s="99">
        <v>121</v>
      </c>
      <c r="B124" s="100">
        <v>2000</v>
      </c>
      <c r="C124" s="323"/>
      <c r="D124" s="323"/>
      <c r="E124" s="160" t="s">
        <v>1774</v>
      </c>
      <c r="F124" s="160" t="s">
        <v>1775</v>
      </c>
      <c r="G124" s="157">
        <v>1111091012</v>
      </c>
      <c r="H124" s="323"/>
      <c r="I124" s="112"/>
      <c r="J124" s="112"/>
      <c r="K124" s="112"/>
      <c r="L124" s="112"/>
      <c r="M124" s="113"/>
      <c r="N124" s="114"/>
      <c r="O124" s="115"/>
      <c r="P124" s="116"/>
    </row>
    <row r="125" spans="1:16" ht="15.75" customHeight="1">
      <c r="A125" s="99">
        <v>122</v>
      </c>
      <c r="B125" s="100">
        <v>2000</v>
      </c>
      <c r="C125" s="323"/>
      <c r="D125" s="323"/>
      <c r="E125" s="19" t="s">
        <v>2124</v>
      </c>
      <c r="F125" s="19" t="s">
        <v>2125</v>
      </c>
      <c r="G125" s="157">
        <v>1111091013</v>
      </c>
      <c r="H125" s="323"/>
      <c r="I125" s="112"/>
      <c r="J125" s="112"/>
      <c r="K125" s="112"/>
      <c r="L125" s="112"/>
      <c r="M125" s="113"/>
      <c r="N125" s="114"/>
      <c r="O125" s="115"/>
      <c r="P125" s="116"/>
    </row>
    <row r="126" spans="1:16" ht="15.75" customHeight="1">
      <c r="A126" s="99">
        <v>123</v>
      </c>
      <c r="B126" s="100">
        <v>2000</v>
      </c>
      <c r="C126" s="323"/>
      <c r="D126" s="323"/>
      <c r="E126" s="160" t="s">
        <v>1974</v>
      </c>
      <c r="F126" s="160" t="s">
        <v>1975</v>
      </c>
      <c r="G126" s="157">
        <v>1111091013</v>
      </c>
      <c r="H126" s="323"/>
      <c r="I126" s="112"/>
      <c r="J126" s="112"/>
      <c r="K126" s="112"/>
      <c r="L126" s="112"/>
      <c r="M126" s="113"/>
      <c r="N126" s="114"/>
      <c r="O126" s="115"/>
      <c r="P126" s="116"/>
    </row>
    <row r="127" spans="1:16" ht="15.75" customHeight="1">
      <c r="A127" s="99">
        <v>124</v>
      </c>
      <c r="B127" s="100">
        <v>2000</v>
      </c>
      <c r="C127" s="323"/>
      <c r="D127" s="323"/>
      <c r="E127" s="160" t="s">
        <v>1976</v>
      </c>
      <c r="F127" s="160" t="s">
        <v>1977</v>
      </c>
      <c r="G127" s="157">
        <v>1111091014</v>
      </c>
      <c r="H127" s="323"/>
      <c r="I127" s="112"/>
      <c r="J127" s="112"/>
      <c r="K127" s="112"/>
      <c r="L127" s="112"/>
      <c r="M127" s="113"/>
      <c r="N127" s="114"/>
      <c r="O127" s="115"/>
      <c r="P127" s="116"/>
    </row>
    <row r="128" spans="1:16" ht="15.75" customHeight="1">
      <c r="A128" s="99">
        <v>125</v>
      </c>
      <c r="B128" s="100">
        <v>2000</v>
      </c>
      <c r="C128" s="323"/>
      <c r="D128" s="323"/>
      <c r="E128" s="160" t="s">
        <v>1978</v>
      </c>
      <c r="F128" s="160" t="s">
        <v>1979</v>
      </c>
      <c r="G128" s="157">
        <v>1111091015</v>
      </c>
      <c r="H128" s="323"/>
      <c r="I128" s="112"/>
      <c r="J128" s="112"/>
      <c r="K128" s="112"/>
      <c r="L128" s="112"/>
      <c r="M128" s="113"/>
      <c r="N128" s="114"/>
      <c r="O128" s="115"/>
      <c r="P128" s="116"/>
    </row>
    <row r="129" spans="1:16" ht="15.75" customHeight="1">
      <c r="A129" s="99">
        <v>126</v>
      </c>
      <c r="B129" s="100">
        <v>2000</v>
      </c>
      <c r="C129" s="323"/>
      <c r="D129" s="323"/>
      <c r="E129" s="160" t="s">
        <v>1980</v>
      </c>
      <c r="F129" s="160" t="s">
        <v>1981</v>
      </c>
      <c r="G129" s="157">
        <v>1111091016</v>
      </c>
      <c r="H129" s="323"/>
      <c r="I129" s="112"/>
      <c r="J129" s="112"/>
      <c r="K129" s="112"/>
      <c r="L129" s="112"/>
      <c r="M129" s="113"/>
      <c r="N129" s="114"/>
      <c r="O129" s="115"/>
      <c r="P129" s="116"/>
    </row>
    <row r="130" spans="1:16" ht="15.75" customHeight="1">
      <c r="A130" s="99">
        <v>127</v>
      </c>
      <c r="B130" s="100">
        <v>2000</v>
      </c>
      <c r="C130" s="323"/>
      <c r="D130" s="364"/>
      <c r="E130" s="160" t="s">
        <v>1982</v>
      </c>
      <c r="F130" s="160" t="s">
        <v>1983</v>
      </c>
      <c r="G130" s="157">
        <v>1111091017</v>
      </c>
      <c r="H130" s="364"/>
      <c r="I130" s="112"/>
      <c r="J130" s="112"/>
      <c r="K130" s="112"/>
      <c r="L130" s="112"/>
      <c r="M130" s="113"/>
      <c r="N130" s="114"/>
      <c r="O130" s="115"/>
      <c r="P130" s="116"/>
    </row>
    <row r="131" spans="1:16" ht="15.75" customHeight="1">
      <c r="A131" s="99">
        <v>128</v>
      </c>
      <c r="B131" s="100">
        <v>2000</v>
      </c>
      <c r="C131" s="323"/>
      <c r="D131" s="363"/>
      <c r="E131" s="27" t="s">
        <v>875</v>
      </c>
      <c r="F131" s="27" t="s">
        <v>874</v>
      </c>
      <c r="G131" s="27" t="s">
        <v>876</v>
      </c>
      <c r="H131" s="19"/>
      <c r="I131" s="80">
        <v>0.3125</v>
      </c>
      <c r="J131" s="80">
        <v>0.64583333333333337</v>
      </c>
      <c r="K131" s="80">
        <v>4.1666666666666664E-2</v>
      </c>
      <c r="L131" s="80">
        <v>0.3125</v>
      </c>
      <c r="M131" s="81">
        <v>0.58333333333333337</v>
      </c>
      <c r="N131" s="82">
        <v>4.1666666666666664E-2</v>
      </c>
      <c r="O131" s="83">
        <v>0.22916666666666666</v>
      </c>
      <c r="P131" s="84" t="s">
        <v>1924</v>
      </c>
    </row>
    <row r="132" spans="1:16" ht="15.75" customHeight="1">
      <c r="A132" s="99">
        <v>129</v>
      </c>
      <c r="B132" s="100">
        <v>2000</v>
      </c>
      <c r="C132" s="323"/>
      <c r="D132" s="323"/>
      <c r="E132" s="27" t="s">
        <v>879</v>
      </c>
      <c r="F132" s="27" t="s">
        <v>878</v>
      </c>
      <c r="G132" s="27" t="s">
        <v>880</v>
      </c>
      <c r="H132" s="19"/>
      <c r="I132" s="80">
        <v>0.3125</v>
      </c>
      <c r="J132" s="80">
        <v>0.64583333333333337</v>
      </c>
      <c r="K132" s="80">
        <v>4.1666666666666664E-2</v>
      </c>
      <c r="L132" s="80">
        <v>0.3125</v>
      </c>
      <c r="M132" s="81">
        <v>0.58333333333333337</v>
      </c>
      <c r="N132" s="82">
        <v>4.1666666666666664E-2</v>
      </c>
      <c r="O132" s="83">
        <v>0.22916666666666666</v>
      </c>
      <c r="P132" s="84" t="s">
        <v>1924</v>
      </c>
    </row>
    <row r="133" spans="1:16" ht="15.75" customHeight="1">
      <c r="A133" s="99">
        <v>130</v>
      </c>
      <c r="B133" s="100">
        <v>2000</v>
      </c>
      <c r="C133" s="323"/>
      <c r="D133" s="323"/>
      <c r="E133" s="27" t="s">
        <v>883</v>
      </c>
      <c r="F133" s="27" t="s">
        <v>882</v>
      </c>
      <c r="G133" s="27" t="s">
        <v>884</v>
      </c>
      <c r="H133" s="19"/>
      <c r="I133" s="80">
        <v>0.3125</v>
      </c>
      <c r="J133" s="80">
        <v>0.64583333333333337</v>
      </c>
      <c r="K133" s="80">
        <v>4.1666666666666664E-2</v>
      </c>
      <c r="L133" s="80">
        <v>0.3125</v>
      </c>
      <c r="M133" s="81">
        <v>0.58333333333333337</v>
      </c>
      <c r="N133" s="82">
        <v>4.1666666666666664E-2</v>
      </c>
      <c r="O133" s="83">
        <v>0.22916666666666666</v>
      </c>
      <c r="P133" s="84" t="s">
        <v>1924</v>
      </c>
    </row>
    <row r="134" spans="1:16" ht="15.75" customHeight="1">
      <c r="A134" s="99">
        <v>131</v>
      </c>
      <c r="B134" s="100">
        <v>2000</v>
      </c>
      <c r="C134" s="323"/>
      <c r="D134" s="323"/>
      <c r="E134" s="27" t="s">
        <v>887</v>
      </c>
      <c r="F134" s="27" t="s">
        <v>886</v>
      </c>
      <c r="G134" s="27" t="s">
        <v>888</v>
      </c>
      <c r="H134" s="19"/>
      <c r="I134" s="80">
        <v>0.3125</v>
      </c>
      <c r="J134" s="80">
        <v>0.64583333333333337</v>
      </c>
      <c r="K134" s="80">
        <v>4.1666666666666664E-2</v>
      </c>
      <c r="L134" s="80">
        <v>0.3125</v>
      </c>
      <c r="M134" s="81">
        <v>0.58333333333333337</v>
      </c>
      <c r="N134" s="82">
        <v>4.1666666666666664E-2</v>
      </c>
      <c r="O134" s="83">
        <v>0.22916666666666666</v>
      </c>
      <c r="P134" s="84" t="s">
        <v>1924</v>
      </c>
    </row>
    <row r="135" spans="1:16" ht="15.75" customHeight="1">
      <c r="A135" s="99">
        <v>132</v>
      </c>
      <c r="B135" s="100">
        <v>2000</v>
      </c>
      <c r="C135" s="323"/>
      <c r="D135" s="323"/>
      <c r="E135" s="27" t="s">
        <v>891</v>
      </c>
      <c r="F135" s="27" t="s">
        <v>890</v>
      </c>
      <c r="G135" s="27" t="s">
        <v>892</v>
      </c>
      <c r="H135" s="19"/>
      <c r="I135" s="80">
        <v>0.3125</v>
      </c>
      <c r="J135" s="80">
        <v>0.64583333333333337</v>
      </c>
      <c r="K135" s="80">
        <v>4.1666666666666664E-2</v>
      </c>
      <c r="L135" s="80">
        <v>0.3125</v>
      </c>
      <c r="M135" s="81">
        <v>0.58333333333333337</v>
      </c>
      <c r="N135" s="82">
        <v>4.1666666666666664E-2</v>
      </c>
      <c r="O135" s="83">
        <v>0.22916666666666666</v>
      </c>
      <c r="P135" s="84" t="s">
        <v>1924</v>
      </c>
    </row>
    <row r="136" spans="1:16" ht="15.75" customHeight="1">
      <c r="A136" s="99">
        <v>133</v>
      </c>
      <c r="B136" s="100">
        <v>2000</v>
      </c>
      <c r="C136" s="323"/>
      <c r="D136" s="323"/>
      <c r="E136" s="27" t="s">
        <v>895</v>
      </c>
      <c r="F136" s="27" t="s">
        <v>894</v>
      </c>
      <c r="G136" s="27" t="s">
        <v>896</v>
      </c>
      <c r="H136" s="19"/>
      <c r="I136" s="80">
        <v>0.3125</v>
      </c>
      <c r="J136" s="80">
        <v>0.64583333333333337</v>
      </c>
      <c r="K136" s="80">
        <v>4.1666666666666664E-2</v>
      </c>
      <c r="L136" s="80">
        <v>0.3125</v>
      </c>
      <c r="M136" s="81">
        <v>0.58333333333333337</v>
      </c>
      <c r="N136" s="82">
        <v>4.1666666666666664E-2</v>
      </c>
      <c r="O136" s="83">
        <v>0.22916666666666666</v>
      </c>
      <c r="P136" s="84" t="s">
        <v>1924</v>
      </c>
    </row>
    <row r="137" spans="1:16" ht="15.75" customHeight="1">
      <c r="A137" s="99">
        <v>134</v>
      </c>
      <c r="B137" s="100">
        <v>2000</v>
      </c>
      <c r="C137" s="323"/>
      <c r="D137" s="323"/>
      <c r="E137" s="27" t="s">
        <v>899</v>
      </c>
      <c r="F137" s="27" t="s">
        <v>898</v>
      </c>
      <c r="G137" s="27" t="s">
        <v>900</v>
      </c>
      <c r="H137" s="19"/>
      <c r="I137" s="80">
        <v>0.3125</v>
      </c>
      <c r="J137" s="80">
        <v>0.64583333333333337</v>
      </c>
      <c r="K137" s="80">
        <v>4.1666666666666664E-2</v>
      </c>
      <c r="L137" s="80">
        <v>0.3125</v>
      </c>
      <c r="M137" s="81">
        <v>0.58333333333333337</v>
      </c>
      <c r="N137" s="82">
        <v>4.1666666666666664E-2</v>
      </c>
      <c r="O137" s="83">
        <v>0.22916666666666666</v>
      </c>
      <c r="P137" s="84" t="s">
        <v>1924</v>
      </c>
    </row>
    <row r="138" spans="1:16" ht="15.75" customHeight="1">
      <c r="A138" s="99">
        <v>135</v>
      </c>
      <c r="B138" s="100">
        <v>2000</v>
      </c>
      <c r="C138" s="323"/>
      <c r="D138" s="323"/>
      <c r="E138" s="27" t="s">
        <v>903</v>
      </c>
      <c r="F138" s="27" t="s">
        <v>902</v>
      </c>
      <c r="G138" s="27" t="s">
        <v>904</v>
      </c>
      <c r="H138" s="19"/>
      <c r="I138" s="80">
        <v>0.3125</v>
      </c>
      <c r="J138" s="80">
        <v>0.64583333333333337</v>
      </c>
      <c r="K138" s="80">
        <v>4.1666666666666664E-2</v>
      </c>
      <c r="L138" s="80">
        <v>0.3125</v>
      </c>
      <c r="M138" s="81">
        <v>0.58333333333333337</v>
      </c>
      <c r="N138" s="82">
        <v>4.1666666666666664E-2</v>
      </c>
      <c r="O138" s="83">
        <v>0.22916666666666666</v>
      </c>
      <c r="P138" s="84" t="s">
        <v>1924</v>
      </c>
    </row>
    <row r="139" spans="1:16" ht="15.75" customHeight="1">
      <c r="A139" s="99">
        <v>136</v>
      </c>
      <c r="B139" s="100">
        <v>2000</v>
      </c>
      <c r="C139" s="324"/>
      <c r="D139" s="324"/>
      <c r="E139" s="27" t="s">
        <v>907</v>
      </c>
      <c r="F139" s="27" t="s">
        <v>906</v>
      </c>
      <c r="G139" s="27" t="s">
        <v>908</v>
      </c>
      <c r="H139" s="19"/>
      <c r="I139" s="80">
        <v>0.3125</v>
      </c>
      <c r="J139" s="80">
        <v>0.64583333333333337</v>
      </c>
      <c r="K139" s="80">
        <v>4.1666666666666664E-2</v>
      </c>
      <c r="L139" s="80">
        <v>0.3125</v>
      </c>
      <c r="M139" s="81">
        <v>0.58333333333333337</v>
      </c>
      <c r="N139" s="82">
        <v>4.1666666666666664E-2</v>
      </c>
      <c r="O139" s="83">
        <v>0.22916666666666666</v>
      </c>
      <c r="P139" s="84" t="s">
        <v>1924</v>
      </c>
    </row>
    <row r="140" spans="1:16" ht="15.75" customHeight="1">
      <c r="A140" s="99"/>
      <c r="B140" s="100"/>
      <c r="C140" s="161"/>
      <c r="D140" s="91"/>
      <c r="E140" s="27"/>
      <c r="F140" s="27"/>
      <c r="G140" s="27"/>
      <c r="H140" s="19"/>
      <c r="I140" s="80"/>
      <c r="J140" s="80"/>
      <c r="K140" s="80"/>
      <c r="L140" s="80"/>
      <c r="M140" s="81"/>
      <c r="N140" s="82"/>
      <c r="O140" s="83"/>
      <c r="P140" s="84"/>
    </row>
    <row r="141" spans="1:16" ht="15.75" customHeight="1">
      <c r="A141" s="30"/>
      <c r="B141" s="30"/>
      <c r="C141" s="30"/>
      <c r="D141" s="68"/>
      <c r="E141" s="30"/>
      <c r="F141" s="30"/>
      <c r="G141" s="68"/>
      <c r="H141" s="30"/>
      <c r="M141" s="69"/>
      <c r="N141" s="70"/>
      <c r="O141" s="71"/>
      <c r="P141" s="72"/>
    </row>
    <row r="142" spans="1:16" ht="15.75" customHeight="1">
      <c r="A142" s="30"/>
      <c r="B142" s="30"/>
      <c r="C142" s="30"/>
      <c r="D142" s="68"/>
      <c r="E142" s="30"/>
      <c r="F142" s="30"/>
      <c r="G142" s="68"/>
      <c r="H142" s="30"/>
      <c r="M142" s="69"/>
      <c r="N142" s="70"/>
      <c r="O142" s="71"/>
      <c r="P142" s="72"/>
    </row>
    <row r="143" spans="1:16" ht="15.75" customHeight="1">
      <c r="A143" s="30"/>
      <c r="B143" s="30"/>
      <c r="C143" s="30"/>
      <c r="D143" s="68"/>
      <c r="E143" s="30"/>
      <c r="F143" s="30"/>
      <c r="G143" s="68"/>
      <c r="H143" s="30"/>
      <c r="M143" s="69"/>
      <c r="N143" s="70"/>
      <c r="O143" s="71"/>
      <c r="P143" s="72"/>
    </row>
    <row r="144" spans="1:16" ht="15.75" customHeight="1">
      <c r="A144" s="30"/>
      <c r="B144" s="30"/>
      <c r="C144" s="30"/>
      <c r="D144" s="68"/>
      <c r="E144" s="30"/>
      <c r="F144" s="30"/>
      <c r="G144" s="68"/>
      <c r="H144" s="30"/>
      <c r="M144" s="69"/>
      <c r="N144" s="70"/>
      <c r="O144" s="71"/>
      <c r="P144" s="72"/>
    </row>
    <row r="145" spans="1:16" ht="15.75" customHeight="1">
      <c r="A145" s="30"/>
      <c r="B145" s="30"/>
      <c r="C145" s="30"/>
      <c r="D145" s="68"/>
      <c r="E145" s="30"/>
      <c r="F145" s="30"/>
      <c r="G145" s="68"/>
      <c r="H145" s="30"/>
      <c r="M145" s="69"/>
      <c r="N145" s="70"/>
      <c r="O145" s="71"/>
      <c r="P145" s="72"/>
    </row>
    <row r="146" spans="1:16" ht="15.75" customHeight="1">
      <c r="A146" s="30"/>
      <c r="B146" s="30"/>
      <c r="C146" s="30"/>
      <c r="D146" s="68"/>
      <c r="E146" s="30"/>
      <c r="F146" s="30"/>
      <c r="G146" s="68"/>
      <c r="H146" s="30"/>
      <c r="M146" s="69"/>
      <c r="N146" s="70"/>
      <c r="O146" s="71"/>
      <c r="P146" s="72"/>
    </row>
    <row r="147" spans="1:16" ht="15.75" customHeight="1">
      <c r="A147" s="30"/>
      <c r="B147" s="30"/>
      <c r="C147" s="30"/>
      <c r="D147" s="68"/>
      <c r="E147" s="30"/>
      <c r="F147" s="30"/>
      <c r="G147" s="68"/>
      <c r="H147" s="30"/>
      <c r="M147" s="69"/>
      <c r="N147" s="70"/>
      <c r="O147" s="71"/>
      <c r="P147" s="72"/>
    </row>
    <row r="148" spans="1:16" ht="15.75" customHeight="1">
      <c r="A148" s="30"/>
      <c r="B148" s="30"/>
      <c r="C148" s="30"/>
      <c r="D148" s="68"/>
      <c r="E148" s="30"/>
      <c r="F148" s="30"/>
      <c r="G148" s="68"/>
      <c r="H148" s="30"/>
      <c r="M148" s="69"/>
      <c r="N148" s="70"/>
      <c r="O148" s="71"/>
      <c r="P148" s="72"/>
    </row>
    <row r="149" spans="1:16" ht="15.75" customHeight="1">
      <c r="A149" s="30"/>
      <c r="B149" s="30"/>
      <c r="C149" s="30"/>
      <c r="D149" s="68"/>
      <c r="E149" s="30"/>
      <c r="F149" s="30"/>
      <c r="G149" s="68"/>
      <c r="H149" s="30"/>
      <c r="M149" s="69"/>
      <c r="N149" s="70"/>
      <c r="O149" s="71"/>
      <c r="P149" s="72"/>
    </row>
    <row r="150" spans="1:16" ht="15.75" customHeight="1">
      <c r="A150" s="30"/>
      <c r="B150" s="30"/>
      <c r="C150" s="30"/>
      <c r="D150" s="68"/>
      <c r="E150" s="30"/>
      <c r="F150" s="30"/>
      <c r="G150" s="68"/>
      <c r="H150" s="30"/>
      <c r="M150" s="69"/>
      <c r="N150" s="70"/>
      <c r="O150" s="71"/>
      <c r="P150" s="72"/>
    </row>
    <row r="151" spans="1:16" ht="15.75" customHeight="1">
      <c r="A151" s="30"/>
      <c r="B151" s="30"/>
      <c r="C151" s="30"/>
      <c r="D151" s="68"/>
      <c r="E151" s="30"/>
      <c r="F151" s="30"/>
      <c r="G151" s="68"/>
      <c r="H151" s="30"/>
      <c r="M151" s="69"/>
      <c r="N151" s="70"/>
      <c r="O151" s="71"/>
      <c r="P151" s="72"/>
    </row>
    <row r="152" spans="1:16" ht="15.75" customHeight="1">
      <c r="A152" s="30"/>
      <c r="B152" s="30"/>
      <c r="C152" s="30"/>
      <c r="D152" s="68"/>
      <c r="E152" s="30"/>
      <c r="F152" s="30"/>
      <c r="G152" s="68"/>
      <c r="H152" s="30"/>
      <c r="M152" s="69"/>
      <c r="N152" s="70"/>
      <c r="O152" s="71"/>
      <c r="P152" s="72"/>
    </row>
    <row r="153" spans="1:16" ht="15.75" customHeight="1">
      <c r="A153" s="30"/>
      <c r="B153" s="30"/>
      <c r="C153" s="30"/>
      <c r="D153" s="68"/>
      <c r="E153" s="30"/>
      <c r="F153" s="30"/>
      <c r="G153" s="68"/>
      <c r="H153" s="30"/>
      <c r="M153" s="69"/>
      <c r="N153" s="70"/>
      <c r="O153" s="71"/>
      <c r="P153" s="72"/>
    </row>
    <row r="154" spans="1:16" ht="15.75" customHeight="1">
      <c r="A154" s="30"/>
      <c r="B154" s="30"/>
      <c r="C154" s="30"/>
      <c r="D154" s="68"/>
      <c r="E154" s="30"/>
      <c r="F154" s="30"/>
      <c r="G154" s="68"/>
      <c r="H154" s="30"/>
      <c r="M154" s="69"/>
      <c r="N154" s="70"/>
      <c r="O154" s="71"/>
      <c r="P154" s="72"/>
    </row>
    <row r="155" spans="1:16" ht="15.75" customHeight="1">
      <c r="A155" s="30"/>
      <c r="B155" s="30"/>
      <c r="C155" s="30"/>
      <c r="D155" s="68"/>
      <c r="E155" s="30"/>
      <c r="F155" s="30"/>
      <c r="G155" s="68"/>
      <c r="H155" s="30"/>
      <c r="M155" s="69"/>
      <c r="N155" s="70"/>
      <c r="O155" s="71"/>
      <c r="P155" s="72"/>
    </row>
    <row r="156" spans="1:16" ht="15.75" customHeight="1">
      <c r="A156" s="30"/>
      <c r="B156" s="30"/>
      <c r="C156" s="30"/>
      <c r="D156" s="68"/>
      <c r="E156" s="30"/>
      <c r="F156" s="30"/>
      <c r="G156" s="68"/>
      <c r="H156" s="30"/>
      <c r="M156" s="69"/>
      <c r="N156" s="70"/>
      <c r="O156" s="71"/>
      <c r="P156" s="72"/>
    </row>
    <row r="157" spans="1:16" ht="15.75" customHeight="1">
      <c r="A157" s="30"/>
      <c r="B157" s="30"/>
      <c r="C157" s="30"/>
      <c r="D157" s="68"/>
      <c r="E157" s="30"/>
      <c r="F157" s="30"/>
      <c r="G157" s="68"/>
      <c r="H157" s="30"/>
      <c r="M157" s="69"/>
      <c r="N157" s="70"/>
      <c r="O157" s="71"/>
      <c r="P157" s="72"/>
    </row>
    <row r="158" spans="1:16" ht="15.75" customHeight="1">
      <c r="A158" s="30"/>
      <c r="B158" s="30"/>
      <c r="C158" s="30"/>
      <c r="D158" s="68"/>
      <c r="E158" s="30"/>
      <c r="F158" s="30"/>
      <c r="G158" s="68"/>
      <c r="H158" s="30"/>
      <c r="M158" s="69"/>
      <c r="N158" s="70"/>
      <c r="O158" s="71"/>
      <c r="P158" s="72"/>
    </row>
    <row r="159" spans="1:16" ht="15.75" customHeight="1">
      <c r="A159" s="30"/>
      <c r="B159" s="30"/>
      <c r="C159" s="30"/>
      <c r="D159" s="68"/>
      <c r="E159" s="30"/>
      <c r="F159" s="30"/>
      <c r="G159" s="68"/>
      <c r="H159" s="30"/>
      <c r="M159" s="69"/>
      <c r="N159" s="70"/>
      <c r="O159" s="71"/>
      <c r="P159" s="72"/>
    </row>
    <row r="160" spans="1:16" ht="15.75" customHeight="1">
      <c r="A160" s="30"/>
      <c r="B160" s="30"/>
      <c r="C160" s="30"/>
      <c r="D160" s="68"/>
      <c r="E160" s="30"/>
      <c r="F160" s="30"/>
      <c r="G160" s="68"/>
      <c r="H160" s="30"/>
      <c r="M160" s="69"/>
      <c r="N160" s="70"/>
      <c r="O160" s="71"/>
      <c r="P160" s="72"/>
    </row>
    <row r="161" spans="1:16" ht="15.75" customHeight="1">
      <c r="A161" s="30"/>
      <c r="B161" s="30"/>
      <c r="C161" s="30"/>
      <c r="D161" s="68"/>
      <c r="E161" s="30"/>
      <c r="F161" s="30"/>
      <c r="G161" s="68"/>
      <c r="H161" s="30"/>
      <c r="M161" s="69"/>
      <c r="N161" s="70"/>
      <c r="O161" s="71"/>
      <c r="P161" s="72"/>
    </row>
    <row r="162" spans="1:16" ht="15.75" customHeight="1">
      <c r="A162" s="30"/>
      <c r="B162" s="30"/>
      <c r="C162" s="30"/>
      <c r="D162" s="68"/>
      <c r="E162" s="30"/>
      <c r="F162" s="30"/>
      <c r="G162" s="68"/>
      <c r="H162" s="30"/>
      <c r="M162" s="69"/>
      <c r="N162" s="70"/>
      <c r="O162" s="71"/>
      <c r="P162" s="72"/>
    </row>
    <row r="163" spans="1:16" ht="15.75" customHeight="1">
      <c r="A163" s="30"/>
      <c r="B163" s="30"/>
      <c r="C163" s="30"/>
      <c r="D163" s="68"/>
      <c r="E163" s="30"/>
      <c r="F163" s="30"/>
      <c r="G163" s="68"/>
      <c r="H163" s="30"/>
      <c r="M163" s="69"/>
      <c r="N163" s="70"/>
      <c r="O163" s="71"/>
      <c r="P163" s="72"/>
    </row>
    <row r="164" spans="1:16" ht="15.75" customHeight="1">
      <c r="A164" s="30"/>
      <c r="B164" s="30"/>
      <c r="C164" s="30"/>
      <c r="D164" s="68"/>
      <c r="E164" s="30"/>
      <c r="F164" s="30"/>
      <c r="G164" s="68"/>
      <c r="H164" s="30"/>
      <c r="M164" s="69"/>
      <c r="N164" s="70"/>
      <c r="O164" s="71"/>
      <c r="P164" s="72"/>
    </row>
    <row r="165" spans="1:16" ht="15.75" customHeight="1">
      <c r="A165" s="30"/>
      <c r="B165" s="30"/>
      <c r="C165" s="30"/>
      <c r="D165" s="68"/>
      <c r="E165" s="30"/>
      <c r="F165" s="30"/>
      <c r="G165" s="68"/>
      <c r="H165" s="30"/>
      <c r="M165" s="69"/>
      <c r="N165" s="70"/>
      <c r="O165" s="71"/>
      <c r="P165" s="72"/>
    </row>
    <row r="166" spans="1:16" ht="15.75" customHeight="1">
      <c r="A166" s="30"/>
      <c r="B166" s="30"/>
      <c r="C166" s="30"/>
      <c r="D166" s="68"/>
      <c r="E166" s="30"/>
      <c r="F166" s="30"/>
      <c r="G166" s="68"/>
      <c r="H166" s="30"/>
      <c r="M166" s="69"/>
      <c r="N166" s="70"/>
      <c r="O166" s="71"/>
      <c r="P166" s="72"/>
    </row>
    <row r="167" spans="1:16" ht="15.75" customHeight="1">
      <c r="A167" s="30"/>
      <c r="B167" s="30"/>
      <c r="C167" s="30"/>
      <c r="D167" s="68"/>
      <c r="E167" s="30"/>
      <c r="F167" s="30"/>
      <c r="G167" s="68"/>
      <c r="H167" s="30"/>
      <c r="M167" s="69"/>
      <c r="N167" s="70"/>
      <c r="O167" s="71"/>
      <c r="P167" s="72"/>
    </row>
    <row r="168" spans="1:16" ht="15.75" customHeight="1">
      <c r="A168" s="30"/>
      <c r="B168" s="30"/>
      <c r="C168" s="30"/>
      <c r="D168" s="68"/>
      <c r="E168" s="30"/>
      <c r="F168" s="30"/>
      <c r="G168" s="68"/>
      <c r="H168" s="30"/>
      <c r="M168" s="69"/>
      <c r="N168" s="70"/>
      <c r="O168" s="71"/>
      <c r="P168" s="72"/>
    </row>
    <row r="169" spans="1:16" ht="15.75" customHeight="1">
      <c r="A169" s="30"/>
      <c r="B169" s="30"/>
      <c r="C169" s="30"/>
      <c r="D169" s="68"/>
      <c r="E169" s="30"/>
      <c r="F169" s="30"/>
      <c r="G169" s="68"/>
      <c r="H169" s="30"/>
      <c r="M169" s="69"/>
      <c r="N169" s="70"/>
      <c r="O169" s="71"/>
      <c r="P169" s="72"/>
    </row>
    <row r="170" spans="1:16" ht="15.75" customHeight="1">
      <c r="A170" s="30"/>
      <c r="B170" s="30"/>
      <c r="C170" s="30"/>
      <c r="D170" s="68"/>
      <c r="E170" s="30"/>
      <c r="F170" s="30"/>
      <c r="G170" s="68"/>
      <c r="H170" s="30"/>
      <c r="M170" s="69"/>
      <c r="N170" s="70"/>
      <c r="O170" s="71"/>
      <c r="P170" s="72"/>
    </row>
    <row r="171" spans="1:16" ht="15.75" customHeight="1">
      <c r="A171" s="30"/>
      <c r="B171" s="30"/>
      <c r="C171" s="30"/>
      <c r="D171" s="68"/>
      <c r="E171" s="30"/>
      <c r="F171" s="30"/>
      <c r="G171" s="68"/>
      <c r="H171" s="30"/>
      <c r="M171" s="69"/>
      <c r="N171" s="70"/>
      <c r="O171" s="71"/>
      <c r="P171" s="72"/>
    </row>
    <row r="172" spans="1:16" ht="15.75" customHeight="1">
      <c r="A172" s="30"/>
      <c r="B172" s="30"/>
      <c r="C172" s="30"/>
      <c r="D172" s="68"/>
      <c r="E172" s="30"/>
      <c r="F172" s="30"/>
      <c r="G172" s="68"/>
      <c r="H172" s="30"/>
      <c r="M172" s="69"/>
      <c r="N172" s="70"/>
      <c r="O172" s="71"/>
      <c r="P172" s="72"/>
    </row>
    <row r="173" spans="1:16" ht="15.75" customHeight="1">
      <c r="A173" s="30"/>
      <c r="B173" s="30"/>
      <c r="C173" s="30"/>
      <c r="D173" s="68"/>
      <c r="E173" s="30"/>
      <c r="F173" s="30"/>
      <c r="G173" s="68"/>
      <c r="H173" s="30"/>
      <c r="M173" s="69"/>
      <c r="N173" s="70"/>
      <c r="O173" s="71"/>
      <c r="P173" s="72"/>
    </row>
    <row r="174" spans="1:16" ht="15.75" customHeight="1">
      <c r="A174" s="30"/>
      <c r="B174" s="30"/>
      <c r="C174" s="30"/>
      <c r="D174" s="68"/>
      <c r="E174" s="30"/>
      <c r="F174" s="30"/>
      <c r="G174" s="68"/>
      <c r="H174" s="30"/>
      <c r="M174" s="69"/>
      <c r="N174" s="70"/>
      <c r="O174" s="71"/>
      <c r="P174" s="72"/>
    </row>
    <row r="175" spans="1:16" ht="15.75" customHeight="1">
      <c r="A175" s="30"/>
      <c r="B175" s="30"/>
      <c r="C175" s="30"/>
      <c r="D175" s="68"/>
      <c r="E175" s="30"/>
      <c r="F175" s="30"/>
      <c r="G175" s="68"/>
      <c r="H175" s="30"/>
      <c r="M175" s="69"/>
      <c r="N175" s="70"/>
      <c r="O175" s="71"/>
      <c r="P175" s="72"/>
    </row>
    <row r="176" spans="1:16" ht="15.75" customHeight="1">
      <c r="A176" s="30"/>
      <c r="B176" s="30"/>
      <c r="C176" s="30"/>
      <c r="D176" s="68"/>
      <c r="E176" s="30"/>
      <c r="F176" s="30"/>
      <c r="G176" s="68"/>
      <c r="H176" s="30"/>
      <c r="M176" s="69"/>
      <c r="N176" s="70"/>
      <c r="O176" s="71"/>
      <c r="P176" s="72"/>
    </row>
    <row r="177" spans="1:16" ht="15.75" customHeight="1">
      <c r="A177" s="30"/>
      <c r="B177" s="30"/>
      <c r="C177" s="30"/>
      <c r="D177" s="68"/>
      <c r="E177" s="30"/>
      <c r="F177" s="30"/>
      <c r="G177" s="68"/>
      <c r="H177" s="30"/>
      <c r="M177" s="69"/>
      <c r="N177" s="70"/>
      <c r="O177" s="71"/>
      <c r="P177" s="72"/>
    </row>
    <row r="178" spans="1:16" ht="15.75" customHeight="1">
      <c r="A178" s="30"/>
      <c r="B178" s="30"/>
      <c r="C178" s="30"/>
      <c r="D178" s="68"/>
      <c r="E178" s="30"/>
      <c r="F178" s="30"/>
      <c r="G178" s="68"/>
      <c r="H178" s="30"/>
      <c r="M178" s="69"/>
      <c r="N178" s="70"/>
      <c r="O178" s="71"/>
      <c r="P178" s="72"/>
    </row>
    <row r="179" spans="1:16" ht="15.75" customHeight="1">
      <c r="A179" s="30"/>
      <c r="B179" s="30"/>
      <c r="C179" s="30"/>
      <c r="D179" s="68"/>
      <c r="E179" s="30"/>
      <c r="F179" s="30"/>
      <c r="G179" s="68"/>
      <c r="H179" s="30"/>
      <c r="M179" s="69"/>
      <c r="N179" s="70"/>
      <c r="O179" s="71"/>
      <c r="P179" s="72"/>
    </row>
    <row r="180" spans="1:16" ht="15.75" customHeight="1">
      <c r="A180" s="30"/>
      <c r="B180" s="30"/>
      <c r="C180" s="30"/>
      <c r="D180" s="68"/>
      <c r="E180" s="30"/>
      <c r="F180" s="30"/>
      <c r="G180" s="68"/>
      <c r="H180" s="30"/>
      <c r="M180" s="69"/>
      <c r="N180" s="70"/>
      <c r="O180" s="71"/>
      <c r="P180" s="72"/>
    </row>
    <row r="181" spans="1:16" ht="15.75" customHeight="1">
      <c r="A181" s="30"/>
      <c r="B181" s="30"/>
      <c r="C181" s="30"/>
      <c r="D181" s="68"/>
      <c r="E181" s="30"/>
      <c r="F181" s="30"/>
      <c r="G181" s="68"/>
      <c r="H181" s="30"/>
      <c r="M181" s="69"/>
      <c r="N181" s="70"/>
      <c r="O181" s="71"/>
      <c r="P181" s="72"/>
    </row>
    <row r="182" spans="1:16" ht="15.75" customHeight="1">
      <c r="A182" s="30"/>
      <c r="B182" s="30"/>
      <c r="C182" s="30"/>
      <c r="D182" s="68"/>
      <c r="E182" s="30"/>
      <c r="F182" s="30"/>
      <c r="G182" s="68"/>
      <c r="H182" s="30"/>
      <c r="M182" s="69"/>
      <c r="N182" s="70"/>
      <c r="O182" s="71"/>
      <c r="P182" s="72"/>
    </row>
    <row r="183" spans="1:16" ht="15.75" customHeight="1">
      <c r="A183" s="30"/>
      <c r="B183" s="30"/>
      <c r="C183" s="30"/>
      <c r="D183" s="68"/>
      <c r="E183" s="30"/>
      <c r="F183" s="30"/>
      <c r="G183" s="68"/>
      <c r="H183" s="30"/>
      <c r="M183" s="69"/>
      <c r="N183" s="70"/>
      <c r="O183" s="71"/>
      <c r="P183" s="72"/>
    </row>
    <row r="184" spans="1:16" ht="15.75" customHeight="1">
      <c r="A184" s="30"/>
      <c r="B184" s="30"/>
      <c r="C184" s="30"/>
      <c r="D184" s="68"/>
      <c r="E184" s="30"/>
      <c r="F184" s="30"/>
      <c r="G184" s="68"/>
      <c r="H184" s="30"/>
      <c r="M184" s="69"/>
      <c r="N184" s="70"/>
      <c r="O184" s="71"/>
      <c r="P184" s="72"/>
    </row>
    <row r="185" spans="1:16" ht="15.75" customHeight="1">
      <c r="A185" s="30"/>
      <c r="B185" s="30"/>
      <c r="C185" s="30"/>
      <c r="D185" s="68"/>
      <c r="E185" s="30"/>
      <c r="F185" s="30"/>
      <c r="G185" s="68"/>
      <c r="H185" s="30"/>
      <c r="M185" s="69"/>
      <c r="N185" s="70"/>
      <c r="O185" s="71"/>
      <c r="P185" s="72"/>
    </row>
    <row r="186" spans="1:16" ht="15.75" customHeight="1">
      <c r="A186" s="30"/>
      <c r="B186" s="30"/>
      <c r="C186" s="30"/>
      <c r="D186" s="68"/>
      <c r="E186" s="30"/>
      <c r="F186" s="30"/>
      <c r="G186" s="68"/>
      <c r="H186" s="30"/>
      <c r="M186" s="69"/>
      <c r="N186" s="70"/>
      <c r="O186" s="71"/>
      <c r="P186" s="72"/>
    </row>
    <row r="187" spans="1:16" ht="15.75" customHeight="1">
      <c r="A187" s="30"/>
      <c r="B187" s="30"/>
      <c r="C187" s="30"/>
      <c r="D187" s="68"/>
      <c r="E187" s="30"/>
      <c r="F187" s="30"/>
      <c r="G187" s="68"/>
      <c r="H187" s="30"/>
      <c r="M187" s="69"/>
      <c r="N187" s="70"/>
      <c r="O187" s="71"/>
      <c r="P187" s="72"/>
    </row>
    <row r="188" spans="1:16" ht="15.75" customHeight="1">
      <c r="A188" s="30"/>
      <c r="B188" s="30"/>
      <c r="C188" s="30"/>
      <c r="D188" s="68"/>
      <c r="E188" s="30"/>
      <c r="F188" s="30"/>
      <c r="G188" s="68"/>
      <c r="H188" s="30"/>
      <c r="M188" s="69"/>
      <c r="N188" s="70"/>
      <c r="O188" s="71"/>
      <c r="P188" s="72"/>
    </row>
    <row r="189" spans="1:16" ht="15.75" customHeight="1">
      <c r="A189" s="30"/>
      <c r="B189" s="30"/>
      <c r="C189" s="30"/>
      <c r="D189" s="68"/>
      <c r="E189" s="30"/>
      <c r="F189" s="30"/>
      <c r="G189" s="68"/>
      <c r="H189" s="30"/>
      <c r="M189" s="69"/>
      <c r="N189" s="70"/>
      <c r="O189" s="71"/>
      <c r="P189" s="72"/>
    </row>
    <row r="190" spans="1:16" ht="15.75" customHeight="1">
      <c r="A190" s="30"/>
      <c r="B190" s="30"/>
      <c r="C190" s="30"/>
      <c r="D190" s="68"/>
      <c r="E190" s="30"/>
      <c r="F190" s="30"/>
      <c r="G190" s="68"/>
      <c r="H190" s="30"/>
      <c r="M190" s="69"/>
      <c r="N190" s="70"/>
      <c r="O190" s="71"/>
      <c r="P190" s="72"/>
    </row>
    <row r="191" spans="1:16" ht="15.75" customHeight="1">
      <c r="A191" s="30"/>
      <c r="B191" s="30"/>
      <c r="C191" s="30"/>
      <c r="D191" s="68"/>
      <c r="E191" s="30"/>
      <c r="F191" s="30"/>
      <c r="G191" s="68"/>
      <c r="H191" s="30"/>
      <c r="M191" s="69"/>
      <c r="N191" s="70"/>
      <c r="O191" s="71"/>
      <c r="P191" s="72"/>
    </row>
    <row r="192" spans="1:16" ht="15.75" customHeight="1">
      <c r="A192" s="30"/>
      <c r="B192" s="30"/>
      <c r="C192" s="30"/>
      <c r="D192" s="68"/>
      <c r="E192" s="30"/>
      <c r="F192" s="30"/>
      <c r="G192" s="68"/>
      <c r="H192" s="30"/>
      <c r="M192" s="69"/>
      <c r="N192" s="70"/>
      <c r="O192" s="71"/>
      <c r="P192" s="72"/>
    </row>
    <row r="193" spans="1:16" ht="15.75" customHeight="1">
      <c r="A193" s="30"/>
      <c r="B193" s="30"/>
      <c r="C193" s="30"/>
      <c r="D193" s="68"/>
      <c r="E193" s="30"/>
      <c r="F193" s="30"/>
      <c r="G193" s="68"/>
      <c r="H193" s="30"/>
      <c r="M193" s="69"/>
      <c r="N193" s="70"/>
      <c r="O193" s="71"/>
      <c r="P193" s="72"/>
    </row>
    <row r="194" spans="1:16" ht="15.75" customHeight="1">
      <c r="A194" s="30"/>
      <c r="B194" s="30"/>
      <c r="C194" s="30"/>
      <c r="D194" s="68"/>
      <c r="E194" s="30"/>
      <c r="F194" s="30"/>
      <c r="G194" s="68"/>
      <c r="H194" s="30"/>
      <c r="M194" s="69"/>
      <c r="N194" s="70"/>
      <c r="O194" s="71"/>
      <c r="P194" s="72"/>
    </row>
    <row r="195" spans="1:16" ht="15.75" customHeight="1">
      <c r="A195" s="30"/>
      <c r="B195" s="30"/>
      <c r="C195" s="30"/>
      <c r="D195" s="68"/>
      <c r="E195" s="30"/>
      <c r="F195" s="30"/>
      <c r="G195" s="68"/>
      <c r="H195" s="30"/>
      <c r="M195" s="69"/>
      <c r="N195" s="70"/>
      <c r="O195" s="71"/>
      <c r="P195" s="72"/>
    </row>
    <row r="196" spans="1:16" ht="15.75" customHeight="1">
      <c r="A196" s="30"/>
      <c r="B196" s="30"/>
      <c r="C196" s="30"/>
      <c r="D196" s="68"/>
      <c r="E196" s="30"/>
      <c r="F196" s="30"/>
      <c r="G196" s="68"/>
      <c r="H196" s="30"/>
      <c r="M196" s="69"/>
      <c r="N196" s="70"/>
      <c r="O196" s="71"/>
      <c r="P196" s="72"/>
    </row>
    <row r="197" spans="1:16" ht="15.75" customHeight="1">
      <c r="A197" s="30"/>
      <c r="B197" s="30"/>
      <c r="C197" s="30"/>
      <c r="D197" s="68"/>
      <c r="E197" s="30"/>
      <c r="F197" s="30"/>
      <c r="G197" s="68"/>
      <c r="H197" s="30"/>
      <c r="M197" s="69"/>
      <c r="N197" s="70"/>
      <c r="O197" s="71"/>
      <c r="P197" s="72"/>
    </row>
    <row r="198" spans="1:16" ht="15.75" customHeight="1">
      <c r="A198" s="30"/>
      <c r="B198" s="30"/>
      <c r="C198" s="30"/>
      <c r="D198" s="68"/>
      <c r="E198" s="30"/>
      <c r="F198" s="30"/>
      <c r="G198" s="68"/>
      <c r="H198" s="30"/>
      <c r="M198" s="69"/>
      <c r="N198" s="70"/>
      <c r="O198" s="71"/>
      <c r="P198" s="72"/>
    </row>
    <row r="199" spans="1:16" ht="15.75" customHeight="1">
      <c r="A199" s="30"/>
      <c r="B199" s="30"/>
      <c r="C199" s="30"/>
      <c r="D199" s="68"/>
      <c r="E199" s="30"/>
      <c r="F199" s="30"/>
      <c r="G199" s="68"/>
      <c r="H199" s="30"/>
      <c r="M199" s="69"/>
      <c r="N199" s="70"/>
      <c r="O199" s="71"/>
      <c r="P199" s="72"/>
    </row>
    <row r="200" spans="1:16" ht="15.75" customHeight="1">
      <c r="A200" s="30"/>
      <c r="B200" s="30"/>
      <c r="C200" s="30"/>
      <c r="D200" s="68"/>
      <c r="E200" s="30"/>
      <c r="F200" s="30"/>
      <c r="G200" s="68"/>
      <c r="H200" s="30"/>
      <c r="M200" s="69"/>
      <c r="N200" s="70"/>
      <c r="O200" s="71"/>
      <c r="P200" s="72"/>
    </row>
    <row r="201" spans="1:16" ht="15.75" customHeight="1">
      <c r="A201" s="30"/>
      <c r="B201" s="30"/>
      <c r="C201" s="30"/>
      <c r="D201" s="68"/>
      <c r="E201" s="30"/>
      <c r="F201" s="30"/>
      <c r="G201" s="68"/>
      <c r="H201" s="30"/>
      <c r="M201" s="69"/>
      <c r="N201" s="70"/>
      <c r="O201" s="71"/>
      <c r="P201" s="72"/>
    </row>
    <row r="202" spans="1:16" ht="15.75" customHeight="1">
      <c r="A202" s="30"/>
      <c r="B202" s="30"/>
      <c r="C202" s="30"/>
      <c r="D202" s="68"/>
      <c r="E202" s="30"/>
      <c r="F202" s="30"/>
      <c r="G202" s="68"/>
      <c r="H202" s="30"/>
      <c r="M202" s="69"/>
      <c r="N202" s="70"/>
      <c r="O202" s="71"/>
      <c r="P202" s="72"/>
    </row>
    <row r="203" spans="1:16" ht="15.75" customHeight="1">
      <c r="A203" s="30"/>
      <c r="B203" s="30"/>
      <c r="C203" s="30"/>
      <c r="D203" s="68"/>
      <c r="E203" s="30"/>
      <c r="F203" s="30"/>
      <c r="G203" s="68"/>
      <c r="H203" s="30"/>
      <c r="M203" s="69"/>
      <c r="N203" s="70"/>
      <c r="O203" s="71"/>
      <c r="P203" s="72"/>
    </row>
    <row r="204" spans="1:16" ht="15.75" customHeight="1">
      <c r="A204" s="30"/>
      <c r="B204" s="30"/>
      <c r="C204" s="30"/>
      <c r="D204" s="68"/>
      <c r="E204" s="30"/>
      <c r="F204" s="30"/>
      <c r="G204" s="68"/>
      <c r="H204" s="30"/>
      <c r="M204" s="69"/>
      <c r="N204" s="70"/>
      <c r="O204" s="71"/>
      <c r="P204" s="72"/>
    </row>
    <row r="205" spans="1:16" ht="15.75" customHeight="1">
      <c r="A205" s="30"/>
      <c r="B205" s="30"/>
      <c r="C205" s="30"/>
      <c r="D205" s="68"/>
      <c r="E205" s="30"/>
      <c r="F205" s="30"/>
      <c r="G205" s="68"/>
      <c r="H205" s="30"/>
      <c r="M205" s="69"/>
      <c r="N205" s="70"/>
      <c r="O205" s="71"/>
      <c r="P205" s="72"/>
    </row>
    <row r="206" spans="1:16" ht="15.75" customHeight="1">
      <c r="A206" s="30"/>
      <c r="B206" s="30"/>
      <c r="C206" s="30"/>
      <c r="D206" s="68"/>
      <c r="E206" s="30"/>
      <c r="F206" s="30"/>
      <c r="G206" s="68"/>
      <c r="H206" s="30"/>
      <c r="M206" s="69"/>
      <c r="N206" s="70"/>
      <c r="O206" s="71"/>
      <c r="P206" s="72"/>
    </row>
    <row r="207" spans="1:16" ht="15.75" customHeight="1">
      <c r="A207" s="30"/>
      <c r="B207" s="30"/>
      <c r="C207" s="30"/>
      <c r="D207" s="68"/>
      <c r="E207" s="30"/>
      <c r="F207" s="30"/>
      <c r="G207" s="68"/>
      <c r="H207" s="30"/>
      <c r="M207" s="69"/>
      <c r="N207" s="70"/>
      <c r="O207" s="71"/>
      <c r="P207" s="72"/>
    </row>
    <row r="208" spans="1:16" ht="15.75" customHeight="1">
      <c r="A208" s="30"/>
      <c r="B208" s="30"/>
      <c r="C208" s="30"/>
      <c r="D208" s="68"/>
      <c r="E208" s="30"/>
      <c r="F208" s="30"/>
      <c r="G208" s="68"/>
      <c r="H208" s="30"/>
      <c r="M208" s="69"/>
      <c r="N208" s="70"/>
      <c r="O208" s="71"/>
      <c r="P208" s="72"/>
    </row>
    <row r="209" spans="1:16" ht="15.75" customHeight="1">
      <c r="A209" s="30"/>
      <c r="B209" s="30"/>
      <c r="C209" s="30"/>
      <c r="D209" s="68"/>
      <c r="E209" s="30"/>
      <c r="F209" s="30"/>
      <c r="G209" s="68"/>
      <c r="H209" s="30"/>
      <c r="M209" s="69"/>
      <c r="N209" s="70"/>
      <c r="O209" s="71"/>
      <c r="P209" s="72"/>
    </row>
    <row r="210" spans="1:16" ht="15.75" customHeight="1">
      <c r="A210" s="30"/>
      <c r="B210" s="30"/>
      <c r="C210" s="30"/>
      <c r="D210" s="68"/>
      <c r="E210" s="30"/>
      <c r="F210" s="30"/>
      <c r="G210" s="68"/>
      <c r="H210" s="30"/>
      <c r="M210" s="69"/>
      <c r="N210" s="70"/>
      <c r="O210" s="71"/>
      <c r="P210" s="72"/>
    </row>
    <row r="211" spans="1:16" ht="15.75" customHeight="1">
      <c r="A211" s="30"/>
      <c r="B211" s="30"/>
      <c r="C211" s="30"/>
      <c r="D211" s="68"/>
      <c r="E211" s="30"/>
      <c r="F211" s="30"/>
      <c r="G211" s="68"/>
      <c r="H211" s="30"/>
      <c r="M211" s="69"/>
      <c r="N211" s="70"/>
      <c r="O211" s="71"/>
      <c r="P211" s="72"/>
    </row>
    <row r="212" spans="1:16" ht="15.75" customHeight="1">
      <c r="A212" s="30"/>
      <c r="B212" s="30"/>
      <c r="C212" s="30"/>
      <c r="D212" s="68"/>
      <c r="E212" s="30"/>
      <c r="F212" s="30"/>
      <c r="G212" s="68"/>
      <c r="H212" s="30"/>
      <c r="M212" s="69"/>
      <c r="N212" s="70"/>
      <c r="O212" s="71"/>
      <c r="P212" s="72"/>
    </row>
    <row r="213" spans="1:16" ht="15.75" customHeight="1">
      <c r="A213" s="30"/>
      <c r="B213" s="30"/>
      <c r="C213" s="30"/>
      <c r="D213" s="68"/>
      <c r="E213" s="30"/>
      <c r="F213" s="30"/>
      <c r="G213" s="68"/>
      <c r="H213" s="30"/>
      <c r="M213" s="69"/>
      <c r="N213" s="70"/>
      <c r="O213" s="71"/>
      <c r="P213" s="72"/>
    </row>
    <row r="214" spans="1:16" ht="15.75" customHeight="1">
      <c r="A214" s="30"/>
      <c r="B214" s="30"/>
      <c r="C214" s="30"/>
      <c r="D214" s="68"/>
      <c r="E214" s="30"/>
      <c r="F214" s="30"/>
      <c r="G214" s="68"/>
      <c r="H214" s="30"/>
      <c r="M214" s="69"/>
      <c r="N214" s="70"/>
      <c r="O214" s="71"/>
      <c r="P214" s="72"/>
    </row>
    <row r="215" spans="1:16" ht="15.75" customHeight="1">
      <c r="A215" s="30"/>
      <c r="B215" s="30"/>
      <c r="C215" s="30"/>
      <c r="D215" s="68"/>
      <c r="E215" s="30"/>
      <c r="F215" s="30"/>
      <c r="G215" s="68"/>
      <c r="H215" s="30"/>
      <c r="M215" s="69"/>
      <c r="N215" s="70"/>
      <c r="O215" s="71"/>
      <c r="P215" s="72"/>
    </row>
    <row r="216" spans="1:16" ht="15.75" customHeight="1">
      <c r="A216" s="30"/>
      <c r="B216" s="30"/>
      <c r="C216" s="30"/>
      <c r="D216" s="68"/>
      <c r="E216" s="30"/>
      <c r="F216" s="30"/>
      <c r="G216" s="68"/>
      <c r="H216" s="30"/>
      <c r="M216" s="69"/>
      <c r="N216" s="70"/>
      <c r="O216" s="71"/>
      <c r="P216" s="72"/>
    </row>
    <row r="217" spans="1:16" ht="15.75" customHeight="1">
      <c r="A217" s="30"/>
      <c r="B217" s="30"/>
      <c r="C217" s="30"/>
      <c r="D217" s="68"/>
      <c r="E217" s="30"/>
      <c r="F217" s="30"/>
      <c r="G217" s="68"/>
      <c r="H217" s="30"/>
      <c r="M217" s="69"/>
      <c r="N217" s="70"/>
      <c r="O217" s="71"/>
      <c r="P217" s="72"/>
    </row>
    <row r="218" spans="1:16" ht="15.75" customHeight="1">
      <c r="A218" s="30"/>
      <c r="B218" s="30"/>
      <c r="C218" s="30"/>
      <c r="D218" s="68"/>
      <c r="E218" s="30"/>
      <c r="F218" s="30"/>
      <c r="G218" s="68"/>
      <c r="H218" s="30"/>
      <c r="M218" s="69"/>
      <c r="N218" s="70"/>
      <c r="O218" s="71"/>
      <c r="P218" s="72"/>
    </row>
    <row r="219" spans="1:16" ht="15.75" customHeight="1">
      <c r="A219" s="30"/>
      <c r="B219" s="30"/>
      <c r="C219" s="30"/>
      <c r="D219" s="68"/>
      <c r="E219" s="30"/>
      <c r="F219" s="30"/>
      <c r="G219" s="68"/>
      <c r="H219" s="30"/>
      <c r="M219" s="69"/>
      <c r="N219" s="70"/>
      <c r="O219" s="71"/>
      <c r="P219" s="72"/>
    </row>
    <row r="220" spans="1:16" ht="15.75" customHeight="1">
      <c r="A220" s="30"/>
      <c r="B220" s="30"/>
      <c r="C220" s="30"/>
      <c r="D220" s="68"/>
      <c r="E220" s="30"/>
      <c r="F220" s="30"/>
      <c r="G220" s="68"/>
      <c r="H220" s="30"/>
      <c r="M220" s="69"/>
      <c r="N220" s="70"/>
      <c r="O220" s="71"/>
      <c r="P220" s="72"/>
    </row>
    <row r="221" spans="1:16" ht="15.75" customHeight="1">
      <c r="A221" s="30"/>
      <c r="B221" s="30"/>
      <c r="C221" s="30"/>
      <c r="D221" s="68"/>
      <c r="E221" s="30"/>
      <c r="F221" s="30"/>
      <c r="G221" s="68"/>
      <c r="H221" s="30"/>
      <c r="M221" s="69"/>
      <c r="N221" s="70"/>
      <c r="O221" s="71"/>
      <c r="P221" s="72"/>
    </row>
    <row r="222" spans="1:16" ht="15.75" customHeight="1">
      <c r="A222" s="30"/>
      <c r="B222" s="30"/>
      <c r="C222" s="30"/>
      <c r="D222" s="68"/>
      <c r="E222" s="30"/>
      <c r="F222" s="30"/>
      <c r="G222" s="68"/>
      <c r="H222" s="30"/>
      <c r="M222" s="69"/>
      <c r="N222" s="70"/>
      <c r="O222" s="71"/>
      <c r="P222" s="72"/>
    </row>
    <row r="223" spans="1:16" ht="15.75" customHeight="1">
      <c r="A223" s="30"/>
      <c r="B223" s="30"/>
      <c r="C223" s="30"/>
      <c r="D223" s="68"/>
      <c r="E223" s="30"/>
      <c r="F223" s="30"/>
      <c r="G223" s="68"/>
      <c r="H223" s="30"/>
      <c r="M223" s="69"/>
      <c r="N223" s="70"/>
      <c r="O223" s="71"/>
      <c r="P223" s="72"/>
    </row>
    <row r="224" spans="1:16" ht="15.75" customHeight="1">
      <c r="A224" s="30"/>
      <c r="B224" s="30"/>
      <c r="C224" s="30"/>
      <c r="D224" s="68"/>
      <c r="E224" s="30"/>
      <c r="F224" s="30"/>
      <c r="G224" s="68"/>
      <c r="H224" s="30"/>
      <c r="M224" s="69"/>
      <c r="N224" s="70"/>
      <c r="O224" s="71"/>
      <c r="P224" s="72"/>
    </row>
    <row r="225" spans="1:16" ht="15.75" customHeight="1">
      <c r="A225" s="30"/>
      <c r="B225" s="30"/>
      <c r="C225" s="30"/>
      <c r="D225" s="68"/>
      <c r="E225" s="30"/>
      <c r="F225" s="30"/>
      <c r="G225" s="68"/>
      <c r="H225" s="30"/>
      <c r="M225" s="69"/>
      <c r="N225" s="70"/>
      <c r="O225" s="71"/>
      <c r="P225" s="72"/>
    </row>
    <row r="226" spans="1:16" ht="15.75" customHeight="1">
      <c r="A226" s="30"/>
      <c r="B226" s="30"/>
      <c r="C226" s="30"/>
      <c r="D226" s="68"/>
      <c r="E226" s="30"/>
      <c r="F226" s="30"/>
      <c r="G226" s="68"/>
      <c r="H226" s="30"/>
      <c r="M226" s="69"/>
      <c r="N226" s="70"/>
      <c r="O226" s="71"/>
      <c r="P226" s="72"/>
    </row>
    <row r="227" spans="1:16" ht="15.75" customHeight="1">
      <c r="A227" s="30"/>
      <c r="B227" s="30"/>
      <c r="C227" s="30"/>
      <c r="D227" s="68"/>
      <c r="E227" s="30"/>
      <c r="F227" s="30"/>
      <c r="G227" s="68"/>
      <c r="H227" s="30"/>
      <c r="M227" s="69"/>
      <c r="N227" s="70"/>
      <c r="O227" s="71"/>
      <c r="P227" s="72"/>
    </row>
    <row r="228" spans="1:16" ht="15.75" customHeight="1">
      <c r="A228" s="30"/>
      <c r="B228" s="30"/>
      <c r="C228" s="30"/>
      <c r="D228" s="68"/>
      <c r="E228" s="30"/>
      <c r="F228" s="30"/>
      <c r="G228" s="68"/>
      <c r="H228" s="30"/>
      <c r="M228" s="69"/>
      <c r="N228" s="70"/>
      <c r="O228" s="71"/>
      <c r="P228" s="72"/>
    </row>
    <row r="229" spans="1:16" ht="15.75" customHeight="1">
      <c r="A229" s="30"/>
      <c r="B229" s="30"/>
      <c r="C229" s="30"/>
      <c r="D229" s="68"/>
      <c r="E229" s="30"/>
      <c r="F229" s="30"/>
      <c r="G229" s="68"/>
      <c r="H229" s="30"/>
      <c r="M229" s="69"/>
      <c r="N229" s="70"/>
      <c r="O229" s="71"/>
      <c r="P229" s="72"/>
    </row>
    <row r="230" spans="1:16" ht="15.75" customHeight="1">
      <c r="A230" s="30"/>
      <c r="B230" s="30"/>
      <c r="C230" s="30"/>
      <c r="D230" s="68"/>
      <c r="E230" s="30"/>
      <c r="F230" s="30"/>
      <c r="G230" s="68"/>
      <c r="H230" s="30"/>
      <c r="M230" s="69"/>
      <c r="N230" s="70"/>
      <c r="O230" s="71"/>
      <c r="P230" s="72"/>
    </row>
    <row r="231" spans="1:16" ht="15.75" customHeight="1">
      <c r="A231" s="30"/>
      <c r="B231" s="30"/>
      <c r="C231" s="30"/>
      <c r="D231" s="68"/>
      <c r="E231" s="30"/>
      <c r="F231" s="30"/>
      <c r="G231" s="68"/>
      <c r="H231" s="30"/>
      <c r="M231" s="69"/>
      <c r="N231" s="70"/>
      <c r="O231" s="71"/>
      <c r="P231" s="72"/>
    </row>
    <row r="232" spans="1:16" ht="15.75" customHeight="1">
      <c r="A232" s="30"/>
      <c r="B232" s="30"/>
      <c r="C232" s="30"/>
      <c r="D232" s="68"/>
      <c r="E232" s="30"/>
      <c r="F232" s="30"/>
      <c r="G232" s="68"/>
      <c r="H232" s="30"/>
      <c r="M232" s="69"/>
      <c r="N232" s="70"/>
      <c r="O232" s="71"/>
      <c r="P232" s="72"/>
    </row>
    <row r="233" spans="1:16" ht="15.75" customHeight="1">
      <c r="A233" s="30"/>
      <c r="B233" s="30"/>
      <c r="C233" s="30"/>
      <c r="D233" s="68"/>
      <c r="E233" s="30"/>
      <c r="F233" s="30"/>
      <c r="G233" s="68"/>
      <c r="H233" s="30"/>
      <c r="M233" s="69"/>
      <c r="N233" s="70"/>
      <c r="O233" s="71"/>
      <c r="P233" s="72"/>
    </row>
    <row r="234" spans="1:16" ht="15.75" customHeight="1">
      <c r="A234" s="30"/>
      <c r="B234" s="30"/>
      <c r="C234" s="30"/>
      <c r="D234" s="68"/>
      <c r="E234" s="30"/>
      <c r="F234" s="30"/>
      <c r="G234" s="68"/>
      <c r="H234" s="30"/>
      <c r="M234" s="69"/>
      <c r="N234" s="70"/>
      <c r="O234" s="71"/>
      <c r="P234" s="72"/>
    </row>
    <row r="235" spans="1:16" ht="15.75" customHeight="1">
      <c r="A235" s="30"/>
      <c r="B235" s="30"/>
      <c r="C235" s="30"/>
      <c r="D235" s="68"/>
      <c r="E235" s="30"/>
      <c r="F235" s="30"/>
      <c r="G235" s="68"/>
      <c r="H235" s="30"/>
      <c r="M235" s="69"/>
      <c r="N235" s="70"/>
      <c r="O235" s="71"/>
      <c r="P235" s="72"/>
    </row>
    <row r="236" spans="1:16" ht="15.75" customHeight="1">
      <c r="A236" s="30"/>
      <c r="B236" s="30"/>
      <c r="C236" s="30"/>
      <c r="D236" s="68"/>
      <c r="E236" s="30"/>
      <c r="F236" s="30"/>
      <c r="G236" s="68"/>
      <c r="H236" s="30"/>
      <c r="M236" s="69"/>
      <c r="N236" s="70"/>
      <c r="O236" s="71"/>
      <c r="P236" s="72"/>
    </row>
    <row r="237" spans="1:16" ht="15.75" customHeight="1">
      <c r="A237" s="30"/>
      <c r="B237" s="30"/>
      <c r="C237" s="30"/>
      <c r="D237" s="68"/>
      <c r="E237" s="30"/>
      <c r="F237" s="30"/>
      <c r="G237" s="68"/>
      <c r="H237" s="30"/>
      <c r="M237" s="69"/>
      <c r="N237" s="70"/>
      <c r="O237" s="71"/>
      <c r="P237" s="72"/>
    </row>
    <row r="238" spans="1:16" ht="15.75" customHeight="1">
      <c r="A238" s="30"/>
      <c r="B238" s="30"/>
      <c r="C238" s="30"/>
      <c r="D238" s="68"/>
      <c r="E238" s="30"/>
      <c r="F238" s="30"/>
      <c r="G238" s="68"/>
      <c r="H238" s="30"/>
      <c r="M238" s="69"/>
      <c r="N238" s="70"/>
      <c r="O238" s="71"/>
      <c r="P238" s="72"/>
    </row>
    <row r="239" spans="1:16" ht="15.75" customHeight="1">
      <c r="A239" s="30"/>
      <c r="B239" s="30"/>
      <c r="C239" s="30"/>
      <c r="D239" s="68"/>
      <c r="E239" s="30"/>
      <c r="F239" s="30"/>
      <c r="G239" s="68"/>
      <c r="H239" s="30"/>
      <c r="M239" s="69"/>
      <c r="N239" s="70"/>
      <c r="O239" s="71"/>
      <c r="P239" s="72"/>
    </row>
    <row r="240" spans="1:16" ht="15.75" customHeight="1">
      <c r="A240" s="30"/>
      <c r="B240" s="30"/>
      <c r="C240" s="30"/>
      <c r="D240" s="68"/>
      <c r="E240" s="30"/>
      <c r="F240" s="30"/>
      <c r="G240" s="68"/>
      <c r="H240" s="30"/>
      <c r="M240" s="69"/>
      <c r="N240" s="70"/>
      <c r="O240" s="71"/>
      <c r="P240" s="72"/>
    </row>
    <row r="241" spans="1:16" ht="15.75" customHeight="1">
      <c r="A241" s="30"/>
      <c r="B241" s="30"/>
      <c r="C241" s="30"/>
      <c r="D241" s="68"/>
      <c r="E241" s="30"/>
      <c r="F241" s="30"/>
      <c r="G241" s="68"/>
      <c r="H241" s="30"/>
      <c r="M241" s="69"/>
      <c r="N241" s="70"/>
      <c r="O241" s="71"/>
      <c r="P241" s="72"/>
    </row>
    <row r="242" spans="1:16" ht="15.75" customHeight="1">
      <c r="A242" s="30"/>
      <c r="B242" s="30"/>
      <c r="C242" s="30"/>
      <c r="D242" s="68"/>
      <c r="E242" s="30"/>
      <c r="F242" s="30"/>
      <c r="G242" s="68"/>
      <c r="H242" s="30"/>
      <c r="M242" s="69"/>
      <c r="N242" s="70"/>
      <c r="O242" s="71"/>
      <c r="P242" s="72"/>
    </row>
    <row r="243" spans="1:16" ht="15.75" customHeight="1">
      <c r="A243" s="30"/>
      <c r="B243" s="30"/>
      <c r="C243" s="30"/>
      <c r="D243" s="68"/>
      <c r="E243" s="30"/>
      <c r="F243" s="30"/>
      <c r="G243" s="68"/>
      <c r="H243" s="30"/>
      <c r="M243" s="69"/>
      <c r="N243" s="70"/>
      <c r="O243" s="71"/>
      <c r="P243" s="72"/>
    </row>
    <row r="244" spans="1:16" ht="15.75" customHeight="1">
      <c r="A244" s="30"/>
      <c r="B244" s="30"/>
      <c r="C244" s="30"/>
      <c r="D244" s="68"/>
      <c r="E244" s="30"/>
      <c r="F244" s="30"/>
      <c r="G244" s="68"/>
      <c r="H244" s="30"/>
      <c r="M244" s="69"/>
      <c r="N244" s="70"/>
      <c r="O244" s="71"/>
      <c r="P244" s="72"/>
    </row>
    <row r="245" spans="1:16" ht="15.75" customHeight="1">
      <c r="A245" s="30"/>
      <c r="B245" s="30"/>
      <c r="C245" s="30"/>
      <c r="D245" s="68"/>
      <c r="E245" s="30"/>
      <c r="F245" s="30"/>
      <c r="G245" s="68"/>
      <c r="H245" s="30"/>
      <c r="M245" s="69"/>
      <c r="N245" s="70"/>
      <c r="O245" s="71"/>
      <c r="P245" s="72"/>
    </row>
    <row r="246" spans="1:16" ht="15.75" customHeight="1">
      <c r="A246" s="30"/>
      <c r="B246" s="30"/>
      <c r="C246" s="30"/>
      <c r="D246" s="68"/>
      <c r="E246" s="30"/>
      <c r="F246" s="30"/>
      <c r="G246" s="68"/>
      <c r="H246" s="30"/>
      <c r="M246" s="69"/>
      <c r="N246" s="70"/>
      <c r="O246" s="71"/>
      <c r="P246" s="72"/>
    </row>
    <row r="247" spans="1:16" ht="15.75" customHeight="1">
      <c r="A247" s="30"/>
      <c r="B247" s="30"/>
      <c r="C247" s="30"/>
      <c r="D247" s="68"/>
      <c r="E247" s="30"/>
      <c r="F247" s="30"/>
      <c r="G247" s="68"/>
      <c r="H247" s="30"/>
      <c r="M247" s="69"/>
      <c r="N247" s="70"/>
      <c r="O247" s="71"/>
      <c r="P247" s="72"/>
    </row>
    <row r="248" spans="1:16" ht="15.75" customHeight="1">
      <c r="A248" s="30"/>
      <c r="B248" s="30"/>
      <c r="C248" s="30"/>
      <c r="D248" s="68"/>
      <c r="E248" s="30"/>
      <c r="F248" s="30"/>
      <c r="G248" s="68"/>
      <c r="H248" s="30"/>
      <c r="M248" s="69"/>
      <c r="N248" s="70"/>
      <c r="O248" s="71"/>
      <c r="P248" s="72"/>
    </row>
    <row r="249" spans="1:16" ht="15.75" customHeight="1">
      <c r="A249" s="30"/>
      <c r="B249" s="30"/>
      <c r="C249" s="30"/>
      <c r="D249" s="68"/>
      <c r="E249" s="30"/>
      <c r="F249" s="30"/>
      <c r="G249" s="68"/>
      <c r="H249" s="30"/>
      <c r="M249" s="69"/>
      <c r="N249" s="70"/>
      <c r="O249" s="71"/>
      <c r="P249" s="72"/>
    </row>
    <row r="250" spans="1:16" ht="15.75" customHeight="1">
      <c r="A250" s="30"/>
      <c r="B250" s="30"/>
      <c r="C250" s="30"/>
      <c r="D250" s="68"/>
      <c r="E250" s="30"/>
      <c r="F250" s="30"/>
      <c r="G250" s="68"/>
      <c r="H250" s="30"/>
      <c r="M250" s="69"/>
      <c r="N250" s="70"/>
      <c r="O250" s="71"/>
      <c r="P250" s="72"/>
    </row>
    <row r="251" spans="1:16" ht="15.75" customHeight="1">
      <c r="A251" s="30"/>
      <c r="B251" s="30"/>
      <c r="C251" s="30"/>
      <c r="D251" s="68"/>
      <c r="E251" s="30"/>
      <c r="F251" s="30"/>
      <c r="G251" s="68"/>
      <c r="H251" s="30"/>
      <c r="M251" s="69"/>
      <c r="N251" s="70"/>
      <c r="O251" s="71"/>
      <c r="P251" s="72"/>
    </row>
    <row r="252" spans="1:16" ht="15.75" customHeight="1">
      <c r="A252" s="30"/>
      <c r="B252" s="30"/>
      <c r="C252" s="30"/>
      <c r="D252" s="68"/>
      <c r="E252" s="30"/>
      <c r="F252" s="30"/>
      <c r="G252" s="68"/>
      <c r="H252" s="30"/>
      <c r="M252" s="69"/>
      <c r="N252" s="70"/>
      <c r="O252" s="71"/>
      <c r="P252" s="72"/>
    </row>
    <row r="253" spans="1:16" ht="15.75" customHeight="1">
      <c r="A253" s="30"/>
      <c r="B253" s="30"/>
      <c r="C253" s="30"/>
      <c r="D253" s="68"/>
      <c r="E253" s="30"/>
      <c r="F253" s="30"/>
      <c r="G253" s="68"/>
      <c r="H253" s="30"/>
      <c r="M253" s="69"/>
      <c r="N253" s="70"/>
      <c r="O253" s="71"/>
      <c r="P253" s="72"/>
    </row>
    <row r="254" spans="1:16" ht="15.75" customHeight="1">
      <c r="A254" s="30"/>
      <c r="B254" s="30"/>
      <c r="C254" s="30"/>
      <c r="D254" s="68"/>
      <c r="E254" s="30"/>
      <c r="F254" s="30"/>
      <c r="G254" s="68"/>
      <c r="H254" s="30"/>
      <c r="M254" s="69"/>
      <c r="N254" s="70"/>
      <c r="O254" s="71"/>
      <c r="P254" s="72"/>
    </row>
    <row r="255" spans="1:16" ht="15.75" customHeight="1">
      <c r="A255" s="30"/>
      <c r="B255" s="30"/>
      <c r="C255" s="30"/>
      <c r="D255" s="68"/>
      <c r="E255" s="30"/>
      <c r="F255" s="30"/>
      <c r="G255" s="68"/>
      <c r="H255" s="30"/>
      <c r="M255" s="69"/>
      <c r="N255" s="70"/>
      <c r="O255" s="71"/>
      <c r="P255" s="72"/>
    </row>
    <row r="256" spans="1:16" ht="15.75" customHeight="1">
      <c r="A256" s="30"/>
      <c r="B256" s="30"/>
      <c r="C256" s="30"/>
      <c r="D256" s="68"/>
      <c r="E256" s="30"/>
      <c r="F256" s="30"/>
      <c r="G256" s="68"/>
      <c r="H256" s="30"/>
      <c r="M256" s="69"/>
      <c r="N256" s="70"/>
      <c r="O256" s="71"/>
      <c r="P256" s="72"/>
    </row>
    <row r="257" spans="1:16" ht="15.75" customHeight="1">
      <c r="A257" s="30"/>
      <c r="B257" s="30"/>
      <c r="C257" s="30"/>
      <c r="D257" s="68"/>
      <c r="E257" s="30"/>
      <c r="F257" s="30"/>
      <c r="G257" s="68"/>
      <c r="H257" s="30"/>
      <c r="M257" s="69"/>
      <c r="N257" s="70"/>
      <c r="O257" s="71"/>
      <c r="P257" s="72"/>
    </row>
    <row r="258" spans="1:16" ht="15.75" customHeight="1">
      <c r="A258" s="30"/>
      <c r="B258" s="30"/>
      <c r="C258" s="30"/>
      <c r="D258" s="68"/>
      <c r="E258" s="30"/>
      <c r="F258" s="30"/>
      <c r="G258" s="68"/>
      <c r="H258" s="30"/>
      <c r="M258" s="69"/>
      <c r="N258" s="70"/>
      <c r="O258" s="71"/>
      <c r="P258" s="72"/>
    </row>
    <row r="259" spans="1:16" ht="15.75" customHeight="1">
      <c r="A259" s="30"/>
      <c r="B259" s="30"/>
      <c r="C259" s="30"/>
      <c r="D259" s="68"/>
      <c r="E259" s="30"/>
      <c r="F259" s="30"/>
      <c r="G259" s="68"/>
      <c r="H259" s="30"/>
      <c r="M259" s="69"/>
      <c r="N259" s="70"/>
      <c r="O259" s="71"/>
      <c r="P259" s="72"/>
    </row>
    <row r="260" spans="1:16" ht="15.75" customHeight="1">
      <c r="A260" s="30"/>
      <c r="B260" s="30"/>
      <c r="C260" s="30"/>
      <c r="D260" s="68"/>
      <c r="E260" s="30"/>
      <c r="F260" s="30"/>
      <c r="G260" s="68"/>
      <c r="H260" s="30"/>
      <c r="M260" s="69"/>
      <c r="N260" s="70"/>
      <c r="O260" s="71"/>
      <c r="P260" s="72"/>
    </row>
    <row r="261" spans="1:16" ht="15.75" customHeight="1">
      <c r="A261" s="30"/>
      <c r="B261" s="30"/>
      <c r="C261" s="30"/>
      <c r="D261" s="68"/>
      <c r="E261" s="30"/>
      <c r="F261" s="30"/>
      <c r="G261" s="68"/>
      <c r="H261" s="30"/>
      <c r="M261" s="69"/>
      <c r="N261" s="70"/>
      <c r="O261" s="71"/>
      <c r="P261" s="72"/>
    </row>
    <row r="262" spans="1:16" ht="15.75" customHeight="1">
      <c r="A262" s="30"/>
      <c r="B262" s="30"/>
      <c r="C262" s="30"/>
      <c r="D262" s="68"/>
      <c r="E262" s="30"/>
      <c r="F262" s="30"/>
      <c r="G262" s="68"/>
      <c r="H262" s="30"/>
      <c r="M262" s="69"/>
      <c r="N262" s="70"/>
      <c r="O262" s="71"/>
      <c r="P262" s="72"/>
    </row>
    <row r="263" spans="1:16" ht="15.75" customHeight="1">
      <c r="A263" s="30"/>
      <c r="B263" s="30"/>
      <c r="C263" s="30"/>
      <c r="D263" s="68"/>
      <c r="E263" s="30"/>
      <c r="F263" s="30"/>
      <c r="G263" s="68"/>
      <c r="H263" s="30"/>
      <c r="M263" s="69"/>
      <c r="N263" s="70"/>
      <c r="O263" s="71"/>
      <c r="P263" s="72"/>
    </row>
    <row r="264" spans="1:16" ht="15.75" customHeight="1">
      <c r="A264" s="30"/>
      <c r="B264" s="30"/>
      <c r="C264" s="30"/>
      <c r="D264" s="68"/>
      <c r="E264" s="30"/>
      <c r="F264" s="30"/>
      <c r="G264" s="68"/>
      <c r="H264" s="30"/>
      <c r="M264" s="69"/>
      <c r="N264" s="70"/>
      <c r="O264" s="71"/>
      <c r="P264" s="72"/>
    </row>
    <row r="265" spans="1:16" ht="15.75" customHeight="1">
      <c r="A265" s="30"/>
      <c r="B265" s="30"/>
      <c r="C265" s="30"/>
      <c r="D265" s="68"/>
      <c r="E265" s="30"/>
      <c r="F265" s="30"/>
      <c r="G265" s="68"/>
      <c r="H265" s="30"/>
      <c r="M265" s="69"/>
      <c r="N265" s="70"/>
      <c r="O265" s="71"/>
      <c r="P265" s="72"/>
    </row>
    <row r="266" spans="1:16" ht="15.75" customHeight="1">
      <c r="A266" s="30"/>
      <c r="B266" s="30"/>
      <c r="C266" s="30"/>
      <c r="D266" s="68"/>
      <c r="E266" s="30"/>
      <c r="F266" s="30"/>
      <c r="G266" s="68"/>
      <c r="H266" s="30"/>
      <c r="M266" s="69"/>
      <c r="N266" s="70"/>
      <c r="O266" s="71"/>
      <c r="P266" s="72"/>
    </row>
    <row r="267" spans="1:16" ht="15.75" customHeight="1">
      <c r="A267" s="30"/>
      <c r="B267" s="30"/>
      <c r="C267" s="30"/>
      <c r="D267" s="68"/>
      <c r="E267" s="30"/>
      <c r="F267" s="30"/>
      <c r="G267" s="68"/>
      <c r="H267" s="30"/>
      <c r="M267" s="69"/>
      <c r="N267" s="70"/>
      <c r="O267" s="71"/>
      <c r="P267" s="72"/>
    </row>
    <row r="268" spans="1:16" ht="15.75" customHeight="1">
      <c r="A268" s="30"/>
      <c r="B268" s="30"/>
      <c r="C268" s="30"/>
      <c r="D268" s="68"/>
      <c r="E268" s="30"/>
      <c r="F268" s="30"/>
      <c r="G268" s="68"/>
      <c r="H268" s="30"/>
      <c r="M268" s="69"/>
      <c r="N268" s="70"/>
      <c r="O268" s="71"/>
      <c r="P268" s="72"/>
    </row>
    <row r="269" spans="1:16" ht="15.75" customHeight="1">
      <c r="A269" s="30"/>
      <c r="B269" s="30"/>
      <c r="C269" s="30"/>
      <c r="D269" s="68"/>
      <c r="E269" s="30"/>
      <c r="F269" s="30"/>
      <c r="G269" s="68"/>
      <c r="H269" s="30"/>
      <c r="M269" s="69"/>
      <c r="N269" s="70"/>
      <c r="O269" s="71"/>
      <c r="P269" s="72"/>
    </row>
    <row r="270" spans="1:16" ht="15.75" customHeight="1">
      <c r="A270" s="30"/>
      <c r="B270" s="30"/>
      <c r="C270" s="30"/>
      <c r="D270" s="68"/>
      <c r="E270" s="30"/>
      <c r="F270" s="30"/>
      <c r="G270" s="68"/>
      <c r="H270" s="30"/>
      <c r="M270" s="69"/>
      <c r="N270" s="70"/>
      <c r="O270" s="71"/>
      <c r="P270" s="72"/>
    </row>
    <row r="271" spans="1:16" ht="15.75" customHeight="1">
      <c r="A271" s="30"/>
      <c r="B271" s="30"/>
      <c r="C271" s="30"/>
      <c r="D271" s="68"/>
      <c r="E271" s="30"/>
      <c r="F271" s="30"/>
      <c r="G271" s="68"/>
      <c r="H271" s="30"/>
      <c r="M271" s="69"/>
      <c r="N271" s="70"/>
      <c r="O271" s="71"/>
      <c r="P271" s="72"/>
    </row>
    <row r="272" spans="1:16" ht="15.75" customHeight="1">
      <c r="A272" s="30"/>
      <c r="B272" s="30"/>
      <c r="C272" s="30"/>
      <c r="D272" s="68"/>
      <c r="E272" s="30"/>
      <c r="F272" s="30"/>
      <c r="G272" s="68"/>
      <c r="H272" s="30"/>
      <c r="M272" s="69"/>
      <c r="N272" s="70"/>
      <c r="O272" s="71"/>
      <c r="P272" s="72"/>
    </row>
    <row r="273" spans="1:16" ht="15.75" customHeight="1">
      <c r="A273" s="30"/>
      <c r="B273" s="30"/>
      <c r="C273" s="30"/>
      <c r="D273" s="68"/>
      <c r="E273" s="30"/>
      <c r="F273" s="30"/>
      <c r="G273" s="68"/>
      <c r="H273" s="30"/>
      <c r="M273" s="69"/>
      <c r="N273" s="70"/>
      <c r="O273" s="71"/>
      <c r="P273" s="72"/>
    </row>
    <row r="274" spans="1:16" ht="15.75" customHeight="1">
      <c r="A274" s="30"/>
      <c r="B274" s="30"/>
      <c r="C274" s="30"/>
      <c r="D274" s="68"/>
      <c r="E274" s="30"/>
      <c r="F274" s="30"/>
      <c r="G274" s="68"/>
      <c r="H274" s="30"/>
      <c r="M274" s="69"/>
      <c r="N274" s="70"/>
      <c r="O274" s="71"/>
      <c r="P274" s="72"/>
    </row>
    <row r="275" spans="1:16" ht="15.75" customHeight="1">
      <c r="A275" s="30"/>
      <c r="B275" s="30"/>
      <c r="C275" s="30"/>
      <c r="D275" s="68"/>
      <c r="E275" s="30"/>
      <c r="F275" s="30"/>
      <c r="G275" s="68"/>
      <c r="H275" s="30"/>
      <c r="M275" s="69"/>
      <c r="N275" s="70"/>
      <c r="O275" s="71"/>
      <c r="P275" s="72"/>
    </row>
    <row r="276" spans="1:16" ht="15.75" customHeight="1">
      <c r="A276" s="30"/>
      <c r="B276" s="30"/>
      <c r="C276" s="30"/>
      <c r="D276" s="68"/>
      <c r="E276" s="30"/>
      <c r="F276" s="30"/>
      <c r="G276" s="68"/>
      <c r="H276" s="30"/>
      <c r="M276" s="69"/>
      <c r="N276" s="70"/>
      <c r="O276" s="71"/>
      <c r="P276" s="72"/>
    </row>
    <row r="277" spans="1:16" ht="15.75" customHeight="1">
      <c r="A277" s="30"/>
      <c r="B277" s="30"/>
      <c r="C277" s="30"/>
      <c r="D277" s="68"/>
      <c r="E277" s="30"/>
      <c r="F277" s="30"/>
      <c r="G277" s="68"/>
      <c r="H277" s="30"/>
      <c r="M277" s="69"/>
      <c r="N277" s="70"/>
      <c r="O277" s="71"/>
      <c r="P277" s="72"/>
    </row>
    <row r="278" spans="1:16" ht="15.75" customHeight="1">
      <c r="A278" s="30"/>
      <c r="B278" s="30"/>
      <c r="C278" s="30"/>
      <c r="D278" s="68"/>
      <c r="E278" s="30"/>
      <c r="F278" s="30"/>
      <c r="G278" s="68"/>
      <c r="H278" s="30"/>
      <c r="M278" s="69"/>
      <c r="N278" s="70"/>
      <c r="O278" s="71"/>
      <c r="P278" s="72"/>
    </row>
    <row r="279" spans="1:16" ht="15.75" customHeight="1">
      <c r="A279" s="30"/>
      <c r="B279" s="30"/>
      <c r="C279" s="30"/>
      <c r="D279" s="68"/>
      <c r="E279" s="30"/>
      <c r="F279" s="30"/>
      <c r="G279" s="68"/>
      <c r="H279" s="30"/>
      <c r="M279" s="69"/>
      <c r="N279" s="70"/>
      <c r="O279" s="71"/>
      <c r="P279" s="72"/>
    </row>
    <row r="280" spans="1:16" ht="15.75" customHeight="1">
      <c r="A280" s="30"/>
      <c r="B280" s="30"/>
      <c r="C280" s="30"/>
      <c r="D280" s="68"/>
      <c r="E280" s="30"/>
      <c r="F280" s="30"/>
      <c r="G280" s="68"/>
      <c r="H280" s="30"/>
      <c r="M280" s="69"/>
      <c r="N280" s="70"/>
      <c r="O280" s="71"/>
      <c r="P280" s="72"/>
    </row>
    <row r="281" spans="1:16" ht="15.75" customHeight="1">
      <c r="A281" s="30"/>
      <c r="B281" s="30"/>
      <c r="C281" s="30"/>
      <c r="D281" s="68"/>
      <c r="E281" s="30"/>
      <c r="F281" s="30"/>
      <c r="G281" s="68"/>
      <c r="H281" s="30"/>
      <c r="M281" s="69"/>
      <c r="N281" s="70"/>
      <c r="O281" s="71"/>
      <c r="P281" s="72"/>
    </row>
    <row r="282" spans="1:16" ht="15.75" customHeight="1">
      <c r="A282" s="30"/>
      <c r="B282" s="30"/>
      <c r="C282" s="30"/>
      <c r="D282" s="68"/>
      <c r="E282" s="30"/>
      <c r="F282" s="30"/>
      <c r="G282" s="68"/>
      <c r="H282" s="30"/>
      <c r="M282" s="69"/>
      <c r="N282" s="70"/>
      <c r="O282" s="71"/>
      <c r="P282" s="72"/>
    </row>
    <row r="283" spans="1:16" ht="15.75" customHeight="1">
      <c r="A283" s="30"/>
      <c r="B283" s="30"/>
      <c r="C283" s="30"/>
      <c r="D283" s="68"/>
      <c r="E283" s="30"/>
      <c r="F283" s="30"/>
      <c r="G283" s="68"/>
      <c r="H283" s="30"/>
      <c r="M283" s="69"/>
      <c r="N283" s="70"/>
      <c r="O283" s="71"/>
      <c r="P283" s="72"/>
    </row>
    <row r="284" spans="1:16" ht="15.75" customHeight="1">
      <c r="A284" s="30"/>
      <c r="B284" s="30"/>
      <c r="C284" s="30"/>
      <c r="D284" s="68"/>
      <c r="E284" s="30"/>
      <c r="F284" s="30"/>
      <c r="G284" s="68"/>
      <c r="H284" s="30"/>
      <c r="M284" s="69"/>
      <c r="N284" s="70"/>
      <c r="O284" s="71"/>
      <c r="P284" s="72"/>
    </row>
    <row r="285" spans="1:16" ht="15.75" customHeight="1">
      <c r="A285" s="30"/>
      <c r="B285" s="30"/>
      <c r="C285" s="30"/>
      <c r="D285" s="68"/>
      <c r="E285" s="30"/>
      <c r="F285" s="30"/>
      <c r="G285" s="68"/>
      <c r="H285" s="30"/>
      <c r="M285" s="69"/>
      <c r="N285" s="70"/>
      <c r="O285" s="71"/>
      <c r="P285" s="72"/>
    </row>
    <row r="286" spans="1:16" ht="15.75" customHeight="1">
      <c r="A286" s="30"/>
      <c r="B286" s="30"/>
      <c r="C286" s="30"/>
      <c r="D286" s="68"/>
      <c r="E286" s="30"/>
      <c r="F286" s="30"/>
      <c r="G286" s="68"/>
      <c r="H286" s="30"/>
      <c r="M286" s="69"/>
      <c r="N286" s="70"/>
      <c r="O286" s="71"/>
      <c r="P286" s="72"/>
    </row>
    <row r="287" spans="1:16" ht="15.75" customHeight="1">
      <c r="A287" s="30"/>
      <c r="B287" s="30"/>
      <c r="C287" s="30"/>
      <c r="D287" s="68"/>
      <c r="E287" s="30"/>
      <c r="F287" s="30"/>
      <c r="G287" s="68"/>
      <c r="H287" s="30"/>
      <c r="M287" s="69"/>
      <c r="N287" s="70"/>
      <c r="O287" s="71"/>
      <c r="P287" s="72"/>
    </row>
    <row r="288" spans="1:16" ht="15.75" customHeight="1">
      <c r="A288" s="30"/>
      <c r="B288" s="30"/>
      <c r="C288" s="30"/>
      <c r="D288" s="68"/>
      <c r="E288" s="30"/>
      <c r="F288" s="30"/>
      <c r="G288" s="68"/>
      <c r="H288" s="30"/>
      <c r="M288" s="69"/>
      <c r="N288" s="70"/>
      <c r="O288" s="71"/>
      <c r="P288" s="72"/>
    </row>
    <row r="289" spans="1:16" ht="15.75" customHeight="1">
      <c r="A289" s="30"/>
      <c r="B289" s="30"/>
      <c r="C289" s="30"/>
      <c r="D289" s="68"/>
      <c r="E289" s="30"/>
      <c r="F289" s="30"/>
      <c r="G289" s="68"/>
      <c r="H289" s="30"/>
      <c r="M289" s="69"/>
      <c r="N289" s="70"/>
      <c r="O289" s="71"/>
      <c r="P289" s="72"/>
    </row>
    <row r="290" spans="1:16" ht="15.75" customHeight="1">
      <c r="A290" s="30"/>
      <c r="B290" s="30"/>
      <c r="C290" s="30"/>
      <c r="D290" s="68"/>
      <c r="E290" s="30"/>
      <c r="F290" s="30"/>
      <c r="G290" s="68"/>
      <c r="H290" s="30"/>
      <c r="M290" s="69"/>
      <c r="N290" s="70"/>
      <c r="O290" s="71"/>
      <c r="P290" s="72"/>
    </row>
    <row r="291" spans="1:16" ht="15.75" customHeight="1">
      <c r="A291" s="30"/>
      <c r="B291" s="30"/>
      <c r="C291" s="30"/>
      <c r="D291" s="68"/>
      <c r="E291" s="30"/>
      <c r="F291" s="30"/>
      <c r="G291" s="68"/>
      <c r="H291" s="30"/>
      <c r="M291" s="69"/>
      <c r="N291" s="70"/>
      <c r="O291" s="71"/>
      <c r="P291" s="72"/>
    </row>
    <row r="292" spans="1:16" ht="15.75" customHeight="1">
      <c r="A292" s="30"/>
      <c r="B292" s="30"/>
      <c r="C292" s="30"/>
      <c r="D292" s="68"/>
      <c r="E292" s="30"/>
      <c r="F292" s="30"/>
      <c r="G292" s="68"/>
      <c r="H292" s="30"/>
      <c r="M292" s="69"/>
      <c r="N292" s="70"/>
      <c r="O292" s="71"/>
      <c r="P292" s="72"/>
    </row>
    <row r="293" spans="1:16" ht="15.75" customHeight="1">
      <c r="A293" s="30"/>
      <c r="B293" s="30"/>
      <c r="C293" s="30"/>
      <c r="D293" s="68"/>
      <c r="E293" s="30"/>
      <c r="F293" s="30"/>
      <c r="G293" s="68"/>
      <c r="H293" s="30"/>
      <c r="M293" s="69"/>
      <c r="N293" s="70"/>
      <c r="O293" s="71"/>
      <c r="P293" s="72"/>
    </row>
    <row r="294" spans="1:16" ht="15.75" customHeight="1">
      <c r="A294" s="30"/>
      <c r="B294" s="30"/>
      <c r="C294" s="30"/>
      <c r="D294" s="68"/>
      <c r="E294" s="30"/>
      <c r="F294" s="30"/>
      <c r="G294" s="68"/>
      <c r="H294" s="30"/>
      <c r="M294" s="69"/>
      <c r="N294" s="70"/>
      <c r="O294" s="71"/>
      <c r="P294" s="72"/>
    </row>
    <row r="295" spans="1:16" ht="15.75" customHeight="1">
      <c r="A295" s="30"/>
      <c r="B295" s="30"/>
      <c r="C295" s="30"/>
      <c r="D295" s="68"/>
      <c r="E295" s="30"/>
      <c r="F295" s="30"/>
      <c r="G295" s="68"/>
      <c r="H295" s="30"/>
      <c r="M295" s="69"/>
      <c r="N295" s="70"/>
      <c r="O295" s="71"/>
      <c r="P295" s="72"/>
    </row>
    <row r="296" spans="1:16" ht="15.75" customHeight="1">
      <c r="A296" s="30"/>
      <c r="B296" s="30"/>
      <c r="C296" s="30"/>
      <c r="D296" s="68"/>
      <c r="E296" s="30"/>
      <c r="F296" s="30"/>
      <c r="G296" s="68"/>
      <c r="H296" s="30"/>
      <c r="M296" s="69"/>
      <c r="N296" s="70"/>
      <c r="O296" s="71"/>
      <c r="P296" s="72"/>
    </row>
    <row r="297" spans="1:16" ht="15.75" customHeight="1">
      <c r="A297" s="30"/>
      <c r="B297" s="30"/>
      <c r="C297" s="30"/>
      <c r="D297" s="68"/>
      <c r="E297" s="30"/>
      <c r="F297" s="30"/>
      <c r="G297" s="68"/>
      <c r="H297" s="30"/>
      <c r="M297" s="69"/>
      <c r="N297" s="70"/>
      <c r="O297" s="71"/>
      <c r="P297" s="72"/>
    </row>
    <row r="298" spans="1:16" ht="15.75" customHeight="1">
      <c r="A298" s="30"/>
      <c r="B298" s="30"/>
      <c r="C298" s="30"/>
      <c r="D298" s="68"/>
      <c r="E298" s="30"/>
      <c r="F298" s="30"/>
      <c r="G298" s="68"/>
      <c r="H298" s="30"/>
      <c r="M298" s="69"/>
      <c r="N298" s="70"/>
      <c r="O298" s="71"/>
      <c r="P298" s="72"/>
    </row>
    <row r="299" spans="1:16" ht="15.75" customHeight="1">
      <c r="A299" s="30"/>
      <c r="B299" s="30"/>
      <c r="C299" s="30"/>
      <c r="D299" s="68"/>
      <c r="E299" s="30"/>
      <c r="F299" s="30"/>
      <c r="G299" s="68"/>
      <c r="H299" s="30"/>
      <c r="M299" s="69"/>
      <c r="N299" s="70"/>
      <c r="O299" s="71"/>
      <c r="P299" s="72"/>
    </row>
    <row r="300" spans="1:16" ht="15.75" customHeight="1">
      <c r="A300" s="30"/>
      <c r="B300" s="30"/>
      <c r="C300" s="30"/>
      <c r="D300" s="68"/>
      <c r="E300" s="30"/>
      <c r="F300" s="30"/>
      <c r="G300" s="68"/>
      <c r="H300" s="30"/>
      <c r="M300" s="69"/>
      <c r="N300" s="70"/>
      <c r="O300" s="71"/>
      <c r="P300" s="72"/>
    </row>
    <row r="301" spans="1:16" ht="15.75" customHeight="1">
      <c r="A301" s="30"/>
      <c r="B301" s="30"/>
      <c r="C301" s="30"/>
      <c r="D301" s="68"/>
      <c r="E301" s="30"/>
      <c r="F301" s="30"/>
      <c r="G301" s="68"/>
      <c r="H301" s="30"/>
      <c r="M301" s="69"/>
      <c r="N301" s="70"/>
      <c r="O301" s="71"/>
      <c r="P301" s="72"/>
    </row>
    <row r="302" spans="1:16" ht="15.75" customHeight="1">
      <c r="A302" s="30"/>
      <c r="B302" s="30"/>
      <c r="C302" s="30"/>
      <c r="D302" s="68"/>
      <c r="E302" s="30"/>
      <c r="F302" s="30"/>
      <c r="G302" s="68"/>
      <c r="H302" s="30"/>
      <c r="M302" s="69"/>
      <c r="N302" s="70"/>
      <c r="O302" s="71"/>
      <c r="P302" s="72"/>
    </row>
    <row r="303" spans="1:16" ht="15.75" customHeight="1">
      <c r="A303" s="30"/>
      <c r="B303" s="30"/>
      <c r="C303" s="30"/>
      <c r="D303" s="68"/>
      <c r="E303" s="30"/>
      <c r="F303" s="30"/>
      <c r="G303" s="68"/>
      <c r="H303" s="30"/>
      <c r="M303" s="69"/>
      <c r="N303" s="70"/>
      <c r="O303" s="71"/>
      <c r="P303" s="72"/>
    </row>
    <row r="304" spans="1:16" ht="15.75" customHeight="1">
      <c r="A304" s="30"/>
      <c r="B304" s="30"/>
      <c r="C304" s="30"/>
      <c r="D304" s="68"/>
      <c r="E304" s="30"/>
      <c r="F304" s="30"/>
      <c r="G304" s="68"/>
      <c r="H304" s="30"/>
      <c r="M304" s="69"/>
      <c r="N304" s="70"/>
      <c r="O304" s="71"/>
      <c r="P304" s="72"/>
    </row>
    <row r="305" spans="1:16" ht="15.75" customHeight="1">
      <c r="A305" s="30"/>
      <c r="B305" s="30"/>
      <c r="C305" s="30"/>
      <c r="D305" s="68"/>
      <c r="E305" s="30"/>
      <c r="F305" s="30"/>
      <c r="G305" s="68"/>
      <c r="H305" s="30"/>
      <c r="M305" s="69"/>
      <c r="N305" s="70"/>
      <c r="O305" s="71"/>
      <c r="P305" s="72"/>
    </row>
    <row r="306" spans="1:16" ht="15.75" customHeight="1">
      <c r="A306" s="30"/>
      <c r="B306" s="30"/>
      <c r="C306" s="30"/>
      <c r="D306" s="68"/>
      <c r="E306" s="30"/>
      <c r="F306" s="30"/>
      <c r="G306" s="68"/>
      <c r="H306" s="30"/>
      <c r="M306" s="69"/>
      <c r="N306" s="70"/>
      <c r="O306" s="71"/>
      <c r="P306" s="72"/>
    </row>
    <row r="307" spans="1:16" ht="15.75" customHeight="1">
      <c r="A307" s="30"/>
      <c r="B307" s="30"/>
      <c r="C307" s="30"/>
      <c r="D307" s="68"/>
      <c r="E307" s="30"/>
      <c r="F307" s="30"/>
      <c r="G307" s="68"/>
      <c r="H307" s="30"/>
      <c r="M307" s="69"/>
      <c r="N307" s="70"/>
      <c r="O307" s="71"/>
      <c r="P307" s="72"/>
    </row>
    <row r="308" spans="1:16" ht="15.75" customHeight="1">
      <c r="A308" s="30"/>
      <c r="B308" s="30"/>
      <c r="C308" s="30"/>
      <c r="D308" s="68"/>
      <c r="E308" s="30"/>
      <c r="F308" s="30"/>
      <c r="G308" s="68"/>
      <c r="H308" s="30"/>
      <c r="M308" s="69"/>
      <c r="N308" s="70"/>
      <c r="O308" s="71"/>
      <c r="P308" s="72"/>
    </row>
    <row r="309" spans="1:16" ht="15.75" customHeight="1">
      <c r="A309" s="30"/>
      <c r="B309" s="30"/>
      <c r="C309" s="30"/>
      <c r="D309" s="68"/>
      <c r="E309" s="30"/>
      <c r="F309" s="30"/>
      <c r="G309" s="68"/>
      <c r="H309" s="30"/>
      <c r="M309" s="69"/>
      <c r="N309" s="70"/>
      <c r="O309" s="71"/>
      <c r="P309" s="72"/>
    </row>
    <row r="310" spans="1:16" ht="15.75" customHeight="1">
      <c r="A310" s="30"/>
      <c r="B310" s="30"/>
      <c r="C310" s="30"/>
      <c r="D310" s="68"/>
      <c r="E310" s="30"/>
      <c r="F310" s="30"/>
      <c r="G310" s="68"/>
      <c r="H310" s="30"/>
      <c r="M310" s="69"/>
      <c r="N310" s="70"/>
      <c r="O310" s="71"/>
      <c r="P310" s="72"/>
    </row>
    <row r="311" spans="1:16" ht="15.75" customHeight="1">
      <c r="A311" s="30"/>
      <c r="B311" s="30"/>
      <c r="C311" s="30"/>
      <c r="D311" s="68"/>
      <c r="E311" s="30"/>
      <c r="F311" s="30"/>
      <c r="G311" s="68"/>
      <c r="H311" s="30"/>
      <c r="M311" s="69"/>
      <c r="N311" s="70"/>
      <c r="O311" s="71"/>
      <c r="P311" s="72"/>
    </row>
    <row r="312" spans="1:16" ht="15.75" customHeight="1">
      <c r="A312" s="30"/>
      <c r="B312" s="30"/>
      <c r="C312" s="30"/>
      <c r="D312" s="68"/>
      <c r="E312" s="30"/>
      <c r="F312" s="30"/>
      <c r="G312" s="68"/>
      <c r="H312" s="30"/>
      <c r="M312" s="69"/>
      <c r="N312" s="70"/>
      <c r="O312" s="71"/>
      <c r="P312" s="72"/>
    </row>
    <row r="313" spans="1:16" ht="15.75" customHeight="1">
      <c r="A313" s="30"/>
      <c r="B313" s="30"/>
      <c r="C313" s="30"/>
      <c r="D313" s="68"/>
      <c r="E313" s="30"/>
      <c r="F313" s="30"/>
      <c r="G313" s="68"/>
      <c r="H313" s="30"/>
      <c r="M313" s="69"/>
      <c r="N313" s="70"/>
      <c r="O313" s="71"/>
      <c r="P313" s="72"/>
    </row>
    <row r="314" spans="1:16" ht="15.75" customHeight="1">
      <c r="A314" s="30"/>
      <c r="B314" s="30"/>
      <c r="C314" s="30"/>
      <c r="D314" s="68"/>
      <c r="E314" s="30"/>
      <c r="F314" s="30"/>
      <c r="G314" s="68"/>
      <c r="H314" s="30"/>
      <c r="M314" s="69"/>
      <c r="N314" s="70"/>
      <c r="O314" s="71"/>
      <c r="P314" s="72"/>
    </row>
    <row r="315" spans="1:16" ht="15.75" customHeight="1">
      <c r="A315" s="30"/>
      <c r="B315" s="30"/>
      <c r="C315" s="30"/>
      <c r="D315" s="68"/>
      <c r="E315" s="30"/>
      <c r="F315" s="30"/>
      <c r="G315" s="68"/>
      <c r="H315" s="30"/>
      <c r="M315" s="69"/>
      <c r="N315" s="70"/>
      <c r="O315" s="71"/>
      <c r="P315" s="72"/>
    </row>
    <row r="316" spans="1:16" ht="15.75" customHeight="1">
      <c r="A316" s="30"/>
      <c r="B316" s="30"/>
      <c r="C316" s="30"/>
      <c r="D316" s="68"/>
      <c r="E316" s="30"/>
      <c r="F316" s="30"/>
      <c r="G316" s="68"/>
      <c r="H316" s="30"/>
      <c r="M316" s="69"/>
      <c r="N316" s="70"/>
      <c r="O316" s="71"/>
      <c r="P316" s="72"/>
    </row>
    <row r="317" spans="1:16" ht="15.75" customHeight="1">
      <c r="A317" s="30"/>
      <c r="B317" s="30"/>
      <c r="C317" s="30"/>
      <c r="D317" s="68"/>
      <c r="E317" s="30"/>
      <c r="F317" s="30"/>
      <c r="G317" s="68"/>
      <c r="H317" s="30"/>
      <c r="M317" s="69"/>
      <c r="N317" s="70"/>
      <c r="O317" s="71"/>
      <c r="P317" s="72"/>
    </row>
    <row r="318" spans="1:16" ht="15.75" customHeight="1">
      <c r="A318" s="30"/>
      <c r="B318" s="30"/>
      <c r="C318" s="30"/>
      <c r="D318" s="68"/>
      <c r="E318" s="30"/>
      <c r="F318" s="30"/>
      <c r="G318" s="68"/>
      <c r="H318" s="30"/>
      <c r="M318" s="69"/>
      <c r="N318" s="70"/>
      <c r="O318" s="71"/>
      <c r="P318" s="72"/>
    </row>
    <row r="319" spans="1:16" ht="15.75" customHeight="1">
      <c r="A319" s="30"/>
      <c r="B319" s="30"/>
      <c r="C319" s="30"/>
      <c r="D319" s="68"/>
      <c r="E319" s="30"/>
      <c r="F319" s="30"/>
      <c r="G319" s="68"/>
      <c r="H319" s="30"/>
      <c r="M319" s="69"/>
      <c r="N319" s="70"/>
      <c r="O319" s="71"/>
      <c r="P319" s="72"/>
    </row>
    <row r="320" spans="1:16" ht="15.75" customHeight="1">
      <c r="A320" s="30"/>
      <c r="B320" s="30"/>
      <c r="C320" s="30"/>
      <c r="D320" s="68"/>
      <c r="E320" s="30"/>
      <c r="F320" s="30"/>
      <c r="G320" s="68"/>
      <c r="H320" s="30"/>
      <c r="M320" s="69"/>
      <c r="N320" s="70"/>
      <c r="O320" s="71"/>
      <c r="P320" s="72"/>
    </row>
    <row r="321" spans="1:16" ht="15.75" customHeight="1">
      <c r="A321" s="30"/>
      <c r="B321" s="30"/>
      <c r="C321" s="30"/>
      <c r="D321" s="68"/>
      <c r="E321" s="30"/>
      <c r="F321" s="30"/>
      <c r="G321" s="68"/>
      <c r="H321" s="30"/>
      <c r="M321" s="69"/>
      <c r="N321" s="70"/>
      <c r="O321" s="71"/>
      <c r="P321" s="72"/>
    </row>
    <row r="322" spans="1:16" ht="15.75" customHeight="1">
      <c r="A322" s="30"/>
      <c r="B322" s="30"/>
      <c r="C322" s="30"/>
      <c r="D322" s="68"/>
      <c r="E322" s="30"/>
      <c r="F322" s="30"/>
      <c r="G322" s="68"/>
      <c r="H322" s="30"/>
      <c r="M322" s="69"/>
      <c r="N322" s="70"/>
      <c r="O322" s="71"/>
      <c r="P322" s="72"/>
    </row>
    <row r="323" spans="1:16" ht="15.75" customHeight="1">
      <c r="A323" s="30"/>
      <c r="B323" s="30"/>
      <c r="C323" s="30"/>
      <c r="D323" s="68"/>
      <c r="E323" s="30"/>
      <c r="F323" s="30"/>
      <c r="G323" s="68"/>
      <c r="H323" s="30"/>
      <c r="M323" s="69"/>
      <c r="N323" s="70"/>
      <c r="O323" s="71"/>
      <c r="P323" s="72"/>
    </row>
    <row r="324" spans="1:16" ht="15.75" customHeight="1">
      <c r="A324" s="30"/>
      <c r="B324" s="30"/>
      <c r="C324" s="30"/>
      <c r="D324" s="68"/>
      <c r="E324" s="30"/>
      <c r="F324" s="30"/>
      <c r="G324" s="68"/>
      <c r="H324" s="30"/>
      <c r="M324" s="69"/>
      <c r="N324" s="70"/>
      <c r="O324" s="71"/>
      <c r="P324" s="72"/>
    </row>
    <row r="325" spans="1:16" ht="15.75" customHeight="1">
      <c r="A325" s="30"/>
      <c r="B325" s="30"/>
      <c r="C325" s="30"/>
      <c r="D325" s="68"/>
      <c r="E325" s="30"/>
      <c r="F325" s="30"/>
      <c r="G325" s="68"/>
      <c r="H325" s="30"/>
      <c r="M325" s="69"/>
      <c r="N325" s="70"/>
      <c r="O325" s="71"/>
      <c r="P325" s="72"/>
    </row>
    <row r="326" spans="1:16" ht="15.75" customHeight="1">
      <c r="A326" s="30"/>
      <c r="B326" s="30"/>
      <c r="C326" s="30"/>
      <c r="D326" s="68"/>
      <c r="E326" s="30"/>
      <c r="F326" s="30"/>
      <c r="G326" s="68"/>
      <c r="H326" s="30"/>
      <c r="M326" s="69"/>
      <c r="N326" s="70"/>
      <c r="O326" s="71"/>
      <c r="P326" s="72"/>
    </row>
    <row r="327" spans="1:16" ht="15.75" customHeight="1">
      <c r="A327" s="30"/>
      <c r="B327" s="30"/>
      <c r="C327" s="30"/>
      <c r="D327" s="68"/>
      <c r="E327" s="30"/>
      <c r="F327" s="30"/>
      <c r="G327" s="68"/>
      <c r="H327" s="30"/>
      <c r="M327" s="69"/>
      <c r="N327" s="70"/>
      <c r="O327" s="71"/>
      <c r="P327" s="72"/>
    </row>
    <row r="328" spans="1:16" ht="15.75" customHeight="1">
      <c r="A328" s="30"/>
      <c r="B328" s="30"/>
      <c r="C328" s="30"/>
      <c r="D328" s="68"/>
      <c r="E328" s="30"/>
      <c r="F328" s="30"/>
      <c r="G328" s="68"/>
      <c r="H328" s="30"/>
      <c r="M328" s="69"/>
      <c r="N328" s="70"/>
      <c r="O328" s="71"/>
      <c r="P328" s="72"/>
    </row>
    <row r="329" spans="1:16" ht="15.75" customHeight="1">
      <c r="A329" s="30"/>
      <c r="B329" s="30"/>
      <c r="C329" s="30"/>
      <c r="D329" s="68"/>
      <c r="E329" s="30"/>
      <c r="F329" s="30"/>
      <c r="G329" s="68"/>
      <c r="H329" s="30"/>
      <c r="M329" s="69"/>
      <c r="N329" s="70"/>
      <c r="O329" s="71"/>
      <c r="P329" s="72"/>
    </row>
    <row r="330" spans="1:16" ht="15.75" customHeight="1">
      <c r="A330" s="30"/>
      <c r="B330" s="30"/>
      <c r="C330" s="30"/>
      <c r="D330" s="68"/>
      <c r="E330" s="30"/>
      <c r="F330" s="30"/>
      <c r="G330" s="68"/>
      <c r="H330" s="30"/>
      <c r="M330" s="69"/>
      <c r="N330" s="70"/>
      <c r="O330" s="71"/>
      <c r="P330" s="72"/>
    </row>
    <row r="331" spans="1:16" ht="15.75" customHeight="1">
      <c r="A331" s="30"/>
      <c r="B331" s="30"/>
      <c r="C331" s="30"/>
      <c r="D331" s="68"/>
      <c r="E331" s="30"/>
      <c r="F331" s="30"/>
      <c r="G331" s="68"/>
      <c r="H331" s="30"/>
      <c r="M331" s="69"/>
      <c r="N331" s="70"/>
      <c r="O331" s="71"/>
      <c r="P331" s="72"/>
    </row>
    <row r="332" spans="1:16" ht="15.75" customHeight="1">
      <c r="A332" s="30"/>
      <c r="B332" s="30"/>
      <c r="C332" s="30"/>
      <c r="D332" s="68"/>
      <c r="E332" s="30"/>
      <c r="F332" s="30"/>
      <c r="G332" s="68"/>
      <c r="H332" s="30"/>
      <c r="M332" s="69"/>
      <c r="N332" s="70"/>
      <c r="O332" s="71"/>
      <c r="P332" s="72"/>
    </row>
    <row r="333" spans="1:16" ht="15.75" customHeight="1">
      <c r="A333" s="30"/>
      <c r="B333" s="30"/>
      <c r="C333" s="30"/>
      <c r="D333" s="68"/>
      <c r="E333" s="30"/>
      <c r="F333" s="30"/>
      <c r="G333" s="68"/>
      <c r="H333" s="30"/>
      <c r="M333" s="69"/>
      <c r="N333" s="70"/>
      <c r="O333" s="71"/>
      <c r="P333" s="72"/>
    </row>
    <row r="334" spans="1:16" ht="15.75" customHeight="1">
      <c r="A334" s="30"/>
      <c r="B334" s="30"/>
      <c r="C334" s="30"/>
      <c r="D334" s="68"/>
      <c r="E334" s="30"/>
      <c r="F334" s="30"/>
      <c r="G334" s="68"/>
      <c r="H334" s="30"/>
      <c r="M334" s="69"/>
      <c r="N334" s="70"/>
      <c r="O334" s="71"/>
      <c r="P334" s="72"/>
    </row>
    <row r="335" spans="1:16" ht="15.75" customHeight="1">
      <c r="A335" s="30"/>
      <c r="B335" s="30"/>
      <c r="C335" s="30"/>
      <c r="D335" s="68"/>
      <c r="E335" s="30"/>
      <c r="F335" s="30"/>
      <c r="G335" s="68"/>
      <c r="H335" s="30"/>
      <c r="M335" s="69"/>
      <c r="N335" s="70"/>
      <c r="O335" s="71"/>
      <c r="P335" s="72"/>
    </row>
    <row r="336" spans="1:16" ht="15.75" customHeight="1">
      <c r="A336" s="30"/>
      <c r="B336" s="30"/>
      <c r="C336" s="30"/>
      <c r="D336" s="68"/>
      <c r="E336" s="30"/>
      <c r="F336" s="30"/>
      <c r="G336" s="68"/>
      <c r="H336" s="30"/>
      <c r="M336" s="69"/>
      <c r="N336" s="70"/>
      <c r="O336" s="71"/>
      <c r="P336" s="72"/>
    </row>
    <row r="337" spans="1:16" ht="15.75" customHeight="1">
      <c r="A337" s="30"/>
      <c r="B337" s="30"/>
      <c r="C337" s="30"/>
      <c r="D337" s="68"/>
      <c r="E337" s="30"/>
      <c r="F337" s="30"/>
      <c r="G337" s="68"/>
      <c r="H337" s="30"/>
      <c r="M337" s="69"/>
      <c r="N337" s="70"/>
      <c r="O337" s="71"/>
      <c r="P337" s="72"/>
    </row>
    <row r="338" spans="1:16" ht="15.75" customHeight="1">
      <c r="A338" s="30"/>
      <c r="B338" s="30"/>
      <c r="C338" s="30"/>
      <c r="D338" s="68"/>
      <c r="E338" s="30"/>
      <c r="F338" s="30"/>
      <c r="G338" s="68"/>
      <c r="H338" s="30"/>
      <c r="M338" s="69"/>
      <c r="N338" s="70"/>
      <c r="O338" s="71"/>
      <c r="P338" s="72"/>
    </row>
    <row r="339" spans="1:16" ht="15.75" customHeight="1">
      <c r="A339" s="30"/>
      <c r="B339" s="30"/>
      <c r="C339" s="30"/>
      <c r="D339" s="68"/>
      <c r="E339" s="30"/>
      <c r="F339" s="30"/>
      <c r="G339" s="68"/>
      <c r="H339" s="30"/>
      <c r="M339" s="69"/>
      <c r="N339" s="70"/>
      <c r="O339" s="71"/>
      <c r="P339" s="72"/>
    </row>
    <row r="340" spans="1:16" ht="15.75" customHeight="1">
      <c r="A340" s="30"/>
      <c r="B340" s="30"/>
      <c r="C340" s="30"/>
      <c r="D340" s="68"/>
      <c r="E340" s="30"/>
      <c r="F340" s="30"/>
      <c r="G340" s="68"/>
      <c r="H340" s="30"/>
      <c r="M340" s="69"/>
      <c r="N340" s="70"/>
      <c r="O340" s="71"/>
      <c r="P340" s="72"/>
    </row>
    <row r="341" spans="1:16" ht="15.75" customHeight="1">
      <c r="A341" s="30"/>
      <c r="B341" s="30"/>
      <c r="C341" s="30"/>
      <c r="D341" s="68"/>
      <c r="E341" s="30"/>
      <c r="F341" s="30"/>
      <c r="G341" s="68"/>
      <c r="H341" s="30"/>
      <c r="M341" s="69"/>
      <c r="N341" s="70"/>
      <c r="O341" s="71"/>
      <c r="P341" s="72"/>
    </row>
    <row r="342" spans="1:16" ht="15.75" customHeight="1">
      <c r="A342" s="30"/>
      <c r="B342" s="30"/>
      <c r="C342" s="30"/>
      <c r="D342" s="68"/>
      <c r="E342" s="30"/>
      <c r="F342" s="30"/>
      <c r="G342" s="68"/>
      <c r="H342" s="30"/>
      <c r="M342" s="69"/>
      <c r="N342" s="70"/>
      <c r="O342" s="71"/>
      <c r="P342" s="72"/>
    </row>
    <row r="343" spans="1:16" ht="15.75" customHeight="1">
      <c r="A343" s="30"/>
      <c r="B343" s="30"/>
      <c r="C343" s="30"/>
      <c r="D343" s="68"/>
      <c r="E343" s="30"/>
      <c r="F343" s="30"/>
      <c r="G343" s="68"/>
      <c r="H343" s="30"/>
      <c r="M343" s="69"/>
      <c r="N343" s="70"/>
      <c r="O343" s="71"/>
      <c r="P343" s="72"/>
    </row>
    <row r="344" spans="1:16" ht="15.75" customHeight="1">
      <c r="A344" s="30"/>
      <c r="B344" s="30"/>
      <c r="C344" s="30"/>
      <c r="D344" s="68"/>
      <c r="E344" s="30"/>
      <c r="F344" s="30"/>
      <c r="G344" s="68"/>
      <c r="H344" s="30"/>
      <c r="M344" s="69"/>
      <c r="N344" s="70"/>
      <c r="O344" s="71"/>
      <c r="P344" s="72"/>
    </row>
    <row r="345" spans="1:16" ht="15.75" customHeight="1">
      <c r="A345" s="30"/>
      <c r="B345" s="30"/>
      <c r="C345" s="30"/>
      <c r="D345" s="68"/>
      <c r="E345" s="30"/>
      <c r="F345" s="30"/>
      <c r="G345" s="68"/>
      <c r="H345" s="30"/>
      <c r="M345" s="69"/>
      <c r="N345" s="70"/>
      <c r="O345" s="71"/>
      <c r="P345" s="72"/>
    </row>
    <row r="346" spans="1:16" ht="15.75" customHeight="1">
      <c r="A346" s="30"/>
      <c r="B346" s="30"/>
      <c r="C346" s="30"/>
      <c r="D346" s="68"/>
      <c r="E346" s="30"/>
      <c r="F346" s="30"/>
      <c r="G346" s="68"/>
      <c r="H346" s="30"/>
      <c r="M346" s="69"/>
      <c r="N346" s="70"/>
      <c r="O346" s="71"/>
      <c r="P346" s="72"/>
    </row>
    <row r="347" spans="1:16" ht="15.75" customHeight="1">
      <c r="A347" s="30"/>
      <c r="B347" s="30"/>
      <c r="C347" s="30"/>
      <c r="D347" s="68"/>
      <c r="E347" s="30"/>
      <c r="F347" s="30"/>
      <c r="G347" s="68"/>
      <c r="H347" s="30"/>
      <c r="M347" s="69"/>
      <c r="N347" s="70"/>
      <c r="O347" s="71"/>
      <c r="P347" s="72"/>
    </row>
    <row r="348" spans="1:16" ht="15.75" customHeight="1">
      <c r="A348" s="30"/>
      <c r="B348" s="30"/>
      <c r="C348" s="30"/>
      <c r="D348" s="68"/>
      <c r="E348" s="30"/>
      <c r="F348" s="30"/>
      <c r="G348" s="68"/>
      <c r="H348" s="30"/>
      <c r="M348" s="69"/>
      <c r="N348" s="70"/>
      <c r="O348" s="71"/>
      <c r="P348" s="72"/>
    </row>
    <row r="349" spans="1:16" ht="15.75" customHeight="1">
      <c r="A349" s="30"/>
      <c r="B349" s="30"/>
      <c r="C349" s="30"/>
      <c r="D349" s="68"/>
      <c r="E349" s="30"/>
      <c r="F349" s="30"/>
      <c r="G349" s="68"/>
      <c r="H349" s="30"/>
      <c r="M349" s="69"/>
      <c r="N349" s="70"/>
      <c r="O349" s="71"/>
      <c r="P349" s="72"/>
    </row>
    <row r="350" spans="1:16" ht="15.75" customHeight="1">
      <c r="A350" s="30"/>
      <c r="B350" s="30"/>
      <c r="C350" s="30"/>
      <c r="D350" s="68"/>
      <c r="E350" s="30"/>
      <c r="F350" s="30"/>
      <c r="G350" s="68"/>
      <c r="H350" s="30"/>
      <c r="M350" s="69"/>
      <c r="N350" s="70"/>
      <c r="O350" s="71"/>
      <c r="P350" s="72"/>
    </row>
    <row r="351" spans="1:16" ht="15.75" customHeight="1">
      <c r="A351" s="30"/>
      <c r="B351" s="30"/>
      <c r="C351" s="30"/>
      <c r="D351" s="68"/>
      <c r="E351" s="30"/>
      <c r="F351" s="30"/>
      <c r="G351" s="68"/>
      <c r="H351" s="30"/>
      <c r="M351" s="69"/>
      <c r="N351" s="70"/>
      <c r="O351" s="71"/>
      <c r="P351" s="72"/>
    </row>
    <row r="352" spans="1:16" ht="15.75" customHeight="1">
      <c r="A352" s="30"/>
      <c r="B352" s="30"/>
      <c r="C352" s="30"/>
      <c r="D352" s="68"/>
      <c r="E352" s="30"/>
      <c r="F352" s="30"/>
      <c r="G352" s="68"/>
      <c r="H352" s="30"/>
      <c r="M352" s="69"/>
      <c r="N352" s="70"/>
      <c r="O352" s="71"/>
      <c r="P352" s="72"/>
    </row>
    <row r="353" spans="1:16" ht="15.75" customHeight="1">
      <c r="A353" s="30"/>
      <c r="B353" s="30"/>
      <c r="C353" s="30"/>
      <c r="D353" s="68"/>
      <c r="E353" s="30"/>
      <c r="F353" s="30"/>
      <c r="G353" s="68"/>
      <c r="H353" s="30"/>
      <c r="M353" s="69"/>
      <c r="N353" s="70"/>
      <c r="O353" s="71"/>
      <c r="P353" s="72"/>
    </row>
    <row r="354" spans="1:16" ht="15.75" customHeight="1">
      <c r="A354" s="30"/>
      <c r="B354" s="30"/>
      <c r="C354" s="30"/>
      <c r="D354" s="68"/>
      <c r="E354" s="30"/>
      <c r="F354" s="30"/>
      <c r="G354" s="68"/>
      <c r="H354" s="30"/>
      <c r="M354" s="69"/>
      <c r="N354" s="70"/>
      <c r="O354" s="71"/>
      <c r="P354" s="72"/>
    </row>
    <row r="355" spans="1:16" ht="15.75" customHeight="1">
      <c r="A355" s="30"/>
      <c r="B355" s="30"/>
      <c r="C355" s="30"/>
      <c r="D355" s="68"/>
      <c r="E355" s="30"/>
      <c r="F355" s="30"/>
      <c r="G355" s="68"/>
      <c r="H355" s="30"/>
      <c r="M355" s="69"/>
      <c r="N355" s="70"/>
      <c r="O355" s="71"/>
      <c r="P355" s="72"/>
    </row>
    <row r="356" spans="1:16" ht="15.75" customHeight="1">
      <c r="A356" s="30"/>
      <c r="B356" s="30"/>
      <c r="C356" s="30"/>
      <c r="D356" s="68"/>
      <c r="E356" s="30"/>
      <c r="F356" s="30"/>
      <c r="G356" s="68"/>
      <c r="H356" s="30"/>
      <c r="M356" s="69"/>
      <c r="N356" s="70"/>
      <c r="O356" s="71"/>
      <c r="P356" s="72"/>
    </row>
    <row r="357" spans="1:16" ht="15.75" customHeight="1">
      <c r="A357" s="30"/>
      <c r="B357" s="30"/>
      <c r="C357" s="30"/>
      <c r="D357" s="68"/>
      <c r="E357" s="30"/>
      <c r="F357" s="30"/>
      <c r="G357" s="68"/>
      <c r="H357" s="30"/>
      <c r="M357" s="69"/>
      <c r="N357" s="70"/>
      <c r="O357" s="71"/>
      <c r="P357" s="72"/>
    </row>
    <row r="358" spans="1:16" ht="15.75" customHeight="1">
      <c r="A358" s="30"/>
      <c r="B358" s="30"/>
      <c r="C358" s="30"/>
      <c r="D358" s="68"/>
      <c r="E358" s="30"/>
      <c r="F358" s="30"/>
      <c r="G358" s="68"/>
      <c r="H358" s="30"/>
      <c r="M358" s="69"/>
      <c r="N358" s="70"/>
      <c r="O358" s="71"/>
      <c r="P358" s="72"/>
    </row>
    <row r="359" spans="1:16" ht="15.75" customHeight="1">
      <c r="A359" s="30"/>
      <c r="B359" s="30"/>
      <c r="C359" s="30"/>
      <c r="D359" s="68"/>
      <c r="E359" s="30"/>
      <c r="F359" s="30"/>
      <c r="G359" s="68"/>
      <c r="H359" s="30"/>
      <c r="M359" s="69"/>
      <c r="N359" s="70"/>
      <c r="O359" s="71"/>
      <c r="P359" s="72"/>
    </row>
    <row r="360" spans="1:16" ht="15.75" customHeight="1">
      <c r="A360" s="30"/>
      <c r="B360" s="30"/>
      <c r="C360" s="30"/>
      <c r="D360" s="68"/>
      <c r="E360" s="30"/>
      <c r="F360" s="30"/>
      <c r="G360" s="68"/>
      <c r="H360" s="30"/>
      <c r="M360" s="69"/>
      <c r="N360" s="70"/>
      <c r="O360" s="71"/>
      <c r="P360" s="72"/>
    </row>
    <row r="361" spans="1:16" ht="15.75" customHeight="1">
      <c r="A361" s="30"/>
      <c r="B361" s="30"/>
      <c r="C361" s="30"/>
      <c r="D361" s="68"/>
      <c r="E361" s="30"/>
      <c r="F361" s="30"/>
      <c r="G361" s="68"/>
      <c r="H361" s="30"/>
      <c r="M361" s="69"/>
      <c r="N361" s="70"/>
      <c r="O361" s="71"/>
      <c r="P361" s="72"/>
    </row>
    <row r="362" spans="1:16" ht="15.75" customHeight="1">
      <c r="A362" s="30"/>
      <c r="B362" s="30"/>
      <c r="C362" s="30"/>
      <c r="D362" s="68"/>
      <c r="E362" s="30"/>
      <c r="F362" s="30"/>
      <c r="G362" s="68"/>
      <c r="H362" s="30"/>
      <c r="M362" s="69"/>
      <c r="N362" s="70"/>
      <c r="O362" s="71"/>
      <c r="P362" s="72"/>
    </row>
    <row r="363" spans="1:16" ht="15.75" customHeight="1">
      <c r="A363" s="30"/>
      <c r="B363" s="30"/>
      <c r="C363" s="30"/>
      <c r="D363" s="68"/>
      <c r="E363" s="30"/>
      <c r="F363" s="30"/>
      <c r="G363" s="68"/>
      <c r="H363" s="30"/>
      <c r="M363" s="69"/>
      <c r="N363" s="70"/>
      <c r="O363" s="71"/>
      <c r="P363" s="72"/>
    </row>
    <row r="364" spans="1:16" ht="15.75" customHeight="1">
      <c r="A364" s="30"/>
      <c r="B364" s="30"/>
      <c r="C364" s="30"/>
      <c r="D364" s="68"/>
      <c r="E364" s="30"/>
      <c r="F364" s="30"/>
      <c r="G364" s="68"/>
      <c r="H364" s="30"/>
      <c r="M364" s="69"/>
      <c r="N364" s="70"/>
      <c r="O364" s="71"/>
      <c r="P364" s="72"/>
    </row>
    <row r="365" spans="1:16" ht="15.75" customHeight="1">
      <c r="A365" s="30"/>
      <c r="B365" s="30"/>
      <c r="C365" s="30"/>
      <c r="D365" s="68"/>
      <c r="E365" s="30"/>
      <c r="F365" s="30"/>
      <c r="G365" s="68"/>
      <c r="H365" s="30"/>
      <c r="M365" s="69"/>
      <c r="N365" s="70"/>
      <c r="O365" s="71"/>
      <c r="P365" s="72"/>
    </row>
    <row r="366" spans="1:16" ht="15.75" customHeight="1">
      <c r="A366" s="30"/>
      <c r="B366" s="30"/>
      <c r="C366" s="30"/>
      <c r="D366" s="68"/>
      <c r="E366" s="30"/>
      <c r="F366" s="30"/>
      <c r="G366" s="68"/>
      <c r="H366" s="30"/>
      <c r="M366" s="69"/>
      <c r="N366" s="70"/>
      <c r="O366" s="71"/>
      <c r="P366" s="72"/>
    </row>
    <row r="367" spans="1:16" ht="15.75" customHeight="1">
      <c r="A367" s="30"/>
      <c r="B367" s="30"/>
      <c r="C367" s="30"/>
      <c r="D367" s="68"/>
      <c r="E367" s="30"/>
      <c r="F367" s="30"/>
      <c r="G367" s="68"/>
      <c r="H367" s="30"/>
      <c r="M367" s="69"/>
      <c r="N367" s="70"/>
      <c r="O367" s="71"/>
      <c r="P367" s="72"/>
    </row>
    <row r="368" spans="1:16" ht="15.75" customHeight="1">
      <c r="A368" s="30"/>
      <c r="B368" s="30"/>
      <c r="C368" s="30"/>
      <c r="D368" s="68"/>
      <c r="E368" s="30"/>
      <c r="F368" s="30"/>
      <c r="G368" s="68"/>
      <c r="H368" s="30"/>
      <c r="M368" s="69"/>
      <c r="N368" s="70"/>
      <c r="O368" s="71"/>
      <c r="P368" s="72"/>
    </row>
    <row r="369" spans="1:16" ht="15.75" customHeight="1">
      <c r="A369" s="30"/>
      <c r="B369" s="30"/>
      <c r="C369" s="30"/>
      <c r="D369" s="68"/>
      <c r="E369" s="30"/>
      <c r="F369" s="30"/>
      <c r="G369" s="68"/>
      <c r="H369" s="30"/>
      <c r="M369" s="69"/>
      <c r="N369" s="70"/>
      <c r="O369" s="71"/>
      <c r="P369" s="72"/>
    </row>
    <row r="370" spans="1:16" ht="15.75" customHeight="1">
      <c r="A370" s="30"/>
      <c r="B370" s="30"/>
      <c r="C370" s="30"/>
      <c r="D370" s="68"/>
      <c r="E370" s="30"/>
      <c r="F370" s="30"/>
      <c r="G370" s="68"/>
      <c r="H370" s="30"/>
      <c r="M370" s="69"/>
      <c r="N370" s="70"/>
      <c r="O370" s="71"/>
      <c r="P370" s="72"/>
    </row>
    <row r="371" spans="1:16" ht="15.75" customHeight="1">
      <c r="A371" s="30"/>
      <c r="B371" s="30"/>
      <c r="C371" s="30"/>
      <c r="D371" s="68"/>
      <c r="E371" s="30"/>
      <c r="F371" s="30"/>
      <c r="G371" s="68"/>
      <c r="H371" s="30"/>
      <c r="M371" s="69"/>
      <c r="N371" s="70"/>
      <c r="O371" s="71"/>
      <c r="P371" s="72"/>
    </row>
    <row r="372" spans="1:16" ht="15.75" customHeight="1">
      <c r="A372" s="30"/>
      <c r="B372" s="30"/>
      <c r="C372" s="30"/>
      <c r="D372" s="68"/>
      <c r="E372" s="30"/>
      <c r="F372" s="30"/>
      <c r="G372" s="68"/>
      <c r="H372" s="30"/>
      <c r="M372" s="69"/>
      <c r="N372" s="70"/>
      <c r="O372" s="71"/>
      <c r="P372" s="72"/>
    </row>
    <row r="373" spans="1:16" ht="15.75" customHeight="1">
      <c r="A373" s="30"/>
      <c r="B373" s="30"/>
      <c r="C373" s="30"/>
      <c r="D373" s="68"/>
      <c r="E373" s="30"/>
      <c r="F373" s="30"/>
      <c r="G373" s="68"/>
      <c r="H373" s="30"/>
      <c r="M373" s="69"/>
      <c r="N373" s="70"/>
      <c r="O373" s="71"/>
      <c r="P373" s="72"/>
    </row>
    <row r="374" spans="1:16" ht="15.75" customHeight="1">
      <c r="A374" s="30"/>
      <c r="B374" s="30"/>
      <c r="C374" s="30"/>
      <c r="D374" s="68"/>
      <c r="E374" s="30"/>
      <c r="F374" s="30"/>
      <c r="G374" s="68"/>
      <c r="H374" s="30"/>
      <c r="M374" s="69"/>
      <c r="N374" s="70"/>
      <c r="O374" s="71"/>
      <c r="P374" s="72"/>
    </row>
    <row r="375" spans="1:16" ht="15.75" customHeight="1">
      <c r="A375" s="30"/>
      <c r="B375" s="30"/>
      <c r="C375" s="30"/>
      <c r="D375" s="68"/>
      <c r="E375" s="30"/>
      <c r="F375" s="30"/>
      <c r="G375" s="68"/>
      <c r="H375" s="30"/>
      <c r="M375" s="69"/>
      <c r="N375" s="70"/>
      <c r="O375" s="71"/>
      <c r="P375" s="72"/>
    </row>
    <row r="376" spans="1:16" ht="15.75" customHeight="1">
      <c r="A376" s="30"/>
      <c r="B376" s="30"/>
      <c r="C376" s="30"/>
      <c r="D376" s="68"/>
      <c r="E376" s="30"/>
      <c r="F376" s="30"/>
      <c r="G376" s="68"/>
      <c r="H376" s="30"/>
      <c r="M376" s="69"/>
      <c r="N376" s="70"/>
      <c r="O376" s="71"/>
      <c r="P376" s="72"/>
    </row>
    <row r="377" spans="1:16" ht="15.75" customHeight="1">
      <c r="A377" s="30"/>
      <c r="B377" s="30"/>
      <c r="C377" s="30"/>
      <c r="D377" s="68"/>
      <c r="E377" s="30"/>
      <c r="F377" s="30"/>
      <c r="G377" s="68"/>
      <c r="H377" s="30"/>
      <c r="M377" s="69"/>
      <c r="N377" s="70"/>
      <c r="O377" s="71"/>
      <c r="P377" s="72"/>
    </row>
    <row r="378" spans="1:16" ht="15.75" customHeight="1">
      <c r="A378" s="30"/>
      <c r="B378" s="30"/>
      <c r="C378" s="30"/>
      <c r="D378" s="68"/>
      <c r="E378" s="30"/>
      <c r="F378" s="30"/>
      <c r="G378" s="68"/>
      <c r="H378" s="30"/>
      <c r="M378" s="69"/>
      <c r="N378" s="70"/>
      <c r="O378" s="71"/>
      <c r="P378" s="72"/>
    </row>
    <row r="379" spans="1:16" ht="15.75" customHeight="1">
      <c r="A379" s="30"/>
      <c r="B379" s="30"/>
      <c r="C379" s="30"/>
      <c r="D379" s="68"/>
      <c r="E379" s="30"/>
      <c r="F379" s="30"/>
      <c r="G379" s="68"/>
      <c r="H379" s="30"/>
      <c r="M379" s="69"/>
      <c r="N379" s="70"/>
      <c r="O379" s="71"/>
      <c r="P379" s="72"/>
    </row>
    <row r="380" spans="1:16" ht="15.75" customHeight="1">
      <c r="A380" s="30"/>
      <c r="B380" s="30"/>
      <c r="C380" s="30"/>
      <c r="D380" s="68"/>
      <c r="E380" s="30"/>
      <c r="F380" s="30"/>
      <c r="G380" s="68"/>
      <c r="H380" s="30"/>
      <c r="M380" s="69"/>
      <c r="N380" s="70"/>
      <c r="O380" s="71"/>
      <c r="P380" s="72"/>
    </row>
    <row r="381" spans="1:16" ht="15.75" customHeight="1">
      <c r="A381" s="30"/>
      <c r="B381" s="30"/>
      <c r="C381" s="30"/>
      <c r="D381" s="68"/>
      <c r="E381" s="30"/>
      <c r="F381" s="30"/>
      <c r="G381" s="68"/>
      <c r="H381" s="30"/>
      <c r="M381" s="69"/>
      <c r="N381" s="70"/>
      <c r="O381" s="71"/>
      <c r="P381" s="72"/>
    </row>
    <row r="382" spans="1:16" ht="15.75" customHeight="1">
      <c r="A382" s="30"/>
      <c r="B382" s="30"/>
      <c r="C382" s="30"/>
      <c r="D382" s="68"/>
      <c r="E382" s="30"/>
      <c r="F382" s="30"/>
      <c r="G382" s="68"/>
      <c r="H382" s="30"/>
      <c r="M382" s="69"/>
      <c r="N382" s="70"/>
      <c r="O382" s="71"/>
      <c r="P382" s="72"/>
    </row>
    <row r="383" spans="1:16" ht="15.75" customHeight="1">
      <c r="A383" s="30"/>
      <c r="B383" s="30"/>
      <c r="C383" s="30"/>
      <c r="D383" s="68"/>
      <c r="E383" s="30"/>
      <c r="F383" s="30"/>
      <c r="G383" s="68"/>
      <c r="H383" s="30"/>
      <c r="M383" s="69"/>
      <c r="N383" s="70"/>
      <c r="O383" s="71"/>
      <c r="P383" s="72"/>
    </row>
    <row r="384" spans="1:16" ht="15.75" customHeight="1">
      <c r="A384" s="30"/>
      <c r="B384" s="30"/>
      <c r="C384" s="30"/>
      <c r="D384" s="68"/>
      <c r="E384" s="30"/>
      <c r="F384" s="30"/>
      <c r="G384" s="68"/>
      <c r="H384" s="30"/>
      <c r="M384" s="69"/>
      <c r="N384" s="70"/>
      <c r="O384" s="71"/>
      <c r="P384" s="72"/>
    </row>
    <row r="385" spans="1:16" ht="15.75" customHeight="1">
      <c r="A385" s="30"/>
      <c r="B385" s="30"/>
      <c r="C385" s="30"/>
      <c r="D385" s="68"/>
      <c r="E385" s="30"/>
      <c r="F385" s="30"/>
      <c r="G385" s="68"/>
      <c r="H385" s="30"/>
      <c r="M385" s="69"/>
      <c r="N385" s="70"/>
      <c r="O385" s="71"/>
      <c r="P385" s="72"/>
    </row>
    <row r="386" spans="1:16" ht="15.75" customHeight="1">
      <c r="A386" s="30"/>
      <c r="B386" s="30"/>
      <c r="C386" s="30"/>
      <c r="D386" s="68"/>
      <c r="E386" s="30"/>
      <c r="F386" s="30"/>
      <c r="G386" s="68"/>
      <c r="H386" s="30"/>
      <c r="M386" s="69"/>
      <c r="N386" s="70"/>
      <c r="O386" s="71"/>
      <c r="P386" s="72"/>
    </row>
    <row r="387" spans="1:16" ht="15.75" customHeight="1">
      <c r="A387" s="30"/>
      <c r="B387" s="30"/>
      <c r="C387" s="30"/>
      <c r="D387" s="68"/>
      <c r="E387" s="30"/>
      <c r="F387" s="30"/>
      <c r="G387" s="68"/>
      <c r="H387" s="30"/>
      <c r="M387" s="69"/>
      <c r="N387" s="70"/>
      <c r="O387" s="71"/>
      <c r="P387" s="72"/>
    </row>
    <row r="388" spans="1:16" ht="15.75" customHeight="1">
      <c r="A388" s="30"/>
      <c r="B388" s="30"/>
      <c r="C388" s="30"/>
      <c r="D388" s="68"/>
      <c r="E388" s="30"/>
      <c r="F388" s="30"/>
      <c r="G388" s="68"/>
      <c r="H388" s="30"/>
      <c r="M388" s="69"/>
      <c r="N388" s="70"/>
      <c r="O388" s="71"/>
      <c r="P388" s="72"/>
    </row>
    <row r="389" spans="1:16" ht="15.75" customHeight="1">
      <c r="A389" s="30"/>
      <c r="B389" s="30"/>
      <c r="C389" s="30"/>
      <c r="D389" s="68"/>
      <c r="E389" s="30"/>
      <c r="F389" s="30"/>
      <c r="G389" s="68"/>
      <c r="H389" s="30"/>
      <c r="M389" s="69"/>
      <c r="N389" s="70"/>
      <c r="O389" s="71"/>
      <c r="P389" s="72"/>
    </row>
    <row r="390" spans="1:16" ht="15.75" customHeight="1">
      <c r="A390" s="30"/>
      <c r="B390" s="30"/>
      <c r="C390" s="30"/>
      <c r="D390" s="68"/>
      <c r="E390" s="30"/>
      <c r="F390" s="30"/>
      <c r="G390" s="68"/>
      <c r="H390" s="30"/>
      <c r="M390" s="69"/>
      <c r="N390" s="70"/>
      <c r="O390" s="71"/>
      <c r="P390" s="72"/>
    </row>
    <row r="391" spans="1:16" ht="15.75" customHeight="1">
      <c r="A391" s="30"/>
      <c r="B391" s="30"/>
      <c r="C391" s="30"/>
      <c r="D391" s="68"/>
      <c r="E391" s="30"/>
      <c r="F391" s="30"/>
      <c r="G391" s="68"/>
      <c r="H391" s="30"/>
      <c r="M391" s="69"/>
      <c r="N391" s="70"/>
      <c r="O391" s="71"/>
      <c r="P391" s="72"/>
    </row>
    <row r="392" spans="1:16" ht="15.75" customHeight="1">
      <c r="A392" s="30"/>
      <c r="B392" s="30"/>
      <c r="C392" s="30"/>
      <c r="D392" s="68"/>
      <c r="E392" s="30"/>
      <c r="F392" s="30"/>
      <c r="G392" s="68"/>
      <c r="H392" s="30"/>
      <c r="M392" s="69"/>
      <c r="N392" s="70"/>
      <c r="O392" s="71"/>
      <c r="P392" s="72"/>
    </row>
    <row r="393" spans="1:16" ht="15.75" customHeight="1">
      <c r="A393" s="30"/>
      <c r="B393" s="30"/>
      <c r="C393" s="30"/>
      <c r="D393" s="68"/>
      <c r="E393" s="30"/>
      <c r="F393" s="30"/>
      <c r="G393" s="68"/>
      <c r="H393" s="30"/>
      <c r="M393" s="69"/>
      <c r="N393" s="70"/>
      <c r="O393" s="71"/>
      <c r="P393" s="72"/>
    </row>
    <row r="394" spans="1:16" ht="15.75" customHeight="1">
      <c r="A394" s="30"/>
      <c r="B394" s="30"/>
      <c r="C394" s="30"/>
      <c r="D394" s="68"/>
      <c r="E394" s="30"/>
      <c r="F394" s="30"/>
      <c r="G394" s="68"/>
      <c r="H394" s="30"/>
      <c r="M394" s="69"/>
      <c r="N394" s="70"/>
      <c r="O394" s="71"/>
      <c r="P394" s="72"/>
    </row>
    <row r="395" spans="1:16" ht="15.75" customHeight="1">
      <c r="A395" s="30"/>
      <c r="B395" s="30"/>
      <c r="C395" s="30"/>
      <c r="D395" s="68"/>
      <c r="E395" s="30"/>
      <c r="F395" s="30"/>
      <c r="G395" s="68"/>
      <c r="H395" s="30"/>
      <c r="M395" s="69"/>
      <c r="N395" s="70"/>
      <c r="O395" s="71"/>
      <c r="P395" s="72"/>
    </row>
    <row r="396" spans="1:16" ht="15.75" customHeight="1">
      <c r="A396" s="30"/>
      <c r="B396" s="30"/>
      <c r="C396" s="30"/>
      <c r="D396" s="68"/>
      <c r="E396" s="30"/>
      <c r="F396" s="30"/>
      <c r="G396" s="68"/>
      <c r="H396" s="30"/>
      <c r="M396" s="69"/>
      <c r="N396" s="70"/>
      <c r="O396" s="71"/>
      <c r="P396" s="72"/>
    </row>
    <row r="397" spans="1:16" ht="15.75" customHeight="1">
      <c r="A397" s="30"/>
      <c r="B397" s="30"/>
      <c r="C397" s="30"/>
      <c r="D397" s="68"/>
      <c r="E397" s="30"/>
      <c r="F397" s="30"/>
      <c r="G397" s="68"/>
      <c r="H397" s="30"/>
      <c r="M397" s="69"/>
      <c r="N397" s="70"/>
      <c r="O397" s="71"/>
      <c r="P397" s="72"/>
    </row>
    <row r="398" spans="1:16" ht="15.75" customHeight="1">
      <c r="A398" s="30"/>
      <c r="B398" s="30"/>
      <c r="C398" s="30"/>
      <c r="D398" s="68"/>
      <c r="E398" s="30"/>
      <c r="F398" s="30"/>
      <c r="G398" s="68"/>
      <c r="H398" s="30"/>
      <c r="M398" s="69"/>
      <c r="N398" s="70"/>
      <c r="O398" s="71"/>
      <c r="P398" s="72"/>
    </row>
    <row r="399" spans="1:16" ht="15.75" customHeight="1">
      <c r="A399" s="30"/>
      <c r="B399" s="30"/>
      <c r="C399" s="30"/>
      <c r="D399" s="68"/>
      <c r="E399" s="30"/>
      <c r="F399" s="30"/>
      <c r="G399" s="68"/>
      <c r="H399" s="30"/>
      <c r="M399" s="69"/>
      <c r="N399" s="70"/>
      <c r="O399" s="71"/>
      <c r="P399" s="72"/>
    </row>
    <row r="400" spans="1:16" ht="15.75" customHeight="1">
      <c r="A400" s="30"/>
      <c r="B400" s="30"/>
      <c r="C400" s="30"/>
      <c r="D400" s="68"/>
      <c r="E400" s="30"/>
      <c r="F400" s="30"/>
      <c r="G400" s="68"/>
      <c r="H400" s="30"/>
      <c r="M400" s="69"/>
      <c r="N400" s="70"/>
      <c r="O400" s="71"/>
      <c r="P400" s="72"/>
    </row>
    <row r="401" spans="1:16" ht="15.75" customHeight="1">
      <c r="A401" s="30"/>
      <c r="B401" s="30"/>
      <c r="C401" s="30"/>
      <c r="D401" s="68"/>
      <c r="E401" s="30"/>
      <c r="F401" s="30"/>
      <c r="G401" s="68"/>
      <c r="H401" s="30"/>
      <c r="M401" s="69"/>
      <c r="N401" s="70"/>
      <c r="O401" s="71"/>
      <c r="P401" s="72"/>
    </row>
    <row r="402" spans="1:16" ht="15.75" customHeight="1">
      <c r="A402" s="30"/>
      <c r="B402" s="30"/>
      <c r="C402" s="30"/>
      <c r="D402" s="68"/>
      <c r="E402" s="30"/>
      <c r="F402" s="30"/>
      <c r="G402" s="68"/>
      <c r="H402" s="30"/>
      <c r="M402" s="69"/>
      <c r="N402" s="70"/>
      <c r="O402" s="71"/>
      <c r="P402" s="72"/>
    </row>
    <row r="403" spans="1:16" ht="15.75" customHeight="1">
      <c r="A403" s="30"/>
      <c r="B403" s="30"/>
      <c r="C403" s="30"/>
      <c r="D403" s="68"/>
      <c r="E403" s="30"/>
      <c r="F403" s="30"/>
      <c r="G403" s="68"/>
      <c r="H403" s="30"/>
      <c r="M403" s="69"/>
      <c r="N403" s="70"/>
      <c r="O403" s="71"/>
      <c r="P403" s="72"/>
    </row>
    <row r="404" spans="1:16" ht="15.75" customHeight="1">
      <c r="A404" s="30"/>
      <c r="B404" s="30"/>
      <c r="C404" s="30"/>
      <c r="D404" s="68"/>
      <c r="E404" s="30"/>
      <c r="F404" s="30"/>
      <c r="G404" s="68"/>
      <c r="H404" s="30"/>
      <c r="M404" s="69"/>
      <c r="N404" s="70"/>
      <c r="O404" s="71"/>
      <c r="P404" s="72"/>
    </row>
    <row r="405" spans="1:16" ht="15.75" customHeight="1">
      <c r="A405" s="30"/>
      <c r="B405" s="30"/>
      <c r="C405" s="30"/>
      <c r="D405" s="68"/>
      <c r="E405" s="30"/>
      <c r="F405" s="30"/>
      <c r="G405" s="68"/>
      <c r="H405" s="30"/>
      <c r="M405" s="69"/>
      <c r="N405" s="70"/>
      <c r="O405" s="71"/>
      <c r="P405" s="72"/>
    </row>
    <row r="406" spans="1:16" ht="15.75" customHeight="1">
      <c r="A406" s="30"/>
      <c r="B406" s="30"/>
      <c r="C406" s="30"/>
      <c r="D406" s="68"/>
      <c r="E406" s="30"/>
      <c r="F406" s="30"/>
      <c r="G406" s="68"/>
      <c r="H406" s="30"/>
      <c r="M406" s="69"/>
      <c r="N406" s="70"/>
      <c r="O406" s="71"/>
      <c r="P406" s="72"/>
    </row>
    <row r="407" spans="1:16" ht="15.75" customHeight="1">
      <c r="A407" s="30"/>
      <c r="B407" s="30"/>
      <c r="C407" s="30"/>
      <c r="D407" s="68"/>
      <c r="E407" s="30"/>
      <c r="F407" s="30"/>
      <c r="G407" s="68"/>
      <c r="H407" s="30"/>
      <c r="M407" s="69"/>
      <c r="N407" s="70"/>
      <c r="O407" s="71"/>
      <c r="P407" s="72"/>
    </row>
    <row r="408" spans="1:16" ht="15.75" customHeight="1">
      <c r="A408" s="30"/>
      <c r="B408" s="30"/>
      <c r="C408" s="30"/>
      <c r="D408" s="68"/>
      <c r="E408" s="30"/>
      <c r="F408" s="30"/>
      <c r="G408" s="68"/>
      <c r="H408" s="30"/>
      <c r="M408" s="69"/>
      <c r="N408" s="70"/>
      <c r="O408" s="71"/>
      <c r="P408" s="72"/>
    </row>
    <row r="409" spans="1:16" ht="15.75" customHeight="1">
      <c r="A409" s="30"/>
      <c r="B409" s="30"/>
      <c r="C409" s="30"/>
      <c r="D409" s="68"/>
      <c r="E409" s="30"/>
      <c r="F409" s="30"/>
      <c r="G409" s="68"/>
      <c r="H409" s="30"/>
      <c r="M409" s="69"/>
      <c r="N409" s="70"/>
      <c r="O409" s="71"/>
      <c r="P409" s="72"/>
    </row>
    <row r="410" spans="1:16" ht="15.75" customHeight="1">
      <c r="A410" s="30"/>
      <c r="B410" s="30"/>
      <c r="C410" s="30"/>
      <c r="D410" s="68"/>
      <c r="E410" s="30"/>
      <c r="F410" s="30"/>
      <c r="G410" s="68"/>
      <c r="H410" s="30"/>
      <c r="M410" s="69"/>
      <c r="N410" s="70"/>
      <c r="O410" s="71"/>
      <c r="P410" s="72"/>
    </row>
    <row r="411" spans="1:16" ht="15.75" customHeight="1">
      <c r="A411" s="30"/>
      <c r="B411" s="30"/>
      <c r="C411" s="30"/>
      <c r="D411" s="68"/>
      <c r="E411" s="30"/>
      <c r="F411" s="30"/>
      <c r="G411" s="68"/>
      <c r="H411" s="30"/>
      <c r="M411" s="69"/>
      <c r="N411" s="70"/>
      <c r="O411" s="71"/>
      <c r="P411" s="72"/>
    </row>
    <row r="412" spans="1:16" ht="15.75" customHeight="1">
      <c r="A412" s="30"/>
      <c r="B412" s="30"/>
      <c r="C412" s="30"/>
      <c r="D412" s="68"/>
      <c r="E412" s="30"/>
      <c r="F412" s="30"/>
      <c r="G412" s="68"/>
      <c r="H412" s="30"/>
      <c r="M412" s="69"/>
      <c r="N412" s="70"/>
      <c r="O412" s="71"/>
      <c r="P412" s="72"/>
    </row>
    <row r="413" spans="1:16" ht="15.75" customHeight="1">
      <c r="A413" s="30"/>
      <c r="B413" s="30"/>
      <c r="C413" s="30"/>
      <c r="D413" s="68"/>
      <c r="E413" s="30"/>
      <c r="F413" s="30"/>
      <c r="G413" s="68"/>
      <c r="H413" s="30"/>
      <c r="M413" s="69"/>
      <c r="N413" s="70"/>
      <c r="O413" s="71"/>
      <c r="P413" s="72"/>
    </row>
    <row r="414" spans="1:16" ht="15.75" customHeight="1">
      <c r="A414" s="30"/>
      <c r="B414" s="30"/>
      <c r="C414" s="30"/>
      <c r="D414" s="68"/>
      <c r="E414" s="30"/>
      <c r="F414" s="30"/>
      <c r="G414" s="68"/>
      <c r="H414" s="30"/>
      <c r="M414" s="69"/>
      <c r="N414" s="70"/>
      <c r="O414" s="71"/>
      <c r="P414" s="72"/>
    </row>
    <row r="415" spans="1:16" ht="15.75" customHeight="1">
      <c r="A415" s="30"/>
      <c r="B415" s="30"/>
      <c r="C415" s="30"/>
      <c r="D415" s="68"/>
      <c r="E415" s="30"/>
      <c r="F415" s="30"/>
      <c r="G415" s="68"/>
      <c r="H415" s="30"/>
      <c r="M415" s="69"/>
      <c r="N415" s="70"/>
      <c r="O415" s="71"/>
      <c r="P415" s="72"/>
    </row>
    <row r="416" spans="1:16" ht="15.75" customHeight="1">
      <c r="A416" s="30"/>
      <c r="B416" s="30"/>
      <c r="C416" s="30"/>
      <c r="D416" s="68"/>
      <c r="E416" s="30"/>
      <c r="F416" s="30"/>
      <c r="G416" s="68"/>
      <c r="H416" s="30"/>
      <c r="M416" s="69"/>
      <c r="N416" s="70"/>
      <c r="O416" s="71"/>
      <c r="P416" s="72"/>
    </row>
    <row r="417" spans="1:16" ht="15.75" customHeight="1">
      <c r="A417" s="30"/>
      <c r="B417" s="30"/>
      <c r="C417" s="30"/>
      <c r="D417" s="68"/>
      <c r="E417" s="30"/>
      <c r="F417" s="30"/>
      <c r="G417" s="68"/>
      <c r="H417" s="30"/>
      <c r="M417" s="69"/>
      <c r="N417" s="70"/>
      <c r="O417" s="71"/>
      <c r="P417" s="72"/>
    </row>
    <row r="418" spans="1:16" ht="15.75" customHeight="1">
      <c r="A418" s="30"/>
      <c r="B418" s="30"/>
      <c r="C418" s="30"/>
      <c r="D418" s="68"/>
      <c r="E418" s="30"/>
      <c r="F418" s="30"/>
      <c r="G418" s="68"/>
      <c r="H418" s="30"/>
      <c r="M418" s="69"/>
      <c r="N418" s="70"/>
      <c r="O418" s="71"/>
      <c r="P418" s="72"/>
    </row>
    <row r="419" spans="1:16" ht="15.75" customHeight="1">
      <c r="A419" s="30"/>
      <c r="B419" s="30"/>
      <c r="C419" s="30"/>
      <c r="D419" s="68"/>
      <c r="E419" s="30"/>
      <c r="F419" s="30"/>
      <c r="G419" s="68"/>
      <c r="H419" s="30"/>
      <c r="M419" s="69"/>
      <c r="N419" s="70"/>
      <c r="O419" s="71"/>
      <c r="P419" s="72"/>
    </row>
    <row r="420" spans="1:16" ht="15.75" customHeight="1">
      <c r="A420" s="30"/>
      <c r="B420" s="30"/>
      <c r="C420" s="30"/>
      <c r="D420" s="68"/>
      <c r="E420" s="30"/>
      <c r="F420" s="30"/>
      <c r="G420" s="68"/>
      <c r="H420" s="30"/>
      <c r="M420" s="69"/>
      <c r="N420" s="70"/>
      <c r="O420" s="71"/>
      <c r="P420" s="72"/>
    </row>
    <row r="421" spans="1:16" ht="15.75" customHeight="1">
      <c r="A421" s="30"/>
      <c r="B421" s="30"/>
      <c r="C421" s="30"/>
      <c r="D421" s="68"/>
      <c r="E421" s="30"/>
      <c r="F421" s="30"/>
      <c r="G421" s="68"/>
      <c r="H421" s="30"/>
      <c r="M421" s="69"/>
      <c r="N421" s="70"/>
      <c r="O421" s="71"/>
      <c r="P421" s="72"/>
    </row>
    <row r="422" spans="1:16" ht="15.75" customHeight="1">
      <c r="A422" s="30"/>
      <c r="B422" s="30"/>
      <c r="C422" s="30"/>
      <c r="D422" s="68"/>
      <c r="E422" s="30"/>
      <c r="F422" s="30"/>
      <c r="G422" s="68"/>
      <c r="H422" s="30"/>
      <c r="M422" s="69"/>
      <c r="N422" s="70"/>
      <c r="O422" s="71"/>
      <c r="P422" s="72"/>
    </row>
    <row r="423" spans="1:16" ht="15.75" customHeight="1">
      <c r="A423" s="30"/>
      <c r="B423" s="30"/>
      <c r="C423" s="30"/>
      <c r="D423" s="68"/>
      <c r="E423" s="30"/>
      <c r="F423" s="30"/>
      <c r="G423" s="68"/>
      <c r="H423" s="30"/>
      <c r="M423" s="69"/>
      <c r="N423" s="70"/>
      <c r="O423" s="71"/>
      <c r="P423" s="72"/>
    </row>
    <row r="424" spans="1:16" ht="15.75" customHeight="1">
      <c r="A424" s="30"/>
      <c r="B424" s="30"/>
      <c r="C424" s="30"/>
      <c r="D424" s="68"/>
      <c r="E424" s="30"/>
      <c r="F424" s="30"/>
      <c r="G424" s="68"/>
      <c r="H424" s="30"/>
      <c r="M424" s="69"/>
      <c r="N424" s="70"/>
      <c r="O424" s="71"/>
      <c r="P424" s="72"/>
    </row>
    <row r="425" spans="1:16" ht="15.75" customHeight="1">
      <c r="A425" s="30"/>
      <c r="B425" s="30"/>
      <c r="C425" s="30"/>
      <c r="D425" s="68"/>
      <c r="E425" s="30"/>
      <c r="F425" s="30"/>
      <c r="G425" s="68"/>
      <c r="H425" s="30"/>
      <c r="M425" s="69"/>
      <c r="N425" s="70"/>
      <c r="O425" s="71"/>
      <c r="P425" s="72"/>
    </row>
    <row r="426" spans="1:16" ht="15.75" customHeight="1">
      <c r="A426" s="30"/>
      <c r="B426" s="30"/>
      <c r="C426" s="30"/>
      <c r="D426" s="68"/>
      <c r="E426" s="30"/>
      <c r="F426" s="30"/>
      <c r="G426" s="68"/>
      <c r="H426" s="30"/>
      <c r="M426" s="69"/>
      <c r="N426" s="70"/>
      <c r="O426" s="71"/>
      <c r="P426" s="72"/>
    </row>
    <row r="427" spans="1:16" ht="15.75" customHeight="1">
      <c r="A427" s="30"/>
      <c r="B427" s="30"/>
      <c r="C427" s="30"/>
      <c r="D427" s="68"/>
      <c r="E427" s="30"/>
      <c r="F427" s="30"/>
      <c r="G427" s="68"/>
      <c r="H427" s="30"/>
      <c r="M427" s="69"/>
      <c r="N427" s="70"/>
      <c r="O427" s="71"/>
      <c r="P427" s="72"/>
    </row>
    <row r="428" spans="1:16" ht="15.75" customHeight="1">
      <c r="A428" s="30"/>
      <c r="B428" s="30"/>
      <c r="C428" s="30"/>
      <c r="D428" s="68"/>
      <c r="E428" s="30"/>
      <c r="F428" s="30"/>
      <c r="G428" s="68"/>
      <c r="H428" s="30"/>
      <c r="M428" s="69"/>
      <c r="N428" s="70"/>
      <c r="O428" s="71"/>
      <c r="P428" s="72"/>
    </row>
    <row r="429" spans="1:16" ht="15.75" customHeight="1">
      <c r="A429" s="30"/>
      <c r="B429" s="30"/>
      <c r="C429" s="30"/>
      <c r="D429" s="68"/>
      <c r="E429" s="30"/>
      <c r="F429" s="30"/>
      <c r="G429" s="68"/>
      <c r="H429" s="30"/>
      <c r="M429" s="69"/>
      <c r="N429" s="70"/>
      <c r="O429" s="71"/>
      <c r="P429" s="72"/>
    </row>
    <row r="430" spans="1:16" ht="15.75" customHeight="1">
      <c r="A430" s="30"/>
      <c r="B430" s="30"/>
      <c r="C430" s="30"/>
      <c r="D430" s="68"/>
      <c r="E430" s="30"/>
      <c r="F430" s="30"/>
      <c r="G430" s="68"/>
      <c r="H430" s="30"/>
      <c r="M430" s="69"/>
      <c r="N430" s="70"/>
      <c r="O430" s="71"/>
      <c r="P430" s="72"/>
    </row>
    <row r="431" spans="1:16" ht="15.75" customHeight="1">
      <c r="A431" s="30"/>
      <c r="B431" s="30"/>
      <c r="C431" s="30"/>
      <c r="D431" s="68"/>
      <c r="E431" s="30"/>
      <c r="F431" s="30"/>
      <c r="G431" s="68"/>
      <c r="H431" s="30"/>
      <c r="M431" s="69"/>
      <c r="N431" s="70"/>
      <c r="O431" s="71"/>
      <c r="P431" s="72"/>
    </row>
    <row r="432" spans="1:16" ht="15.75" customHeight="1">
      <c r="A432" s="30"/>
      <c r="B432" s="30"/>
      <c r="C432" s="30"/>
      <c r="D432" s="68"/>
      <c r="E432" s="30"/>
      <c r="F432" s="30"/>
      <c r="G432" s="68"/>
      <c r="H432" s="30"/>
      <c r="M432" s="69"/>
      <c r="N432" s="70"/>
      <c r="O432" s="71"/>
      <c r="P432" s="72"/>
    </row>
    <row r="433" spans="1:16" ht="15.75" customHeight="1">
      <c r="A433" s="30"/>
      <c r="B433" s="30"/>
      <c r="C433" s="30"/>
      <c r="D433" s="68"/>
      <c r="E433" s="30"/>
      <c r="F433" s="30"/>
      <c r="G433" s="68"/>
      <c r="H433" s="30"/>
      <c r="M433" s="69"/>
      <c r="N433" s="70"/>
      <c r="O433" s="71"/>
      <c r="P433" s="72"/>
    </row>
    <row r="434" spans="1:16" ht="15.75" customHeight="1">
      <c r="A434" s="30"/>
      <c r="B434" s="30"/>
      <c r="C434" s="30"/>
      <c r="D434" s="68"/>
      <c r="E434" s="30"/>
      <c r="F434" s="30"/>
      <c r="G434" s="68"/>
      <c r="H434" s="30"/>
      <c r="M434" s="69"/>
      <c r="N434" s="70"/>
      <c r="O434" s="71"/>
      <c r="P434" s="72"/>
    </row>
    <row r="435" spans="1:16" ht="15.75" customHeight="1">
      <c r="A435" s="30"/>
      <c r="B435" s="30"/>
      <c r="C435" s="30"/>
      <c r="D435" s="68"/>
      <c r="E435" s="30"/>
      <c r="F435" s="30"/>
      <c r="G435" s="68"/>
      <c r="H435" s="30"/>
      <c r="M435" s="69"/>
      <c r="N435" s="70"/>
      <c r="O435" s="71"/>
      <c r="P435" s="72"/>
    </row>
    <row r="436" spans="1:16" ht="15.75" customHeight="1">
      <c r="A436" s="30"/>
      <c r="B436" s="30"/>
      <c r="C436" s="30"/>
      <c r="D436" s="68"/>
      <c r="E436" s="30"/>
      <c r="F436" s="30"/>
      <c r="G436" s="68"/>
      <c r="H436" s="30"/>
      <c r="M436" s="69"/>
      <c r="N436" s="70"/>
      <c r="O436" s="71"/>
      <c r="P436" s="72"/>
    </row>
    <row r="437" spans="1:16" ht="15.75" customHeight="1">
      <c r="A437" s="30"/>
      <c r="B437" s="30"/>
      <c r="C437" s="30"/>
      <c r="D437" s="68"/>
      <c r="E437" s="30"/>
      <c r="F437" s="30"/>
      <c r="G437" s="68"/>
      <c r="H437" s="30"/>
      <c r="M437" s="69"/>
      <c r="N437" s="70"/>
      <c r="O437" s="71"/>
      <c r="P437" s="72"/>
    </row>
    <row r="438" spans="1:16" ht="15.75" customHeight="1">
      <c r="A438" s="30"/>
      <c r="B438" s="30"/>
      <c r="C438" s="30"/>
      <c r="D438" s="68"/>
      <c r="E438" s="30"/>
      <c r="F438" s="30"/>
      <c r="G438" s="68"/>
      <c r="H438" s="30"/>
      <c r="M438" s="69"/>
      <c r="N438" s="70"/>
      <c r="O438" s="71"/>
      <c r="P438" s="72"/>
    </row>
    <row r="439" spans="1:16" ht="15.75" customHeight="1">
      <c r="A439" s="30"/>
      <c r="B439" s="30"/>
      <c r="C439" s="30"/>
      <c r="D439" s="68"/>
      <c r="E439" s="30"/>
      <c r="F439" s="30"/>
      <c r="G439" s="68"/>
      <c r="H439" s="30"/>
      <c r="M439" s="69"/>
      <c r="N439" s="70"/>
      <c r="O439" s="71"/>
      <c r="P439" s="72"/>
    </row>
    <row r="440" spans="1:16" ht="15.75" customHeight="1">
      <c r="A440" s="30"/>
      <c r="B440" s="30"/>
      <c r="C440" s="30"/>
      <c r="D440" s="68"/>
      <c r="E440" s="30"/>
      <c r="F440" s="30"/>
      <c r="G440" s="68"/>
      <c r="H440" s="30"/>
      <c r="M440" s="69"/>
      <c r="N440" s="70"/>
      <c r="O440" s="71"/>
      <c r="P440" s="72"/>
    </row>
    <row r="441" spans="1:16" ht="15.75" customHeight="1">
      <c r="A441" s="30"/>
      <c r="B441" s="30"/>
      <c r="C441" s="30"/>
      <c r="D441" s="68"/>
      <c r="E441" s="30"/>
      <c r="F441" s="30"/>
      <c r="G441" s="68"/>
      <c r="H441" s="30"/>
      <c r="M441" s="69"/>
      <c r="N441" s="70"/>
      <c r="O441" s="71"/>
      <c r="P441" s="72"/>
    </row>
    <row r="442" spans="1:16" ht="15.75" customHeight="1">
      <c r="A442" s="30"/>
      <c r="B442" s="30"/>
      <c r="C442" s="30"/>
      <c r="D442" s="68"/>
      <c r="E442" s="30"/>
      <c r="F442" s="30"/>
      <c r="G442" s="68"/>
      <c r="H442" s="30"/>
      <c r="M442" s="69"/>
      <c r="N442" s="70"/>
      <c r="O442" s="71"/>
      <c r="P442" s="72"/>
    </row>
    <row r="443" spans="1:16" ht="15.75" customHeight="1">
      <c r="A443" s="30"/>
      <c r="B443" s="30"/>
      <c r="C443" s="30"/>
      <c r="D443" s="68"/>
      <c r="E443" s="30"/>
      <c r="F443" s="30"/>
      <c r="G443" s="68"/>
      <c r="H443" s="30"/>
      <c r="M443" s="69"/>
      <c r="N443" s="70"/>
      <c r="O443" s="71"/>
      <c r="P443" s="72"/>
    </row>
    <row r="444" spans="1:16" ht="15.75" customHeight="1">
      <c r="A444" s="30"/>
      <c r="B444" s="30"/>
      <c r="C444" s="30"/>
      <c r="D444" s="68"/>
      <c r="E444" s="30"/>
      <c r="F444" s="30"/>
      <c r="G444" s="68"/>
      <c r="H444" s="30"/>
      <c r="M444" s="69"/>
      <c r="N444" s="70"/>
      <c r="O444" s="71"/>
      <c r="P444" s="72"/>
    </row>
    <row r="445" spans="1:16" ht="15.75" customHeight="1">
      <c r="A445" s="30"/>
      <c r="B445" s="30"/>
      <c r="C445" s="30"/>
      <c r="D445" s="68"/>
      <c r="E445" s="30"/>
      <c r="F445" s="30"/>
      <c r="G445" s="68"/>
      <c r="H445" s="30"/>
      <c r="M445" s="69"/>
      <c r="N445" s="70"/>
      <c r="O445" s="71"/>
      <c r="P445" s="72"/>
    </row>
    <row r="446" spans="1:16" ht="15.75" customHeight="1">
      <c r="A446" s="30"/>
      <c r="B446" s="30"/>
      <c r="C446" s="30"/>
      <c r="D446" s="68"/>
      <c r="E446" s="30"/>
      <c r="F446" s="30"/>
      <c r="G446" s="68"/>
      <c r="H446" s="30"/>
      <c r="M446" s="69"/>
      <c r="N446" s="70"/>
      <c r="O446" s="71"/>
      <c r="P446" s="72"/>
    </row>
    <row r="447" spans="1:16" ht="15.75" customHeight="1">
      <c r="A447" s="30"/>
      <c r="B447" s="30"/>
      <c r="C447" s="30"/>
      <c r="D447" s="68"/>
      <c r="E447" s="30"/>
      <c r="F447" s="30"/>
      <c r="G447" s="68"/>
      <c r="H447" s="30"/>
      <c r="M447" s="69"/>
      <c r="N447" s="70"/>
      <c r="O447" s="71"/>
      <c r="P447" s="72"/>
    </row>
    <row r="448" spans="1:16" ht="15.75" customHeight="1">
      <c r="A448" s="30"/>
      <c r="B448" s="30"/>
      <c r="C448" s="30"/>
      <c r="D448" s="68"/>
      <c r="E448" s="30"/>
      <c r="F448" s="30"/>
      <c r="G448" s="68"/>
      <c r="H448" s="30"/>
      <c r="M448" s="69"/>
      <c r="N448" s="70"/>
      <c r="O448" s="71"/>
      <c r="P448" s="72"/>
    </row>
    <row r="449" spans="1:16" ht="15.75" customHeight="1">
      <c r="A449" s="30"/>
      <c r="B449" s="30"/>
      <c r="C449" s="30"/>
      <c r="D449" s="68"/>
      <c r="E449" s="30"/>
      <c r="F449" s="30"/>
      <c r="G449" s="68"/>
      <c r="H449" s="30"/>
      <c r="M449" s="69"/>
      <c r="N449" s="70"/>
      <c r="O449" s="71"/>
      <c r="P449" s="72"/>
    </row>
    <row r="450" spans="1:16" ht="15.75" customHeight="1">
      <c r="A450" s="30"/>
      <c r="B450" s="30"/>
      <c r="C450" s="30"/>
      <c r="D450" s="68"/>
      <c r="E450" s="30"/>
      <c r="F450" s="30"/>
      <c r="G450" s="68"/>
      <c r="H450" s="30"/>
      <c r="M450" s="69"/>
      <c r="N450" s="70"/>
      <c r="O450" s="71"/>
      <c r="P450" s="72"/>
    </row>
    <row r="451" spans="1:16" ht="15.75" customHeight="1">
      <c r="A451" s="30"/>
      <c r="B451" s="30"/>
      <c r="C451" s="30"/>
      <c r="D451" s="68"/>
      <c r="E451" s="30"/>
      <c r="F451" s="30"/>
      <c r="G451" s="68"/>
      <c r="H451" s="30"/>
      <c r="M451" s="69"/>
      <c r="N451" s="70"/>
      <c r="O451" s="71"/>
      <c r="P451" s="72"/>
    </row>
    <row r="452" spans="1:16" ht="15.75" customHeight="1">
      <c r="A452" s="30"/>
      <c r="B452" s="30"/>
      <c r="C452" s="30"/>
      <c r="D452" s="68"/>
      <c r="E452" s="30"/>
      <c r="F452" s="30"/>
      <c r="G452" s="68"/>
      <c r="H452" s="30"/>
      <c r="M452" s="69"/>
      <c r="N452" s="70"/>
      <c r="O452" s="71"/>
      <c r="P452" s="72"/>
    </row>
    <row r="453" spans="1:16" ht="15.75" customHeight="1">
      <c r="A453" s="30"/>
      <c r="B453" s="30"/>
      <c r="C453" s="30"/>
      <c r="D453" s="68"/>
      <c r="E453" s="30"/>
      <c r="F453" s="30"/>
      <c r="G453" s="68"/>
      <c r="H453" s="30"/>
      <c r="M453" s="69"/>
      <c r="N453" s="70"/>
      <c r="O453" s="71"/>
      <c r="P453" s="72"/>
    </row>
    <row r="454" spans="1:16" ht="15.75" customHeight="1">
      <c r="A454" s="30"/>
      <c r="B454" s="30"/>
      <c r="C454" s="30"/>
      <c r="D454" s="68"/>
      <c r="E454" s="30"/>
      <c r="F454" s="30"/>
      <c r="G454" s="68"/>
      <c r="H454" s="30"/>
      <c r="M454" s="69"/>
      <c r="N454" s="70"/>
      <c r="O454" s="71"/>
      <c r="P454" s="72"/>
    </row>
    <row r="455" spans="1:16" ht="15.75" customHeight="1">
      <c r="A455" s="30"/>
      <c r="B455" s="30"/>
      <c r="C455" s="30"/>
      <c r="D455" s="68"/>
      <c r="E455" s="30"/>
      <c r="F455" s="30"/>
      <c r="G455" s="68"/>
      <c r="H455" s="30"/>
      <c r="M455" s="69"/>
      <c r="N455" s="70"/>
      <c r="O455" s="71"/>
      <c r="P455" s="72"/>
    </row>
    <row r="456" spans="1:16" ht="15.75" customHeight="1">
      <c r="A456" s="30"/>
      <c r="B456" s="30"/>
      <c r="C456" s="30"/>
      <c r="D456" s="68"/>
      <c r="E456" s="30"/>
      <c r="F456" s="30"/>
      <c r="G456" s="68"/>
      <c r="H456" s="30"/>
      <c r="M456" s="69"/>
      <c r="N456" s="70"/>
      <c r="O456" s="71"/>
      <c r="P456" s="72"/>
    </row>
    <row r="457" spans="1:16" ht="15.75" customHeight="1">
      <c r="A457" s="30"/>
      <c r="B457" s="30"/>
      <c r="C457" s="30"/>
      <c r="D457" s="68"/>
      <c r="E457" s="30"/>
      <c r="F457" s="30"/>
      <c r="G457" s="68"/>
      <c r="H457" s="30"/>
      <c r="M457" s="69"/>
      <c r="N457" s="70"/>
      <c r="O457" s="71"/>
      <c r="P457" s="72"/>
    </row>
    <row r="458" spans="1:16" ht="15.75" customHeight="1">
      <c r="A458" s="30"/>
      <c r="B458" s="30"/>
      <c r="C458" s="30"/>
      <c r="D458" s="68"/>
      <c r="E458" s="30"/>
      <c r="F458" s="30"/>
      <c r="G458" s="68"/>
      <c r="H458" s="30"/>
      <c r="M458" s="69"/>
      <c r="N458" s="70"/>
      <c r="O458" s="71"/>
      <c r="P458" s="72"/>
    </row>
    <row r="459" spans="1:16" ht="15.75" customHeight="1">
      <c r="A459" s="30"/>
      <c r="B459" s="30"/>
      <c r="C459" s="30"/>
      <c r="D459" s="68"/>
      <c r="E459" s="30"/>
      <c r="F459" s="30"/>
      <c r="G459" s="68"/>
      <c r="H459" s="30"/>
      <c r="M459" s="69"/>
      <c r="N459" s="70"/>
      <c r="O459" s="71"/>
      <c r="P459" s="72"/>
    </row>
    <row r="460" spans="1:16" ht="15.75" customHeight="1">
      <c r="A460" s="30"/>
      <c r="B460" s="30"/>
      <c r="C460" s="30"/>
      <c r="D460" s="68"/>
      <c r="E460" s="30"/>
      <c r="F460" s="30"/>
      <c r="G460" s="68"/>
      <c r="H460" s="30"/>
      <c r="M460" s="69"/>
      <c r="N460" s="70"/>
      <c r="O460" s="71"/>
      <c r="P460" s="72"/>
    </row>
    <row r="461" spans="1:16" ht="15.75" customHeight="1">
      <c r="A461" s="30"/>
      <c r="B461" s="30"/>
      <c r="C461" s="30"/>
      <c r="D461" s="68"/>
      <c r="E461" s="30"/>
      <c r="F461" s="30"/>
      <c r="G461" s="68"/>
      <c r="H461" s="30"/>
      <c r="M461" s="69"/>
      <c r="N461" s="70"/>
      <c r="O461" s="71"/>
      <c r="P461" s="72"/>
    </row>
    <row r="462" spans="1:16" ht="15.75" customHeight="1">
      <c r="A462" s="30"/>
      <c r="B462" s="30"/>
      <c r="C462" s="30"/>
      <c r="D462" s="68"/>
      <c r="E462" s="30"/>
      <c r="F462" s="30"/>
      <c r="G462" s="68"/>
      <c r="H462" s="30"/>
      <c r="M462" s="69"/>
      <c r="N462" s="70"/>
      <c r="O462" s="71"/>
      <c r="P462" s="72"/>
    </row>
    <row r="463" spans="1:16" ht="15.75" customHeight="1">
      <c r="A463" s="30"/>
      <c r="B463" s="30"/>
      <c r="C463" s="30"/>
      <c r="D463" s="68"/>
      <c r="E463" s="30"/>
      <c r="F463" s="30"/>
      <c r="G463" s="68"/>
      <c r="H463" s="30"/>
      <c r="M463" s="69"/>
      <c r="N463" s="70"/>
      <c r="O463" s="71"/>
      <c r="P463" s="72"/>
    </row>
    <row r="464" spans="1:16" ht="15.75" customHeight="1">
      <c r="A464" s="30"/>
      <c r="B464" s="30"/>
      <c r="C464" s="30"/>
      <c r="D464" s="68"/>
      <c r="E464" s="30"/>
      <c r="F464" s="30"/>
      <c r="G464" s="68"/>
      <c r="H464" s="30"/>
      <c r="M464" s="69"/>
      <c r="N464" s="70"/>
      <c r="O464" s="71"/>
      <c r="P464" s="72"/>
    </row>
    <row r="465" spans="1:16" ht="15.75" customHeight="1">
      <c r="A465" s="30"/>
      <c r="B465" s="30"/>
      <c r="C465" s="30"/>
      <c r="D465" s="68"/>
      <c r="E465" s="30"/>
      <c r="F465" s="30"/>
      <c r="G465" s="68"/>
      <c r="H465" s="30"/>
      <c r="M465" s="69"/>
      <c r="N465" s="70"/>
      <c r="O465" s="71"/>
      <c r="P465" s="72"/>
    </row>
    <row r="466" spans="1:16" ht="15.75" customHeight="1">
      <c r="A466" s="30"/>
      <c r="B466" s="30"/>
      <c r="C466" s="30"/>
      <c r="D466" s="68"/>
      <c r="E466" s="30"/>
      <c r="F466" s="30"/>
      <c r="G466" s="68"/>
      <c r="H466" s="30"/>
      <c r="M466" s="69"/>
      <c r="N466" s="70"/>
      <c r="O466" s="71"/>
      <c r="P466" s="72"/>
    </row>
    <row r="467" spans="1:16" ht="15.75" customHeight="1">
      <c r="A467" s="30"/>
      <c r="B467" s="30"/>
      <c r="C467" s="30"/>
      <c r="D467" s="68"/>
      <c r="E467" s="30"/>
      <c r="F467" s="30"/>
      <c r="G467" s="68"/>
      <c r="H467" s="30"/>
      <c r="M467" s="69"/>
      <c r="N467" s="70"/>
      <c r="O467" s="71"/>
      <c r="P467" s="72"/>
    </row>
    <row r="468" spans="1:16" ht="15.75" customHeight="1">
      <c r="A468" s="30"/>
      <c r="B468" s="30"/>
      <c r="C468" s="30"/>
      <c r="D468" s="68"/>
      <c r="E468" s="30"/>
      <c r="F468" s="30"/>
      <c r="G468" s="68"/>
      <c r="H468" s="30"/>
      <c r="M468" s="69"/>
      <c r="N468" s="70"/>
      <c r="O468" s="71"/>
      <c r="P468" s="72"/>
    </row>
    <row r="469" spans="1:16" ht="15.75" customHeight="1">
      <c r="A469" s="30"/>
      <c r="B469" s="30"/>
      <c r="C469" s="30"/>
      <c r="D469" s="68"/>
      <c r="E469" s="30"/>
      <c r="F469" s="30"/>
      <c r="G469" s="68"/>
      <c r="H469" s="30"/>
      <c r="M469" s="69"/>
      <c r="N469" s="70"/>
      <c r="O469" s="71"/>
      <c r="P469" s="72"/>
    </row>
    <row r="470" spans="1:16" ht="15.75" customHeight="1">
      <c r="A470" s="30"/>
      <c r="B470" s="30"/>
      <c r="C470" s="30"/>
      <c r="D470" s="68"/>
      <c r="E470" s="30"/>
      <c r="F470" s="30"/>
      <c r="G470" s="68"/>
      <c r="H470" s="30"/>
      <c r="M470" s="69"/>
      <c r="N470" s="70"/>
      <c r="O470" s="71"/>
      <c r="P470" s="72"/>
    </row>
    <row r="471" spans="1:16" ht="15.75" customHeight="1">
      <c r="A471" s="30"/>
      <c r="B471" s="30"/>
      <c r="C471" s="30"/>
      <c r="D471" s="68"/>
      <c r="E471" s="30"/>
      <c r="F471" s="30"/>
      <c r="G471" s="68"/>
      <c r="H471" s="30"/>
      <c r="M471" s="69"/>
      <c r="N471" s="70"/>
      <c r="O471" s="71"/>
      <c r="P471" s="72"/>
    </row>
    <row r="472" spans="1:16" ht="15.75" customHeight="1">
      <c r="A472" s="30"/>
      <c r="B472" s="30"/>
      <c r="C472" s="30"/>
      <c r="D472" s="68"/>
      <c r="E472" s="30"/>
      <c r="F472" s="30"/>
      <c r="G472" s="68"/>
      <c r="H472" s="30"/>
      <c r="M472" s="69"/>
      <c r="N472" s="70"/>
      <c r="O472" s="71"/>
      <c r="P472" s="72"/>
    </row>
    <row r="473" spans="1:16" ht="15.75" customHeight="1">
      <c r="A473" s="30"/>
      <c r="B473" s="30"/>
      <c r="C473" s="30"/>
      <c r="D473" s="68"/>
      <c r="E473" s="30"/>
      <c r="F473" s="30"/>
      <c r="G473" s="68"/>
      <c r="H473" s="30"/>
      <c r="M473" s="69"/>
      <c r="N473" s="70"/>
      <c r="O473" s="71"/>
      <c r="P473" s="72"/>
    </row>
    <row r="474" spans="1:16" ht="15.75" customHeight="1">
      <c r="A474" s="30"/>
      <c r="B474" s="30"/>
      <c r="C474" s="30"/>
      <c r="D474" s="68"/>
      <c r="E474" s="30"/>
      <c r="F474" s="30"/>
      <c r="G474" s="68"/>
      <c r="H474" s="30"/>
      <c r="M474" s="69"/>
      <c r="N474" s="70"/>
      <c r="O474" s="71"/>
      <c r="P474" s="72"/>
    </row>
    <row r="475" spans="1:16" ht="15.75" customHeight="1">
      <c r="A475" s="30"/>
      <c r="B475" s="30"/>
      <c r="C475" s="30"/>
      <c r="D475" s="68"/>
      <c r="E475" s="30"/>
      <c r="F475" s="30"/>
      <c r="G475" s="68"/>
      <c r="H475" s="30"/>
      <c r="M475" s="69"/>
      <c r="N475" s="70"/>
      <c r="O475" s="71"/>
      <c r="P475" s="72"/>
    </row>
    <row r="476" spans="1:16" ht="15.75" customHeight="1">
      <c r="A476" s="30"/>
      <c r="B476" s="30"/>
      <c r="C476" s="30"/>
      <c r="D476" s="68"/>
      <c r="E476" s="30"/>
      <c r="F476" s="30"/>
      <c r="G476" s="68"/>
      <c r="H476" s="30"/>
      <c r="M476" s="69"/>
      <c r="N476" s="70"/>
      <c r="O476" s="71"/>
      <c r="P476" s="72"/>
    </row>
    <row r="477" spans="1:16" ht="15.75" customHeight="1">
      <c r="A477" s="30"/>
      <c r="B477" s="30"/>
      <c r="C477" s="30"/>
      <c r="D477" s="68"/>
      <c r="E477" s="30"/>
      <c r="F477" s="30"/>
      <c r="G477" s="68"/>
      <c r="H477" s="30"/>
      <c r="M477" s="69"/>
      <c r="N477" s="70"/>
      <c r="O477" s="71"/>
      <c r="P477" s="72"/>
    </row>
    <row r="478" spans="1:16" ht="15.75" customHeight="1">
      <c r="A478" s="30"/>
      <c r="B478" s="30"/>
      <c r="C478" s="30"/>
      <c r="D478" s="68"/>
      <c r="E478" s="30"/>
      <c r="F478" s="30"/>
      <c r="G478" s="68"/>
      <c r="H478" s="30"/>
      <c r="M478" s="69"/>
      <c r="N478" s="70"/>
      <c r="O478" s="71"/>
      <c r="P478" s="72"/>
    </row>
    <row r="479" spans="1:16" ht="15.75" customHeight="1">
      <c r="A479" s="30"/>
      <c r="B479" s="30"/>
      <c r="C479" s="30"/>
      <c r="D479" s="68"/>
      <c r="E479" s="30"/>
      <c r="F479" s="30"/>
      <c r="G479" s="68"/>
      <c r="H479" s="30"/>
      <c r="M479" s="69"/>
      <c r="N479" s="70"/>
      <c r="O479" s="71"/>
      <c r="P479" s="72"/>
    </row>
    <row r="480" spans="1:16" ht="15.75" customHeight="1">
      <c r="A480" s="30"/>
      <c r="B480" s="30"/>
      <c r="C480" s="30"/>
      <c r="D480" s="68"/>
      <c r="E480" s="30"/>
      <c r="F480" s="30"/>
      <c r="G480" s="68"/>
      <c r="H480" s="30"/>
      <c r="M480" s="69"/>
      <c r="N480" s="70"/>
      <c r="O480" s="71"/>
      <c r="P480" s="72"/>
    </row>
    <row r="481" spans="1:16" ht="15.75" customHeight="1">
      <c r="A481" s="30"/>
      <c r="B481" s="30"/>
      <c r="C481" s="30"/>
      <c r="D481" s="68"/>
      <c r="E481" s="30"/>
      <c r="F481" s="30"/>
      <c r="G481" s="68"/>
      <c r="H481" s="30"/>
      <c r="M481" s="69"/>
      <c r="N481" s="70"/>
      <c r="O481" s="71"/>
      <c r="P481" s="72"/>
    </row>
    <row r="482" spans="1:16" ht="15.75" customHeight="1">
      <c r="A482" s="30"/>
      <c r="B482" s="30"/>
      <c r="C482" s="30"/>
      <c r="D482" s="68"/>
      <c r="E482" s="30"/>
      <c r="F482" s="30"/>
      <c r="G482" s="68"/>
      <c r="H482" s="30"/>
      <c r="M482" s="69"/>
      <c r="N482" s="70"/>
      <c r="O482" s="71"/>
      <c r="P482" s="72"/>
    </row>
    <row r="483" spans="1:16" ht="15.75" customHeight="1">
      <c r="A483" s="30"/>
      <c r="B483" s="30"/>
      <c r="C483" s="30"/>
      <c r="D483" s="68"/>
      <c r="E483" s="30"/>
      <c r="F483" s="30"/>
      <c r="G483" s="68"/>
      <c r="H483" s="30"/>
      <c r="M483" s="69"/>
      <c r="N483" s="70"/>
      <c r="O483" s="71"/>
      <c r="P483" s="72"/>
    </row>
    <row r="484" spans="1:16" ht="15.75" customHeight="1">
      <c r="A484" s="30"/>
      <c r="B484" s="30"/>
      <c r="C484" s="30"/>
      <c r="D484" s="68"/>
      <c r="E484" s="30"/>
      <c r="F484" s="30"/>
      <c r="G484" s="68"/>
      <c r="H484" s="30"/>
      <c r="M484" s="69"/>
      <c r="N484" s="70"/>
      <c r="O484" s="71"/>
      <c r="P484" s="72"/>
    </row>
    <row r="485" spans="1:16" ht="15.75" customHeight="1">
      <c r="A485" s="30"/>
      <c r="B485" s="30"/>
      <c r="C485" s="30"/>
      <c r="D485" s="68"/>
      <c r="E485" s="30"/>
      <c r="F485" s="30"/>
      <c r="G485" s="68"/>
      <c r="H485" s="30"/>
      <c r="M485" s="69"/>
      <c r="N485" s="70"/>
      <c r="O485" s="71"/>
      <c r="P485" s="72"/>
    </row>
    <row r="486" spans="1:16" ht="15.75" customHeight="1">
      <c r="A486" s="30"/>
      <c r="B486" s="30"/>
      <c r="C486" s="30"/>
      <c r="D486" s="68"/>
      <c r="E486" s="30"/>
      <c r="F486" s="30"/>
      <c r="G486" s="68"/>
      <c r="H486" s="30"/>
      <c r="M486" s="69"/>
      <c r="N486" s="70"/>
      <c r="O486" s="71"/>
      <c r="P486" s="72"/>
    </row>
    <row r="487" spans="1:16" ht="15.75" customHeight="1">
      <c r="A487" s="30"/>
      <c r="B487" s="30"/>
      <c r="C487" s="30"/>
      <c r="D487" s="68"/>
      <c r="E487" s="30"/>
      <c r="F487" s="30"/>
      <c r="G487" s="68"/>
      <c r="H487" s="30"/>
      <c r="M487" s="69"/>
      <c r="N487" s="70"/>
      <c r="O487" s="71"/>
      <c r="P487" s="72"/>
    </row>
    <row r="488" spans="1:16" ht="15.75" customHeight="1">
      <c r="A488" s="30"/>
      <c r="B488" s="30"/>
      <c r="C488" s="30"/>
      <c r="D488" s="68"/>
      <c r="E488" s="30"/>
      <c r="F488" s="30"/>
      <c r="G488" s="68"/>
      <c r="H488" s="30"/>
      <c r="M488" s="69"/>
      <c r="N488" s="70"/>
      <c r="O488" s="71"/>
      <c r="P488" s="72"/>
    </row>
    <row r="489" spans="1:16" ht="15.75" customHeight="1">
      <c r="A489" s="30"/>
      <c r="B489" s="30"/>
      <c r="C489" s="30"/>
      <c r="D489" s="68"/>
      <c r="E489" s="30"/>
      <c r="F489" s="30"/>
      <c r="G489" s="68"/>
      <c r="H489" s="30"/>
      <c r="M489" s="69"/>
      <c r="N489" s="70"/>
      <c r="O489" s="71"/>
      <c r="P489" s="72"/>
    </row>
    <row r="490" spans="1:16" ht="15.75" customHeight="1">
      <c r="A490" s="30"/>
      <c r="B490" s="30"/>
      <c r="C490" s="30"/>
      <c r="D490" s="68"/>
      <c r="E490" s="30"/>
      <c r="F490" s="30"/>
      <c r="G490" s="68"/>
      <c r="H490" s="30"/>
      <c r="M490" s="69"/>
      <c r="N490" s="70"/>
      <c r="O490" s="71"/>
      <c r="P490" s="72"/>
    </row>
    <row r="491" spans="1:16" ht="15.75" customHeight="1">
      <c r="A491" s="30"/>
      <c r="B491" s="30"/>
      <c r="C491" s="30"/>
      <c r="D491" s="68"/>
      <c r="E491" s="30"/>
      <c r="F491" s="30"/>
      <c r="G491" s="68"/>
      <c r="H491" s="30"/>
      <c r="M491" s="69"/>
      <c r="N491" s="70"/>
      <c r="O491" s="71"/>
      <c r="P491" s="72"/>
    </row>
    <row r="492" spans="1:16" ht="15.75" customHeight="1">
      <c r="A492" s="30"/>
      <c r="B492" s="30"/>
      <c r="C492" s="30"/>
      <c r="D492" s="68"/>
      <c r="E492" s="30"/>
      <c r="F492" s="30"/>
      <c r="G492" s="68"/>
      <c r="H492" s="30"/>
      <c r="M492" s="69"/>
      <c r="N492" s="70"/>
      <c r="O492" s="71"/>
      <c r="P492" s="72"/>
    </row>
    <row r="493" spans="1:16" ht="15.75" customHeight="1">
      <c r="A493" s="30"/>
      <c r="B493" s="30"/>
      <c r="C493" s="30"/>
      <c r="D493" s="68"/>
      <c r="E493" s="30"/>
      <c r="F493" s="30"/>
      <c r="G493" s="68"/>
      <c r="H493" s="30"/>
      <c r="M493" s="69"/>
      <c r="N493" s="70"/>
      <c r="O493" s="71"/>
      <c r="P493" s="72"/>
    </row>
    <row r="494" spans="1:16" ht="15.75" customHeight="1">
      <c r="A494" s="30"/>
      <c r="B494" s="30"/>
      <c r="C494" s="30"/>
      <c r="D494" s="68"/>
      <c r="E494" s="30"/>
      <c r="F494" s="30"/>
      <c r="G494" s="68"/>
      <c r="H494" s="30"/>
      <c r="M494" s="69"/>
      <c r="N494" s="70"/>
      <c r="O494" s="71"/>
      <c r="P494" s="72"/>
    </row>
    <row r="495" spans="1:16" ht="15.75" customHeight="1">
      <c r="A495" s="30"/>
      <c r="B495" s="30"/>
      <c r="C495" s="30"/>
      <c r="D495" s="68"/>
      <c r="E495" s="30"/>
      <c r="F495" s="30"/>
      <c r="G495" s="68"/>
      <c r="H495" s="30"/>
      <c r="M495" s="69"/>
      <c r="N495" s="70"/>
      <c r="O495" s="71"/>
      <c r="P495" s="72"/>
    </row>
    <row r="496" spans="1:16" ht="15.75" customHeight="1">
      <c r="A496" s="30"/>
      <c r="B496" s="30"/>
      <c r="C496" s="30"/>
      <c r="D496" s="68"/>
      <c r="E496" s="30"/>
      <c r="F496" s="30"/>
      <c r="G496" s="68"/>
      <c r="H496" s="30"/>
      <c r="M496" s="69"/>
      <c r="N496" s="70"/>
      <c r="O496" s="71"/>
      <c r="P496" s="72"/>
    </row>
    <row r="497" spans="1:16" ht="15.75" customHeight="1">
      <c r="A497" s="30"/>
      <c r="B497" s="30"/>
      <c r="C497" s="30"/>
      <c r="D497" s="68"/>
      <c r="E497" s="30"/>
      <c r="F497" s="30"/>
      <c r="G497" s="68"/>
      <c r="H497" s="30"/>
      <c r="M497" s="69"/>
      <c r="N497" s="70"/>
      <c r="O497" s="71"/>
      <c r="P497" s="72"/>
    </row>
    <row r="498" spans="1:16" ht="15.75" customHeight="1">
      <c r="A498" s="30"/>
      <c r="B498" s="30"/>
      <c r="C498" s="30"/>
      <c r="D498" s="68"/>
      <c r="E498" s="30"/>
      <c r="F498" s="30"/>
      <c r="G498" s="68"/>
      <c r="H498" s="30"/>
      <c r="M498" s="69"/>
      <c r="N498" s="70"/>
      <c r="O498" s="71"/>
      <c r="P498" s="72"/>
    </row>
    <row r="499" spans="1:16" ht="15.75" customHeight="1">
      <c r="A499" s="30"/>
      <c r="B499" s="30"/>
      <c r="C499" s="30"/>
      <c r="D499" s="68"/>
      <c r="E499" s="30"/>
      <c r="F499" s="30"/>
      <c r="G499" s="68"/>
      <c r="H499" s="30"/>
      <c r="M499" s="69"/>
      <c r="N499" s="70"/>
      <c r="O499" s="71"/>
      <c r="P499" s="72"/>
    </row>
    <row r="500" spans="1:16" ht="15.75" customHeight="1">
      <c r="A500" s="30"/>
      <c r="B500" s="30"/>
      <c r="C500" s="30"/>
      <c r="D500" s="68"/>
      <c r="E500" s="30"/>
      <c r="F500" s="30"/>
      <c r="G500" s="68"/>
      <c r="H500" s="30"/>
      <c r="M500" s="69"/>
      <c r="N500" s="70"/>
      <c r="O500" s="71"/>
      <c r="P500" s="72"/>
    </row>
    <row r="501" spans="1:16" ht="15.75" customHeight="1">
      <c r="A501" s="30"/>
      <c r="B501" s="30"/>
      <c r="C501" s="30"/>
      <c r="D501" s="68"/>
      <c r="E501" s="30"/>
      <c r="F501" s="30"/>
      <c r="G501" s="68"/>
      <c r="H501" s="30"/>
      <c r="M501" s="69"/>
      <c r="N501" s="70"/>
      <c r="O501" s="71"/>
      <c r="P501" s="72"/>
    </row>
    <row r="502" spans="1:16" ht="15.75" customHeight="1">
      <c r="A502" s="30"/>
      <c r="B502" s="30"/>
      <c r="C502" s="30"/>
      <c r="D502" s="68"/>
      <c r="E502" s="30"/>
      <c r="F502" s="30"/>
      <c r="G502" s="68"/>
      <c r="H502" s="30"/>
      <c r="M502" s="69"/>
      <c r="N502" s="70"/>
      <c r="O502" s="71"/>
      <c r="P502" s="72"/>
    </row>
    <row r="503" spans="1:16" ht="15.75" customHeight="1">
      <c r="A503" s="30"/>
      <c r="B503" s="30"/>
      <c r="C503" s="30"/>
      <c r="D503" s="68"/>
      <c r="E503" s="30"/>
      <c r="F503" s="30"/>
      <c r="G503" s="68"/>
      <c r="H503" s="30"/>
      <c r="M503" s="69"/>
      <c r="N503" s="70"/>
      <c r="O503" s="71"/>
      <c r="P503" s="72"/>
    </row>
    <row r="504" spans="1:16" ht="15.75" customHeight="1">
      <c r="A504" s="30"/>
      <c r="B504" s="30"/>
      <c r="C504" s="30"/>
      <c r="D504" s="68"/>
      <c r="E504" s="30"/>
      <c r="F504" s="30"/>
      <c r="G504" s="68"/>
      <c r="H504" s="30"/>
      <c r="M504" s="69"/>
      <c r="N504" s="70"/>
      <c r="O504" s="71"/>
      <c r="P504" s="72"/>
    </row>
    <row r="505" spans="1:16" ht="15.75" customHeight="1">
      <c r="A505" s="30"/>
      <c r="B505" s="30"/>
      <c r="C505" s="30"/>
      <c r="D505" s="68"/>
      <c r="E505" s="30"/>
      <c r="F505" s="30"/>
      <c r="G505" s="68"/>
      <c r="H505" s="30"/>
      <c r="M505" s="69"/>
      <c r="N505" s="70"/>
      <c r="O505" s="71"/>
      <c r="P505" s="72"/>
    </row>
    <row r="506" spans="1:16" ht="15.75" customHeight="1">
      <c r="A506" s="30"/>
      <c r="B506" s="30"/>
      <c r="C506" s="30"/>
      <c r="D506" s="68"/>
      <c r="E506" s="30"/>
      <c r="F506" s="30"/>
      <c r="G506" s="68"/>
      <c r="H506" s="30"/>
      <c r="M506" s="69"/>
      <c r="N506" s="70"/>
      <c r="O506" s="71"/>
      <c r="P506" s="72"/>
    </row>
    <row r="507" spans="1:16" ht="15.75" customHeight="1">
      <c r="A507" s="30"/>
      <c r="B507" s="30"/>
      <c r="C507" s="30"/>
      <c r="D507" s="68"/>
      <c r="E507" s="30"/>
      <c r="F507" s="30"/>
      <c r="G507" s="68"/>
      <c r="H507" s="30"/>
      <c r="M507" s="69"/>
      <c r="N507" s="70"/>
      <c r="O507" s="71"/>
      <c r="P507" s="72"/>
    </row>
    <row r="508" spans="1:16" ht="15.75" customHeight="1">
      <c r="A508" s="30"/>
      <c r="B508" s="30"/>
      <c r="C508" s="30"/>
      <c r="D508" s="68"/>
      <c r="E508" s="30"/>
      <c r="F508" s="30"/>
      <c r="G508" s="68"/>
      <c r="H508" s="30"/>
      <c r="M508" s="69"/>
      <c r="N508" s="70"/>
      <c r="O508" s="71"/>
      <c r="P508" s="72"/>
    </row>
    <row r="509" spans="1:16" ht="15.75" customHeight="1">
      <c r="A509" s="30"/>
      <c r="B509" s="30"/>
      <c r="C509" s="30"/>
      <c r="D509" s="68"/>
      <c r="E509" s="30"/>
      <c r="F509" s="30"/>
      <c r="G509" s="68"/>
      <c r="H509" s="30"/>
      <c r="M509" s="69"/>
      <c r="N509" s="70"/>
      <c r="O509" s="71"/>
      <c r="P509" s="72"/>
    </row>
    <row r="510" spans="1:16" ht="15.75" customHeight="1">
      <c r="A510" s="30"/>
      <c r="B510" s="30"/>
      <c r="C510" s="30"/>
      <c r="D510" s="68"/>
      <c r="E510" s="30"/>
      <c r="F510" s="30"/>
      <c r="G510" s="68"/>
      <c r="H510" s="30"/>
      <c r="M510" s="69"/>
      <c r="N510" s="70"/>
      <c r="O510" s="71"/>
      <c r="P510" s="72"/>
    </row>
    <row r="511" spans="1:16" ht="15.75" customHeight="1">
      <c r="A511" s="30"/>
      <c r="B511" s="30"/>
      <c r="C511" s="30"/>
      <c r="D511" s="68"/>
      <c r="E511" s="30"/>
      <c r="F511" s="30"/>
      <c r="G511" s="68"/>
      <c r="H511" s="30"/>
      <c r="M511" s="69"/>
      <c r="N511" s="70"/>
      <c r="O511" s="71"/>
      <c r="P511" s="72"/>
    </row>
    <row r="512" spans="1:16" ht="15.75" customHeight="1">
      <c r="A512" s="30"/>
      <c r="B512" s="30"/>
      <c r="C512" s="30"/>
      <c r="D512" s="68"/>
      <c r="E512" s="30"/>
      <c r="F512" s="30"/>
      <c r="G512" s="68"/>
      <c r="H512" s="30"/>
      <c r="M512" s="69"/>
      <c r="N512" s="70"/>
      <c r="O512" s="71"/>
      <c r="P512" s="72"/>
    </row>
    <row r="513" spans="1:16" ht="15.75" customHeight="1">
      <c r="A513" s="30"/>
      <c r="B513" s="30"/>
      <c r="C513" s="30"/>
      <c r="D513" s="68"/>
      <c r="E513" s="30"/>
      <c r="F513" s="30"/>
      <c r="G513" s="68"/>
      <c r="H513" s="30"/>
      <c r="M513" s="69"/>
      <c r="N513" s="70"/>
      <c r="O513" s="71"/>
      <c r="P513" s="72"/>
    </row>
    <row r="514" spans="1:16" ht="15.75" customHeight="1">
      <c r="A514" s="30"/>
      <c r="B514" s="30"/>
      <c r="C514" s="30"/>
      <c r="D514" s="68"/>
      <c r="E514" s="30"/>
      <c r="F514" s="30"/>
      <c r="G514" s="68"/>
      <c r="H514" s="30"/>
      <c r="M514" s="69"/>
      <c r="N514" s="70"/>
      <c r="O514" s="71"/>
      <c r="P514" s="72"/>
    </row>
    <row r="515" spans="1:16" ht="15.75" customHeight="1">
      <c r="A515" s="30"/>
      <c r="B515" s="30"/>
      <c r="C515" s="30"/>
      <c r="D515" s="68"/>
      <c r="E515" s="30"/>
      <c r="F515" s="30"/>
      <c r="G515" s="68"/>
      <c r="H515" s="30"/>
      <c r="M515" s="69"/>
      <c r="N515" s="70"/>
      <c r="O515" s="71"/>
      <c r="P515" s="72"/>
    </row>
    <row r="516" spans="1:16" ht="15.75" customHeight="1">
      <c r="A516" s="30"/>
      <c r="B516" s="30"/>
      <c r="C516" s="30"/>
      <c r="D516" s="68"/>
      <c r="E516" s="30"/>
      <c r="F516" s="30"/>
      <c r="G516" s="68"/>
      <c r="H516" s="30"/>
      <c r="M516" s="69"/>
      <c r="N516" s="70"/>
      <c r="O516" s="71"/>
      <c r="P516" s="72"/>
    </row>
    <row r="517" spans="1:16" ht="15.75" customHeight="1">
      <c r="A517" s="30"/>
      <c r="B517" s="30"/>
      <c r="C517" s="30"/>
      <c r="D517" s="68"/>
      <c r="E517" s="30"/>
      <c r="F517" s="30"/>
      <c r="G517" s="68"/>
      <c r="H517" s="30"/>
      <c r="M517" s="69"/>
      <c r="N517" s="70"/>
      <c r="O517" s="71"/>
      <c r="P517" s="72"/>
    </row>
    <row r="518" spans="1:16" ht="15.75" customHeight="1">
      <c r="A518" s="30"/>
      <c r="B518" s="30"/>
      <c r="C518" s="30"/>
      <c r="D518" s="68"/>
      <c r="E518" s="30"/>
      <c r="F518" s="30"/>
      <c r="G518" s="68"/>
      <c r="H518" s="30"/>
      <c r="M518" s="69"/>
      <c r="N518" s="70"/>
      <c r="O518" s="71"/>
      <c r="P518" s="72"/>
    </row>
    <row r="519" spans="1:16" ht="15.75" customHeight="1">
      <c r="A519" s="30"/>
      <c r="B519" s="30"/>
      <c r="C519" s="30"/>
      <c r="D519" s="68"/>
      <c r="E519" s="30"/>
      <c r="F519" s="30"/>
      <c r="G519" s="68"/>
      <c r="H519" s="30"/>
      <c r="M519" s="69"/>
      <c r="N519" s="70"/>
      <c r="O519" s="71"/>
      <c r="P519" s="72"/>
    </row>
    <row r="520" spans="1:16" ht="15.75" customHeight="1">
      <c r="A520" s="30"/>
      <c r="B520" s="30"/>
      <c r="C520" s="30"/>
      <c r="D520" s="68"/>
      <c r="E520" s="30"/>
      <c r="F520" s="30"/>
      <c r="G520" s="68"/>
      <c r="H520" s="30"/>
      <c r="M520" s="69"/>
      <c r="N520" s="70"/>
      <c r="O520" s="71"/>
      <c r="P520" s="72"/>
    </row>
    <row r="521" spans="1:16" ht="15.75" customHeight="1">
      <c r="A521" s="30"/>
      <c r="B521" s="30"/>
      <c r="C521" s="30"/>
      <c r="D521" s="68"/>
      <c r="E521" s="30"/>
      <c r="F521" s="30"/>
      <c r="G521" s="68"/>
      <c r="H521" s="30"/>
      <c r="M521" s="69"/>
      <c r="N521" s="70"/>
      <c r="O521" s="71"/>
      <c r="P521" s="72"/>
    </row>
    <row r="522" spans="1:16" ht="15.75" customHeight="1">
      <c r="A522" s="30"/>
      <c r="B522" s="30"/>
      <c r="C522" s="30"/>
      <c r="D522" s="68"/>
      <c r="E522" s="30"/>
      <c r="F522" s="30"/>
      <c r="G522" s="68"/>
      <c r="H522" s="30"/>
      <c r="M522" s="69"/>
      <c r="N522" s="70"/>
      <c r="O522" s="71"/>
      <c r="P522" s="72"/>
    </row>
    <row r="523" spans="1:16" ht="15.75" customHeight="1">
      <c r="A523" s="30"/>
      <c r="B523" s="30"/>
      <c r="C523" s="30"/>
      <c r="D523" s="68"/>
      <c r="E523" s="30"/>
      <c r="F523" s="30"/>
      <c r="G523" s="68"/>
      <c r="H523" s="30"/>
      <c r="M523" s="69"/>
      <c r="N523" s="70"/>
      <c r="O523" s="71"/>
      <c r="P523" s="72"/>
    </row>
    <row r="524" spans="1:16" ht="15.75" customHeight="1">
      <c r="A524" s="30"/>
      <c r="B524" s="30"/>
      <c r="C524" s="30"/>
      <c r="D524" s="68"/>
      <c r="E524" s="30"/>
      <c r="F524" s="30"/>
      <c r="G524" s="68"/>
      <c r="H524" s="30"/>
      <c r="M524" s="69"/>
      <c r="N524" s="70"/>
      <c r="O524" s="71"/>
      <c r="P524" s="72"/>
    </row>
    <row r="525" spans="1:16" ht="15.75" customHeight="1">
      <c r="A525" s="30"/>
      <c r="B525" s="30"/>
      <c r="C525" s="30"/>
      <c r="D525" s="68"/>
      <c r="E525" s="30"/>
      <c r="F525" s="30"/>
      <c r="G525" s="68"/>
      <c r="H525" s="30"/>
      <c r="M525" s="69"/>
      <c r="N525" s="70"/>
      <c r="O525" s="71"/>
      <c r="P525" s="72"/>
    </row>
    <row r="526" spans="1:16" ht="15.75" customHeight="1">
      <c r="A526" s="30"/>
      <c r="B526" s="30"/>
      <c r="C526" s="30"/>
      <c r="D526" s="68"/>
      <c r="E526" s="30"/>
      <c r="F526" s="30"/>
      <c r="G526" s="68"/>
      <c r="H526" s="30"/>
      <c r="M526" s="69"/>
      <c r="N526" s="70"/>
      <c r="O526" s="71"/>
      <c r="P526" s="72"/>
    </row>
    <row r="527" spans="1:16" ht="15.75" customHeight="1">
      <c r="A527" s="30"/>
      <c r="B527" s="30"/>
      <c r="C527" s="30"/>
      <c r="D527" s="68"/>
      <c r="E527" s="30"/>
      <c r="F527" s="30"/>
      <c r="G527" s="68"/>
      <c r="H527" s="30"/>
      <c r="M527" s="69"/>
      <c r="N527" s="70"/>
      <c r="O527" s="71"/>
      <c r="P527" s="72"/>
    </row>
    <row r="528" spans="1:16" ht="15.75" customHeight="1">
      <c r="A528" s="30"/>
      <c r="B528" s="30"/>
      <c r="C528" s="30"/>
      <c r="D528" s="68"/>
      <c r="E528" s="30"/>
      <c r="F528" s="30"/>
      <c r="G528" s="68"/>
      <c r="H528" s="30"/>
      <c r="M528" s="69"/>
      <c r="N528" s="70"/>
      <c r="O528" s="71"/>
      <c r="P528" s="72"/>
    </row>
    <row r="529" spans="1:16" ht="15.75" customHeight="1">
      <c r="A529" s="30"/>
      <c r="B529" s="30"/>
      <c r="C529" s="30"/>
      <c r="D529" s="68"/>
      <c r="E529" s="30"/>
      <c r="F529" s="30"/>
      <c r="G529" s="68"/>
      <c r="H529" s="30"/>
      <c r="M529" s="69"/>
      <c r="N529" s="70"/>
      <c r="O529" s="71"/>
      <c r="P529" s="72"/>
    </row>
    <row r="530" spans="1:16" ht="15.75" customHeight="1">
      <c r="A530" s="30"/>
      <c r="B530" s="30"/>
      <c r="C530" s="30"/>
      <c r="D530" s="68"/>
      <c r="E530" s="30"/>
      <c r="F530" s="30"/>
      <c r="G530" s="68"/>
      <c r="H530" s="30"/>
      <c r="M530" s="69"/>
      <c r="N530" s="70"/>
      <c r="O530" s="71"/>
      <c r="P530" s="72"/>
    </row>
    <row r="531" spans="1:16" ht="15.75" customHeight="1">
      <c r="A531" s="30"/>
      <c r="B531" s="30"/>
      <c r="C531" s="30"/>
      <c r="D531" s="68"/>
      <c r="E531" s="30"/>
      <c r="F531" s="30"/>
      <c r="G531" s="68"/>
      <c r="H531" s="30"/>
      <c r="M531" s="69"/>
      <c r="N531" s="70"/>
      <c r="O531" s="71"/>
      <c r="P531" s="72"/>
    </row>
    <row r="532" spans="1:16" ht="15.75" customHeight="1">
      <c r="A532" s="30"/>
      <c r="B532" s="30"/>
      <c r="C532" s="30"/>
      <c r="D532" s="68"/>
      <c r="E532" s="30"/>
      <c r="F532" s="30"/>
      <c r="G532" s="68"/>
      <c r="H532" s="30"/>
      <c r="M532" s="69"/>
      <c r="N532" s="70"/>
      <c r="O532" s="71"/>
      <c r="P532" s="72"/>
    </row>
    <row r="533" spans="1:16" ht="15.75" customHeight="1">
      <c r="A533" s="30"/>
      <c r="B533" s="30"/>
      <c r="C533" s="30"/>
      <c r="D533" s="68"/>
      <c r="E533" s="30"/>
      <c r="F533" s="30"/>
      <c r="G533" s="68"/>
      <c r="H533" s="30"/>
      <c r="M533" s="69"/>
      <c r="N533" s="70"/>
      <c r="O533" s="71"/>
      <c r="P533" s="72"/>
    </row>
    <row r="534" spans="1:16" ht="15.75" customHeight="1">
      <c r="A534" s="30"/>
      <c r="B534" s="30"/>
      <c r="C534" s="30"/>
      <c r="D534" s="68"/>
      <c r="E534" s="30"/>
      <c r="F534" s="30"/>
      <c r="G534" s="68"/>
      <c r="H534" s="30"/>
      <c r="M534" s="69"/>
      <c r="N534" s="70"/>
      <c r="O534" s="71"/>
      <c r="P534" s="72"/>
    </row>
    <row r="535" spans="1:16" ht="15.75" customHeight="1">
      <c r="A535" s="30"/>
      <c r="B535" s="30"/>
      <c r="C535" s="30"/>
      <c r="D535" s="68"/>
      <c r="E535" s="30"/>
      <c r="F535" s="30"/>
      <c r="G535" s="68"/>
      <c r="H535" s="30"/>
      <c r="M535" s="69"/>
      <c r="N535" s="70"/>
      <c r="O535" s="71"/>
      <c r="P535" s="72"/>
    </row>
    <row r="536" spans="1:16" ht="15.75" customHeight="1">
      <c r="A536" s="30"/>
      <c r="B536" s="30"/>
      <c r="C536" s="30"/>
      <c r="D536" s="68"/>
      <c r="E536" s="30"/>
      <c r="F536" s="30"/>
      <c r="G536" s="68"/>
      <c r="H536" s="30"/>
      <c r="M536" s="69"/>
      <c r="N536" s="70"/>
      <c r="O536" s="71"/>
      <c r="P536" s="72"/>
    </row>
    <row r="537" spans="1:16" ht="15.75" customHeight="1">
      <c r="A537" s="30"/>
      <c r="B537" s="30"/>
      <c r="C537" s="30"/>
      <c r="D537" s="68"/>
      <c r="E537" s="30"/>
      <c r="F537" s="30"/>
      <c r="G537" s="68"/>
      <c r="H537" s="30"/>
      <c r="M537" s="69"/>
      <c r="N537" s="70"/>
      <c r="O537" s="71"/>
      <c r="P537" s="72"/>
    </row>
    <row r="538" spans="1:16" ht="15.75" customHeight="1">
      <c r="A538" s="30"/>
      <c r="B538" s="30"/>
      <c r="C538" s="30"/>
      <c r="D538" s="68"/>
      <c r="E538" s="30"/>
      <c r="F538" s="30"/>
      <c r="G538" s="68"/>
      <c r="H538" s="30"/>
      <c r="M538" s="69"/>
      <c r="N538" s="70"/>
      <c r="O538" s="71"/>
      <c r="P538" s="72"/>
    </row>
    <row r="539" spans="1:16" ht="15.75" customHeight="1">
      <c r="A539" s="30"/>
      <c r="B539" s="30"/>
      <c r="C539" s="30"/>
      <c r="D539" s="68"/>
      <c r="E539" s="30"/>
      <c r="F539" s="30"/>
      <c r="G539" s="68"/>
      <c r="H539" s="30"/>
      <c r="M539" s="69"/>
      <c r="N539" s="70"/>
      <c r="O539" s="71"/>
      <c r="P539" s="72"/>
    </row>
    <row r="540" spans="1:16" ht="15.75" customHeight="1">
      <c r="A540" s="30"/>
      <c r="B540" s="30"/>
      <c r="C540" s="30"/>
      <c r="D540" s="68"/>
      <c r="E540" s="30"/>
      <c r="F540" s="30"/>
      <c r="G540" s="68"/>
      <c r="H540" s="30"/>
      <c r="M540" s="69"/>
      <c r="N540" s="70"/>
      <c r="O540" s="71"/>
      <c r="P540" s="72"/>
    </row>
    <row r="541" spans="1:16" ht="15.75" customHeight="1">
      <c r="A541" s="30"/>
      <c r="B541" s="30"/>
      <c r="C541" s="30"/>
      <c r="D541" s="68"/>
      <c r="E541" s="30"/>
      <c r="F541" s="30"/>
      <c r="G541" s="68"/>
      <c r="H541" s="30"/>
      <c r="M541" s="69"/>
      <c r="N541" s="70"/>
      <c r="O541" s="71"/>
      <c r="P541" s="72"/>
    </row>
    <row r="542" spans="1:16" ht="15.75" customHeight="1">
      <c r="A542" s="30"/>
      <c r="B542" s="30"/>
      <c r="C542" s="30"/>
      <c r="D542" s="68"/>
      <c r="E542" s="30"/>
      <c r="F542" s="30"/>
      <c r="G542" s="68"/>
      <c r="H542" s="30"/>
      <c r="M542" s="69"/>
      <c r="N542" s="70"/>
      <c r="O542" s="71"/>
      <c r="P542" s="72"/>
    </row>
    <row r="543" spans="1:16" ht="15.75" customHeight="1">
      <c r="A543" s="30"/>
      <c r="B543" s="30"/>
      <c r="C543" s="30"/>
      <c r="D543" s="68"/>
      <c r="E543" s="30"/>
      <c r="F543" s="30"/>
      <c r="G543" s="68"/>
      <c r="H543" s="30"/>
      <c r="M543" s="69"/>
      <c r="N543" s="70"/>
      <c r="O543" s="71"/>
      <c r="P543" s="72"/>
    </row>
    <row r="544" spans="1:16" ht="15.75" customHeight="1">
      <c r="A544" s="30"/>
      <c r="B544" s="30"/>
      <c r="C544" s="30"/>
      <c r="D544" s="68"/>
      <c r="E544" s="30"/>
      <c r="F544" s="30"/>
      <c r="G544" s="68"/>
      <c r="H544" s="30"/>
      <c r="M544" s="69"/>
      <c r="N544" s="70"/>
      <c r="O544" s="71"/>
      <c r="P544" s="72"/>
    </row>
    <row r="545" spans="1:16" ht="15.75" customHeight="1">
      <c r="A545" s="30"/>
      <c r="B545" s="30"/>
      <c r="C545" s="30"/>
      <c r="D545" s="68"/>
      <c r="E545" s="30"/>
      <c r="F545" s="30"/>
      <c r="G545" s="68"/>
      <c r="H545" s="30"/>
      <c r="M545" s="69"/>
      <c r="N545" s="70"/>
      <c r="O545" s="71"/>
      <c r="P545" s="72"/>
    </row>
    <row r="546" spans="1:16" ht="15.75" customHeight="1">
      <c r="A546" s="30"/>
      <c r="B546" s="30"/>
      <c r="C546" s="30"/>
      <c r="D546" s="68"/>
      <c r="E546" s="30"/>
      <c r="F546" s="30"/>
      <c r="G546" s="68"/>
      <c r="H546" s="30"/>
      <c r="M546" s="69"/>
      <c r="N546" s="70"/>
      <c r="O546" s="71"/>
      <c r="P546" s="72"/>
    </row>
    <row r="547" spans="1:16" ht="15.75" customHeight="1">
      <c r="A547" s="30"/>
      <c r="B547" s="30"/>
      <c r="C547" s="30"/>
      <c r="D547" s="68"/>
      <c r="E547" s="30"/>
      <c r="F547" s="30"/>
      <c r="G547" s="68"/>
      <c r="H547" s="30"/>
      <c r="M547" s="69"/>
      <c r="N547" s="70"/>
      <c r="O547" s="71"/>
      <c r="P547" s="72"/>
    </row>
    <row r="548" spans="1:16" ht="15.75" customHeight="1">
      <c r="A548" s="30"/>
      <c r="B548" s="30"/>
      <c r="C548" s="30"/>
      <c r="D548" s="68"/>
      <c r="E548" s="30"/>
      <c r="F548" s="30"/>
      <c r="G548" s="68"/>
      <c r="H548" s="30"/>
      <c r="M548" s="69"/>
      <c r="N548" s="70"/>
      <c r="O548" s="71"/>
      <c r="P548" s="72"/>
    </row>
    <row r="549" spans="1:16" ht="15.75" customHeight="1">
      <c r="A549" s="30"/>
      <c r="B549" s="30"/>
      <c r="C549" s="30"/>
      <c r="D549" s="68"/>
      <c r="E549" s="30"/>
      <c r="F549" s="30"/>
      <c r="G549" s="68"/>
      <c r="H549" s="30"/>
      <c r="M549" s="69"/>
      <c r="N549" s="70"/>
      <c r="O549" s="71"/>
      <c r="P549" s="72"/>
    </row>
    <row r="550" spans="1:16" ht="15.75" customHeight="1">
      <c r="A550" s="30"/>
      <c r="B550" s="30"/>
      <c r="C550" s="30"/>
      <c r="D550" s="68"/>
      <c r="E550" s="30"/>
      <c r="F550" s="30"/>
      <c r="G550" s="68"/>
      <c r="H550" s="30"/>
      <c r="M550" s="69"/>
      <c r="N550" s="70"/>
      <c r="O550" s="71"/>
      <c r="P550" s="72"/>
    </row>
    <row r="551" spans="1:16" ht="15.75" customHeight="1">
      <c r="A551" s="30"/>
      <c r="B551" s="30"/>
      <c r="C551" s="30"/>
      <c r="D551" s="68"/>
      <c r="E551" s="30"/>
      <c r="F551" s="30"/>
      <c r="G551" s="68"/>
      <c r="H551" s="30"/>
      <c r="M551" s="69"/>
      <c r="N551" s="70"/>
      <c r="O551" s="71"/>
      <c r="P551" s="72"/>
    </row>
    <row r="552" spans="1:16" ht="15.75" customHeight="1">
      <c r="A552" s="30"/>
      <c r="B552" s="30"/>
      <c r="C552" s="30"/>
      <c r="D552" s="68"/>
      <c r="E552" s="30"/>
      <c r="F552" s="30"/>
      <c r="G552" s="68"/>
      <c r="H552" s="30"/>
      <c r="M552" s="69"/>
      <c r="N552" s="70"/>
      <c r="O552" s="71"/>
      <c r="P552" s="72"/>
    </row>
    <row r="553" spans="1:16" ht="15.75" customHeight="1">
      <c r="A553" s="30"/>
      <c r="B553" s="30"/>
      <c r="C553" s="30"/>
      <c r="D553" s="68"/>
      <c r="E553" s="30"/>
      <c r="F553" s="30"/>
      <c r="G553" s="68"/>
      <c r="H553" s="30"/>
      <c r="M553" s="69"/>
      <c r="N553" s="70"/>
      <c r="O553" s="71"/>
      <c r="P553" s="72"/>
    </row>
    <row r="554" spans="1:16" ht="15.75" customHeight="1">
      <c r="A554" s="30"/>
      <c r="B554" s="30"/>
      <c r="C554" s="30"/>
      <c r="D554" s="68"/>
      <c r="E554" s="30"/>
      <c r="F554" s="30"/>
      <c r="G554" s="68"/>
      <c r="H554" s="30"/>
      <c r="M554" s="69"/>
      <c r="N554" s="70"/>
      <c r="O554" s="71"/>
      <c r="P554" s="72"/>
    </row>
    <row r="555" spans="1:16" ht="15.75" customHeight="1">
      <c r="A555" s="30"/>
      <c r="B555" s="30"/>
      <c r="C555" s="30"/>
      <c r="D555" s="68"/>
      <c r="E555" s="30"/>
      <c r="F555" s="30"/>
      <c r="G555" s="68"/>
      <c r="H555" s="30"/>
      <c r="M555" s="69"/>
      <c r="N555" s="70"/>
      <c r="O555" s="71"/>
      <c r="P555" s="72"/>
    </row>
    <row r="556" spans="1:16" ht="15.75" customHeight="1">
      <c r="A556" s="30"/>
      <c r="B556" s="30"/>
      <c r="C556" s="30"/>
      <c r="D556" s="68"/>
      <c r="E556" s="30"/>
      <c r="F556" s="30"/>
      <c r="G556" s="68"/>
      <c r="H556" s="30"/>
      <c r="M556" s="69"/>
      <c r="N556" s="70"/>
      <c r="O556" s="71"/>
      <c r="P556" s="72"/>
    </row>
    <row r="557" spans="1:16" ht="15.75" customHeight="1">
      <c r="A557" s="30"/>
      <c r="B557" s="30"/>
      <c r="C557" s="30"/>
      <c r="D557" s="68"/>
      <c r="E557" s="30"/>
      <c r="F557" s="30"/>
      <c r="G557" s="68"/>
      <c r="H557" s="30"/>
      <c r="M557" s="69"/>
      <c r="N557" s="70"/>
      <c r="O557" s="71"/>
      <c r="P557" s="72"/>
    </row>
    <row r="558" spans="1:16" ht="15.75" customHeight="1">
      <c r="A558" s="30"/>
      <c r="B558" s="30"/>
      <c r="C558" s="30"/>
      <c r="D558" s="68"/>
      <c r="E558" s="30"/>
      <c r="F558" s="30"/>
      <c r="G558" s="68"/>
      <c r="H558" s="30"/>
      <c r="M558" s="69"/>
      <c r="N558" s="70"/>
      <c r="O558" s="71"/>
      <c r="P558" s="72"/>
    </row>
    <row r="559" spans="1:16" ht="15.75" customHeight="1">
      <c r="A559" s="30"/>
      <c r="B559" s="30"/>
      <c r="C559" s="30"/>
      <c r="D559" s="68"/>
      <c r="E559" s="30"/>
      <c r="F559" s="30"/>
      <c r="G559" s="68"/>
      <c r="H559" s="30"/>
      <c r="M559" s="69"/>
      <c r="N559" s="70"/>
      <c r="O559" s="71"/>
      <c r="P559" s="72"/>
    </row>
    <row r="560" spans="1:16" ht="15.75" customHeight="1">
      <c r="A560" s="30"/>
      <c r="B560" s="30"/>
      <c r="C560" s="30"/>
      <c r="D560" s="68"/>
      <c r="E560" s="30"/>
      <c r="F560" s="30"/>
      <c r="G560" s="68"/>
      <c r="H560" s="30"/>
      <c r="M560" s="69"/>
      <c r="N560" s="70"/>
      <c r="O560" s="71"/>
      <c r="P560" s="72"/>
    </row>
    <row r="561" spans="1:16" ht="15.75" customHeight="1">
      <c r="A561" s="30"/>
      <c r="B561" s="30"/>
      <c r="C561" s="30"/>
      <c r="D561" s="68"/>
      <c r="E561" s="30"/>
      <c r="F561" s="30"/>
      <c r="G561" s="68"/>
      <c r="H561" s="30"/>
      <c r="M561" s="69"/>
      <c r="N561" s="70"/>
      <c r="O561" s="71"/>
      <c r="P561" s="72"/>
    </row>
    <row r="562" spans="1:16" ht="15.75" customHeight="1">
      <c r="A562" s="30"/>
      <c r="B562" s="30"/>
      <c r="C562" s="30"/>
      <c r="D562" s="68"/>
      <c r="E562" s="30"/>
      <c r="F562" s="30"/>
      <c r="G562" s="68"/>
      <c r="H562" s="30"/>
      <c r="M562" s="69"/>
      <c r="N562" s="70"/>
      <c r="O562" s="71"/>
      <c r="P562" s="72"/>
    </row>
    <row r="563" spans="1:16" ht="15.75" customHeight="1">
      <c r="A563" s="30"/>
      <c r="B563" s="30"/>
      <c r="C563" s="30"/>
      <c r="D563" s="68"/>
      <c r="E563" s="30"/>
      <c r="F563" s="30"/>
      <c r="G563" s="68"/>
      <c r="H563" s="30"/>
      <c r="M563" s="69"/>
      <c r="N563" s="70"/>
      <c r="O563" s="71"/>
      <c r="P563" s="72"/>
    </row>
    <row r="564" spans="1:16" ht="15.75" customHeight="1">
      <c r="A564" s="30"/>
      <c r="B564" s="30"/>
      <c r="C564" s="30"/>
      <c r="D564" s="68"/>
      <c r="E564" s="30"/>
      <c r="F564" s="30"/>
      <c r="G564" s="68"/>
      <c r="H564" s="30"/>
      <c r="M564" s="69"/>
      <c r="N564" s="70"/>
      <c r="O564" s="71"/>
      <c r="P564" s="72"/>
    </row>
    <row r="565" spans="1:16" ht="15.75" customHeight="1">
      <c r="A565" s="30"/>
      <c r="B565" s="30"/>
      <c r="C565" s="30"/>
      <c r="D565" s="68"/>
      <c r="E565" s="30"/>
      <c r="F565" s="30"/>
      <c r="G565" s="68"/>
      <c r="H565" s="30"/>
      <c r="M565" s="69"/>
      <c r="N565" s="70"/>
      <c r="O565" s="71"/>
      <c r="P565" s="72"/>
    </row>
    <row r="566" spans="1:16" ht="15.75" customHeight="1">
      <c r="A566" s="30"/>
      <c r="B566" s="30"/>
      <c r="C566" s="30"/>
      <c r="D566" s="68"/>
      <c r="E566" s="30"/>
      <c r="F566" s="30"/>
      <c r="G566" s="68"/>
      <c r="H566" s="30"/>
      <c r="M566" s="69"/>
      <c r="N566" s="70"/>
      <c r="O566" s="71"/>
      <c r="P566" s="72"/>
    </row>
    <row r="567" spans="1:16" ht="15.75" customHeight="1">
      <c r="A567" s="30"/>
      <c r="B567" s="30"/>
      <c r="C567" s="30"/>
      <c r="D567" s="68"/>
      <c r="E567" s="30"/>
      <c r="F567" s="30"/>
      <c r="G567" s="68"/>
      <c r="H567" s="30"/>
      <c r="M567" s="69"/>
      <c r="N567" s="70"/>
      <c r="O567" s="71"/>
      <c r="P567" s="72"/>
    </row>
    <row r="568" spans="1:16" ht="15.75" customHeight="1">
      <c r="A568" s="30"/>
      <c r="B568" s="30"/>
      <c r="C568" s="30"/>
      <c r="D568" s="68"/>
      <c r="E568" s="30"/>
      <c r="F568" s="30"/>
      <c r="G568" s="68"/>
      <c r="H568" s="30"/>
      <c r="M568" s="69"/>
      <c r="N568" s="70"/>
      <c r="O568" s="71"/>
      <c r="P568" s="72"/>
    </row>
    <row r="569" spans="1:16" ht="15.75" customHeight="1">
      <c r="A569" s="30"/>
      <c r="B569" s="30"/>
      <c r="C569" s="30"/>
      <c r="D569" s="68"/>
      <c r="E569" s="30"/>
      <c r="F569" s="30"/>
      <c r="G569" s="68"/>
      <c r="H569" s="30"/>
      <c r="M569" s="69"/>
      <c r="N569" s="70"/>
      <c r="O569" s="71"/>
      <c r="P569" s="72"/>
    </row>
    <row r="570" spans="1:16" ht="15.75" customHeight="1">
      <c r="A570" s="30"/>
      <c r="B570" s="30"/>
      <c r="C570" s="30"/>
      <c r="D570" s="68"/>
      <c r="E570" s="30"/>
      <c r="F570" s="30"/>
      <c r="G570" s="68"/>
      <c r="H570" s="30"/>
      <c r="M570" s="69"/>
      <c r="N570" s="70"/>
      <c r="O570" s="71"/>
      <c r="P570" s="72"/>
    </row>
    <row r="571" spans="1:16" ht="15.75" customHeight="1">
      <c r="A571" s="30"/>
      <c r="B571" s="30"/>
      <c r="C571" s="30"/>
      <c r="D571" s="68"/>
      <c r="E571" s="30"/>
      <c r="F571" s="30"/>
      <c r="G571" s="68"/>
      <c r="H571" s="30"/>
      <c r="M571" s="69"/>
      <c r="N571" s="70"/>
      <c r="O571" s="71"/>
      <c r="P571" s="72"/>
    </row>
    <row r="572" spans="1:16" ht="15.75" customHeight="1">
      <c r="A572" s="30"/>
      <c r="B572" s="30"/>
      <c r="C572" s="30"/>
      <c r="D572" s="68"/>
      <c r="E572" s="30"/>
      <c r="F572" s="30"/>
      <c r="G572" s="68"/>
      <c r="H572" s="30"/>
      <c r="M572" s="69"/>
      <c r="N572" s="70"/>
      <c r="O572" s="71"/>
      <c r="P572" s="72"/>
    </row>
    <row r="573" spans="1:16" ht="15.75" customHeight="1">
      <c r="A573" s="30"/>
      <c r="B573" s="30"/>
      <c r="C573" s="30"/>
      <c r="D573" s="68"/>
      <c r="E573" s="30"/>
      <c r="F573" s="30"/>
      <c r="G573" s="68"/>
      <c r="H573" s="30"/>
      <c r="M573" s="69"/>
      <c r="N573" s="70"/>
      <c r="O573" s="71"/>
      <c r="P573" s="72"/>
    </row>
    <row r="574" spans="1:16" ht="15.75" customHeight="1">
      <c r="A574" s="30"/>
      <c r="B574" s="30"/>
      <c r="C574" s="30"/>
      <c r="D574" s="68"/>
      <c r="E574" s="30"/>
      <c r="F574" s="30"/>
      <c r="G574" s="68"/>
      <c r="H574" s="30"/>
      <c r="M574" s="69"/>
      <c r="N574" s="70"/>
      <c r="O574" s="71"/>
      <c r="P574" s="72"/>
    </row>
    <row r="575" spans="1:16" ht="15.75" customHeight="1">
      <c r="A575" s="30"/>
      <c r="B575" s="30"/>
      <c r="C575" s="30"/>
      <c r="D575" s="68"/>
      <c r="E575" s="30"/>
      <c r="F575" s="30"/>
      <c r="G575" s="68"/>
      <c r="H575" s="30"/>
      <c r="M575" s="69"/>
      <c r="N575" s="70"/>
      <c r="O575" s="71"/>
      <c r="P575" s="72"/>
    </row>
    <row r="576" spans="1:16" ht="15.75" customHeight="1">
      <c r="A576" s="30"/>
      <c r="B576" s="30"/>
      <c r="C576" s="30"/>
      <c r="D576" s="68"/>
      <c r="E576" s="30"/>
      <c r="F576" s="30"/>
      <c r="G576" s="68"/>
      <c r="H576" s="30"/>
      <c r="M576" s="69"/>
      <c r="N576" s="70"/>
      <c r="O576" s="71"/>
      <c r="P576" s="72"/>
    </row>
    <row r="577" spans="1:16" ht="15.75" customHeight="1">
      <c r="A577" s="30"/>
      <c r="B577" s="30"/>
      <c r="C577" s="30"/>
      <c r="D577" s="68"/>
      <c r="E577" s="30"/>
      <c r="F577" s="30"/>
      <c r="G577" s="68"/>
      <c r="H577" s="30"/>
      <c r="M577" s="69"/>
      <c r="N577" s="70"/>
      <c r="O577" s="71"/>
      <c r="P577" s="72"/>
    </row>
    <row r="578" spans="1:16" ht="15.75" customHeight="1">
      <c r="A578" s="30"/>
      <c r="B578" s="30"/>
      <c r="C578" s="30"/>
      <c r="D578" s="68"/>
      <c r="E578" s="30"/>
      <c r="F578" s="30"/>
      <c r="G578" s="68"/>
      <c r="H578" s="30"/>
      <c r="M578" s="69"/>
      <c r="N578" s="70"/>
      <c r="O578" s="71"/>
      <c r="P578" s="72"/>
    </row>
    <row r="579" spans="1:16" ht="15.75" customHeight="1">
      <c r="A579" s="30"/>
      <c r="B579" s="30"/>
      <c r="C579" s="30"/>
      <c r="D579" s="68"/>
      <c r="E579" s="30"/>
      <c r="F579" s="30"/>
      <c r="G579" s="68"/>
      <c r="H579" s="30"/>
      <c r="M579" s="69"/>
      <c r="N579" s="70"/>
      <c r="O579" s="71"/>
      <c r="P579" s="72"/>
    </row>
    <row r="580" spans="1:16" ht="15.75" customHeight="1">
      <c r="A580" s="30"/>
      <c r="B580" s="30"/>
      <c r="C580" s="30"/>
      <c r="D580" s="68"/>
      <c r="E580" s="30"/>
      <c r="F580" s="30"/>
      <c r="G580" s="68"/>
      <c r="H580" s="30"/>
      <c r="M580" s="69"/>
      <c r="N580" s="70"/>
      <c r="O580" s="71"/>
      <c r="P580" s="72"/>
    </row>
    <row r="581" spans="1:16" ht="15.75" customHeight="1">
      <c r="A581" s="30"/>
      <c r="B581" s="30"/>
      <c r="C581" s="30"/>
      <c r="D581" s="68"/>
      <c r="E581" s="30"/>
      <c r="F581" s="30"/>
      <c r="G581" s="68"/>
      <c r="H581" s="30"/>
      <c r="M581" s="69"/>
      <c r="N581" s="70"/>
      <c r="O581" s="71"/>
      <c r="P581" s="72"/>
    </row>
    <row r="582" spans="1:16" ht="15.75" customHeight="1">
      <c r="A582" s="30"/>
      <c r="B582" s="30"/>
      <c r="C582" s="30"/>
      <c r="D582" s="68"/>
      <c r="E582" s="30"/>
      <c r="F582" s="30"/>
      <c r="G582" s="68"/>
      <c r="H582" s="30"/>
      <c r="M582" s="69"/>
      <c r="N582" s="70"/>
      <c r="O582" s="71"/>
      <c r="P582" s="72"/>
    </row>
    <row r="583" spans="1:16" ht="15.75" customHeight="1">
      <c r="A583" s="30"/>
      <c r="B583" s="30"/>
      <c r="C583" s="30"/>
      <c r="D583" s="68"/>
      <c r="E583" s="30"/>
      <c r="F583" s="30"/>
      <c r="G583" s="68"/>
      <c r="H583" s="30"/>
      <c r="M583" s="69"/>
      <c r="N583" s="70"/>
      <c r="O583" s="71"/>
      <c r="P583" s="72"/>
    </row>
    <row r="584" spans="1:16" ht="15.75" customHeight="1">
      <c r="A584" s="30"/>
      <c r="B584" s="30"/>
      <c r="C584" s="30"/>
      <c r="D584" s="68"/>
      <c r="E584" s="30"/>
      <c r="F584" s="30"/>
      <c r="G584" s="68"/>
      <c r="H584" s="30"/>
      <c r="M584" s="69"/>
      <c r="N584" s="70"/>
      <c r="O584" s="71"/>
      <c r="P584" s="72"/>
    </row>
    <row r="585" spans="1:16" ht="15.75" customHeight="1">
      <c r="A585" s="30"/>
      <c r="B585" s="30"/>
      <c r="C585" s="30"/>
      <c r="D585" s="68"/>
      <c r="E585" s="30"/>
      <c r="F585" s="30"/>
      <c r="G585" s="68"/>
      <c r="H585" s="30"/>
      <c r="M585" s="69"/>
      <c r="N585" s="70"/>
      <c r="O585" s="71"/>
      <c r="P585" s="72"/>
    </row>
    <row r="586" spans="1:16" ht="15.75" customHeight="1">
      <c r="A586" s="30"/>
      <c r="B586" s="30"/>
      <c r="C586" s="30"/>
      <c r="D586" s="68"/>
      <c r="E586" s="30"/>
      <c r="F586" s="30"/>
      <c r="G586" s="68"/>
      <c r="H586" s="30"/>
      <c r="M586" s="69"/>
      <c r="N586" s="70"/>
      <c r="O586" s="71"/>
      <c r="P586" s="72"/>
    </row>
    <row r="587" spans="1:16" ht="15.75" customHeight="1">
      <c r="A587" s="30"/>
      <c r="B587" s="30"/>
      <c r="C587" s="30"/>
      <c r="D587" s="68"/>
      <c r="E587" s="30"/>
      <c r="F587" s="30"/>
      <c r="G587" s="68"/>
      <c r="H587" s="30"/>
      <c r="M587" s="69"/>
      <c r="N587" s="70"/>
      <c r="O587" s="71"/>
      <c r="P587" s="72"/>
    </row>
    <row r="588" spans="1:16" ht="15.75" customHeight="1">
      <c r="A588" s="30"/>
      <c r="B588" s="30"/>
      <c r="C588" s="30"/>
      <c r="D588" s="68"/>
      <c r="E588" s="30"/>
      <c r="F588" s="30"/>
      <c r="G588" s="68"/>
      <c r="H588" s="30"/>
      <c r="M588" s="69"/>
      <c r="N588" s="70"/>
      <c r="O588" s="71"/>
      <c r="P588" s="72"/>
    </row>
    <row r="589" spans="1:16" ht="15.75" customHeight="1">
      <c r="A589" s="30"/>
      <c r="B589" s="30"/>
      <c r="C589" s="30"/>
      <c r="D589" s="68"/>
      <c r="E589" s="30"/>
      <c r="F589" s="30"/>
      <c r="G589" s="68"/>
      <c r="H589" s="30"/>
      <c r="M589" s="69"/>
      <c r="N589" s="70"/>
      <c r="O589" s="71"/>
      <c r="P589" s="72"/>
    </row>
    <row r="590" spans="1:16" ht="15.75" customHeight="1">
      <c r="A590" s="30"/>
      <c r="B590" s="30"/>
      <c r="C590" s="30"/>
      <c r="D590" s="68"/>
      <c r="E590" s="30"/>
      <c r="F590" s="30"/>
      <c r="G590" s="68"/>
      <c r="H590" s="30"/>
      <c r="M590" s="69"/>
      <c r="N590" s="70"/>
      <c r="O590" s="71"/>
      <c r="P590" s="72"/>
    </row>
    <row r="591" spans="1:16" ht="15.75" customHeight="1">
      <c r="A591" s="30"/>
      <c r="B591" s="30"/>
      <c r="C591" s="30"/>
      <c r="D591" s="68"/>
      <c r="E591" s="30"/>
      <c r="F591" s="30"/>
      <c r="G591" s="68"/>
      <c r="H591" s="30"/>
      <c r="M591" s="69"/>
      <c r="N591" s="70"/>
      <c r="O591" s="71"/>
      <c r="P591" s="72"/>
    </row>
    <row r="592" spans="1:16" ht="15.75" customHeight="1">
      <c r="A592" s="30"/>
      <c r="B592" s="30"/>
      <c r="C592" s="30"/>
      <c r="D592" s="68"/>
      <c r="E592" s="30"/>
      <c r="F592" s="30"/>
      <c r="G592" s="68"/>
      <c r="H592" s="30"/>
      <c r="M592" s="69"/>
      <c r="N592" s="70"/>
      <c r="O592" s="71"/>
      <c r="P592" s="72"/>
    </row>
    <row r="593" spans="1:16" ht="15.75" customHeight="1">
      <c r="A593" s="30"/>
      <c r="B593" s="30"/>
      <c r="C593" s="30"/>
      <c r="D593" s="68"/>
      <c r="E593" s="30"/>
      <c r="F593" s="30"/>
      <c r="G593" s="68"/>
      <c r="H593" s="30"/>
      <c r="M593" s="69"/>
      <c r="N593" s="70"/>
      <c r="O593" s="71"/>
      <c r="P593" s="72"/>
    </row>
    <row r="594" spans="1:16" ht="15.75" customHeight="1">
      <c r="A594" s="30"/>
      <c r="B594" s="30"/>
      <c r="C594" s="30"/>
      <c r="D594" s="68"/>
      <c r="E594" s="30"/>
      <c r="F594" s="30"/>
      <c r="G594" s="68"/>
      <c r="H594" s="30"/>
      <c r="M594" s="69"/>
      <c r="N594" s="70"/>
      <c r="O594" s="71"/>
      <c r="P594" s="72"/>
    </row>
    <row r="595" spans="1:16" ht="15.75" customHeight="1">
      <c r="A595" s="30"/>
      <c r="B595" s="30"/>
      <c r="C595" s="30"/>
      <c r="D595" s="68"/>
      <c r="E595" s="30"/>
      <c r="F595" s="30"/>
      <c r="G595" s="68"/>
      <c r="H595" s="30"/>
      <c r="M595" s="69"/>
      <c r="N595" s="70"/>
      <c r="O595" s="71"/>
      <c r="P595" s="72"/>
    </row>
    <row r="596" spans="1:16" ht="15.75" customHeight="1">
      <c r="A596" s="30"/>
      <c r="B596" s="30"/>
      <c r="C596" s="30"/>
      <c r="D596" s="68"/>
      <c r="E596" s="30"/>
      <c r="F596" s="30"/>
      <c r="G596" s="68"/>
      <c r="H596" s="30"/>
      <c r="M596" s="69"/>
      <c r="N596" s="70"/>
      <c r="O596" s="71"/>
      <c r="P596" s="72"/>
    </row>
    <row r="597" spans="1:16" ht="15.75" customHeight="1">
      <c r="A597" s="30"/>
      <c r="B597" s="30"/>
      <c r="C597" s="30"/>
      <c r="D597" s="68"/>
      <c r="E597" s="30"/>
      <c r="F597" s="30"/>
      <c r="G597" s="68"/>
      <c r="H597" s="30"/>
      <c r="M597" s="69"/>
      <c r="N597" s="70"/>
      <c r="O597" s="71"/>
      <c r="P597" s="72"/>
    </row>
    <row r="598" spans="1:16" ht="15.75" customHeight="1">
      <c r="A598" s="30"/>
      <c r="B598" s="30"/>
      <c r="C598" s="30"/>
      <c r="D598" s="68"/>
      <c r="E598" s="30"/>
      <c r="F598" s="30"/>
      <c r="G598" s="68"/>
      <c r="H598" s="30"/>
      <c r="M598" s="69"/>
      <c r="N598" s="70"/>
      <c r="O598" s="71"/>
      <c r="P598" s="72"/>
    </row>
    <row r="599" spans="1:16" ht="15.75" customHeight="1">
      <c r="A599" s="30"/>
      <c r="B599" s="30"/>
      <c r="C599" s="30"/>
      <c r="D599" s="68"/>
      <c r="E599" s="30"/>
      <c r="F599" s="30"/>
      <c r="G599" s="68"/>
      <c r="H599" s="30"/>
      <c r="M599" s="69"/>
      <c r="N599" s="70"/>
      <c r="O599" s="71"/>
      <c r="P599" s="72"/>
    </row>
    <row r="600" spans="1:16" ht="15.75" customHeight="1">
      <c r="A600" s="30"/>
      <c r="B600" s="30"/>
      <c r="C600" s="30"/>
      <c r="D600" s="68"/>
      <c r="E600" s="30"/>
      <c r="F600" s="30"/>
      <c r="G600" s="68"/>
      <c r="H600" s="30"/>
      <c r="M600" s="69"/>
      <c r="N600" s="70"/>
      <c r="O600" s="71"/>
      <c r="P600" s="72"/>
    </row>
    <row r="601" spans="1:16" ht="15.75" customHeight="1">
      <c r="A601" s="30"/>
      <c r="B601" s="30"/>
      <c r="C601" s="30"/>
      <c r="D601" s="68"/>
      <c r="E601" s="30"/>
      <c r="F601" s="30"/>
      <c r="G601" s="68"/>
      <c r="H601" s="30"/>
      <c r="M601" s="69"/>
      <c r="N601" s="70"/>
      <c r="O601" s="71"/>
      <c r="P601" s="72"/>
    </row>
    <row r="602" spans="1:16" ht="15.75" customHeight="1">
      <c r="A602" s="30"/>
      <c r="B602" s="30"/>
      <c r="C602" s="30"/>
      <c r="D602" s="68"/>
      <c r="E602" s="30"/>
      <c r="F602" s="30"/>
      <c r="G602" s="68"/>
      <c r="H602" s="30"/>
      <c r="M602" s="69"/>
      <c r="N602" s="70"/>
      <c r="O602" s="71"/>
      <c r="P602" s="72"/>
    </row>
    <row r="603" spans="1:16" ht="15.75" customHeight="1">
      <c r="A603" s="30"/>
      <c r="B603" s="30"/>
      <c r="C603" s="30"/>
      <c r="D603" s="68"/>
      <c r="E603" s="30"/>
      <c r="F603" s="30"/>
      <c r="G603" s="68"/>
      <c r="H603" s="30"/>
      <c r="M603" s="69"/>
      <c r="N603" s="70"/>
      <c r="O603" s="71"/>
      <c r="P603" s="72"/>
    </row>
    <row r="604" spans="1:16" ht="15.75" customHeight="1">
      <c r="A604" s="30"/>
      <c r="B604" s="30"/>
      <c r="C604" s="30"/>
      <c r="D604" s="68"/>
      <c r="E604" s="30"/>
      <c r="F604" s="30"/>
      <c r="G604" s="68"/>
      <c r="H604" s="30"/>
      <c r="M604" s="69"/>
      <c r="N604" s="70"/>
      <c r="O604" s="71"/>
      <c r="P604" s="72"/>
    </row>
    <row r="605" spans="1:16" ht="15.75" customHeight="1">
      <c r="A605" s="30"/>
      <c r="B605" s="30"/>
      <c r="C605" s="30"/>
      <c r="D605" s="68"/>
      <c r="E605" s="30"/>
      <c r="F605" s="30"/>
      <c r="G605" s="68"/>
      <c r="H605" s="30"/>
      <c r="M605" s="69"/>
      <c r="N605" s="70"/>
      <c r="O605" s="71"/>
      <c r="P605" s="72"/>
    </row>
    <row r="606" spans="1:16" ht="15.75" customHeight="1">
      <c r="A606" s="30"/>
      <c r="B606" s="30"/>
      <c r="C606" s="30"/>
      <c r="D606" s="68"/>
      <c r="E606" s="30"/>
      <c r="F606" s="30"/>
      <c r="G606" s="68"/>
      <c r="H606" s="30"/>
      <c r="M606" s="69"/>
      <c r="N606" s="70"/>
      <c r="O606" s="71"/>
      <c r="P606" s="72"/>
    </row>
    <row r="607" spans="1:16" ht="15.75" customHeight="1">
      <c r="A607" s="30"/>
      <c r="B607" s="30"/>
      <c r="C607" s="30"/>
      <c r="D607" s="68"/>
      <c r="E607" s="30"/>
      <c r="F607" s="30"/>
      <c r="G607" s="68"/>
      <c r="H607" s="30"/>
      <c r="M607" s="69"/>
      <c r="N607" s="70"/>
      <c r="O607" s="71"/>
      <c r="P607" s="72"/>
    </row>
    <row r="608" spans="1:16" ht="15.75" customHeight="1">
      <c r="A608" s="30"/>
      <c r="B608" s="30"/>
      <c r="C608" s="30"/>
      <c r="D608" s="68"/>
      <c r="E608" s="30"/>
      <c r="F608" s="30"/>
      <c r="G608" s="68"/>
      <c r="H608" s="30"/>
      <c r="M608" s="69"/>
      <c r="N608" s="70"/>
      <c r="O608" s="71"/>
      <c r="P608" s="72"/>
    </row>
    <row r="609" spans="1:16" ht="15.75" customHeight="1">
      <c r="A609" s="30"/>
      <c r="B609" s="30"/>
      <c r="C609" s="30"/>
      <c r="D609" s="68"/>
      <c r="E609" s="30"/>
      <c r="F609" s="30"/>
      <c r="G609" s="68"/>
      <c r="H609" s="30"/>
      <c r="M609" s="69"/>
      <c r="N609" s="70"/>
      <c r="O609" s="71"/>
      <c r="P609" s="72"/>
    </row>
    <row r="610" spans="1:16" ht="15.75" customHeight="1">
      <c r="A610" s="30"/>
      <c r="B610" s="30"/>
      <c r="C610" s="30"/>
      <c r="D610" s="68"/>
      <c r="E610" s="30"/>
      <c r="F610" s="30"/>
      <c r="G610" s="68"/>
      <c r="H610" s="30"/>
      <c r="M610" s="69"/>
      <c r="N610" s="70"/>
      <c r="O610" s="71"/>
      <c r="P610" s="72"/>
    </row>
    <row r="611" spans="1:16" ht="15.75" customHeight="1">
      <c r="A611" s="30"/>
      <c r="B611" s="30"/>
      <c r="C611" s="30"/>
      <c r="D611" s="68"/>
      <c r="E611" s="30"/>
      <c r="F611" s="30"/>
      <c r="G611" s="68"/>
      <c r="H611" s="30"/>
      <c r="M611" s="69"/>
      <c r="N611" s="70"/>
      <c r="O611" s="71"/>
      <c r="P611" s="72"/>
    </row>
    <row r="612" spans="1:16" ht="15.75" customHeight="1">
      <c r="A612" s="30"/>
      <c r="B612" s="30"/>
      <c r="C612" s="30"/>
      <c r="D612" s="68"/>
      <c r="E612" s="30"/>
      <c r="F612" s="30"/>
      <c r="G612" s="68"/>
      <c r="H612" s="30"/>
      <c r="M612" s="69"/>
      <c r="N612" s="70"/>
      <c r="O612" s="71"/>
      <c r="P612" s="72"/>
    </row>
    <row r="613" spans="1:16" ht="15.75" customHeight="1">
      <c r="A613" s="30"/>
      <c r="B613" s="30"/>
      <c r="C613" s="30"/>
      <c r="D613" s="68"/>
      <c r="E613" s="30"/>
      <c r="F613" s="30"/>
      <c r="G613" s="68"/>
      <c r="H613" s="30"/>
      <c r="M613" s="69"/>
      <c r="N613" s="70"/>
      <c r="O613" s="71"/>
      <c r="P613" s="72"/>
    </row>
    <row r="614" spans="1:16" ht="15.75" customHeight="1">
      <c r="A614" s="30"/>
      <c r="B614" s="30"/>
      <c r="C614" s="30"/>
      <c r="D614" s="68"/>
      <c r="E614" s="30"/>
      <c r="F614" s="30"/>
      <c r="G614" s="68"/>
      <c r="H614" s="30"/>
      <c r="M614" s="69"/>
      <c r="N614" s="70"/>
      <c r="O614" s="71"/>
      <c r="P614" s="72"/>
    </row>
    <row r="615" spans="1:16" ht="15.75" customHeight="1">
      <c r="A615" s="30"/>
      <c r="B615" s="30"/>
      <c r="C615" s="30"/>
      <c r="D615" s="68"/>
      <c r="E615" s="30"/>
      <c r="F615" s="30"/>
      <c r="G615" s="68"/>
      <c r="H615" s="30"/>
      <c r="M615" s="69"/>
      <c r="N615" s="70"/>
      <c r="O615" s="71"/>
      <c r="P615" s="72"/>
    </row>
    <row r="616" spans="1:16" ht="15.75" customHeight="1">
      <c r="A616" s="30"/>
      <c r="B616" s="30"/>
      <c r="C616" s="30"/>
      <c r="D616" s="68"/>
      <c r="E616" s="30"/>
      <c r="F616" s="30"/>
      <c r="G616" s="68"/>
      <c r="H616" s="30"/>
      <c r="M616" s="69"/>
      <c r="N616" s="70"/>
      <c r="O616" s="71"/>
      <c r="P616" s="72"/>
    </row>
    <row r="617" spans="1:16" ht="15.75" customHeight="1">
      <c r="A617" s="30"/>
      <c r="B617" s="30"/>
      <c r="C617" s="30"/>
      <c r="D617" s="68"/>
      <c r="E617" s="30"/>
      <c r="F617" s="30"/>
      <c r="G617" s="68"/>
      <c r="H617" s="30"/>
      <c r="M617" s="69"/>
      <c r="N617" s="70"/>
      <c r="O617" s="71"/>
      <c r="P617" s="72"/>
    </row>
    <row r="618" spans="1:16" ht="15.75" customHeight="1">
      <c r="A618" s="30"/>
      <c r="B618" s="30"/>
      <c r="C618" s="30"/>
      <c r="D618" s="68"/>
      <c r="E618" s="30"/>
      <c r="F618" s="30"/>
      <c r="G618" s="68"/>
      <c r="H618" s="30"/>
      <c r="M618" s="69"/>
      <c r="N618" s="70"/>
      <c r="O618" s="71"/>
      <c r="P618" s="72"/>
    </row>
    <row r="619" spans="1:16" ht="15.75" customHeight="1">
      <c r="A619" s="30"/>
      <c r="B619" s="30"/>
      <c r="C619" s="30"/>
      <c r="D619" s="68"/>
      <c r="E619" s="30"/>
      <c r="F619" s="30"/>
      <c r="G619" s="68"/>
      <c r="H619" s="30"/>
      <c r="M619" s="69"/>
      <c r="N619" s="70"/>
      <c r="O619" s="71"/>
      <c r="P619" s="72"/>
    </row>
    <row r="620" spans="1:16" ht="15.75" customHeight="1">
      <c r="A620" s="30"/>
      <c r="B620" s="30"/>
      <c r="C620" s="30"/>
      <c r="D620" s="68"/>
      <c r="E620" s="30"/>
      <c r="F620" s="30"/>
      <c r="G620" s="68"/>
      <c r="H620" s="30"/>
      <c r="M620" s="69"/>
      <c r="N620" s="70"/>
      <c r="O620" s="71"/>
      <c r="P620" s="72"/>
    </row>
    <row r="621" spans="1:16" ht="15.75" customHeight="1">
      <c r="A621" s="30"/>
      <c r="B621" s="30"/>
      <c r="C621" s="30"/>
      <c r="D621" s="68"/>
      <c r="E621" s="30"/>
      <c r="F621" s="30"/>
      <c r="G621" s="68"/>
      <c r="H621" s="30"/>
      <c r="M621" s="69"/>
      <c r="N621" s="70"/>
      <c r="O621" s="71"/>
      <c r="P621" s="72"/>
    </row>
    <row r="622" spans="1:16" ht="15.75" customHeight="1">
      <c r="A622" s="30"/>
      <c r="B622" s="30"/>
      <c r="C622" s="30"/>
      <c r="D622" s="68"/>
      <c r="E622" s="30"/>
      <c r="F622" s="30"/>
      <c r="G622" s="68"/>
      <c r="H622" s="30"/>
      <c r="M622" s="69"/>
      <c r="N622" s="70"/>
      <c r="O622" s="71"/>
      <c r="P622" s="72"/>
    </row>
    <row r="623" spans="1:16" ht="15.75" customHeight="1">
      <c r="A623" s="30"/>
      <c r="B623" s="30"/>
      <c r="C623" s="30"/>
      <c r="D623" s="68"/>
      <c r="E623" s="30"/>
      <c r="F623" s="30"/>
      <c r="G623" s="68"/>
      <c r="H623" s="30"/>
      <c r="M623" s="69"/>
      <c r="N623" s="70"/>
      <c r="O623" s="71"/>
      <c r="P623" s="72"/>
    </row>
    <row r="624" spans="1:16" ht="15.75" customHeight="1">
      <c r="A624" s="30"/>
      <c r="B624" s="30"/>
      <c r="C624" s="30"/>
      <c r="D624" s="68"/>
      <c r="E624" s="30"/>
      <c r="F624" s="30"/>
      <c r="G624" s="68"/>
      <c r="H624" s="30"/>
      <c r="M624" s="69"/>
      <c r="N624" s="70"/>
      <c r="O624" s="71"/>
      <c r="P624" s="72"/>
    </row>
    <row r="625" spans="1:16" ht="15.75" customHeight="1">
      <c r="A625" s="30"/>
      <c r="B625" s="30"/>
      <c r="C625" s="30"/>
      <c r="D625" s="68"/>
      <c r="E625" s="30"/>
      <c r="F625" s="30"/>
      <c r="G625" s="68"/>
      <c r="H625" s="30"/>
      <c r="M625" s="69"/>
      <c r="N625" s="70"/>
      <c r="O625" s="71"/>
      <c r="P625" s="72"/>
    </row>
    <row r="626" spans="1:16" ht="15.75" customHeight="1">
      <c r="A626" s="30"/>
      <c r="B626" s="30"/>
      <c r="C626" s="30"/>
      <c r="D626" s="68"/>
      <c r="E626" s="30"/>
      <c r="F626" s="30"/>
      <c r="G626" s="68"/>
      <c r="H626" s="30"/>
      <c r="M626" s="69"/>
      <c r="N626" s="70"/>
      <c r="O626" s="71"/>
      <c r="P626" s="72"/>
    </row>
    <row r="627" spans="1:16" ht="15.75" customHeight="1">
      <c r="A627" s="30"/>
      <c r="B627" s="30"/>
      <c r="C627" s="30"/>
      <c r="D627" s="68"/>
      <c r="E627" s="30"/>
      <c r="F627" s="30"/>
      <c r="G627" s="68"/>
      <c r="H627" s="30"/>
      <c r="M627" s="69"/>
      <c r="N627" s="70"/>
      <c r="O627" s="71"/>
      <c r="P627" s="72"/>
    </row>
    <row r="628" spans="1:16" ht="15.75" customHeight="1">
      <c r="A628" s="30"/>
      <c r="B628" s="30"/>
      <c r="C628" s="30"/>
      <c r="D628" s="68"/>
      <c r="E628" s="30"/>
      <c r="F628" s="30"/>
      <c r="G628" s="68"/>
      <c r="H628" s="30"/>
      <c r="M628" s="69"/>
      <c r="N628" s="70"/>
      <c r="O628" s="71"/>
      <c r="P628" s="72"/>
    </row>
    <row r="629" spans="1:16" ht="15.75" customHeight="1">
      <c r="A629" s="30"/>
      <c r="B629" s="30"/>
      <c r="C629" s="30"/>
      <c r="D629" s="68"/>
      <c r="E629" s="30"/>
      <c r="F629" s="30"/>
      <c r="G629" s="68"/>
      <c r="H629" s="30"/>
      <c r="M629" s="69"/>
      <c r="N629" s="70"/>
      <c r="O629" s="71"/>
      <c r="P629" s="72"/>
    </row>
    <row r="630" spans="1:16" ht="15.75" customHeight="1">
      <c r="A630" s="30"/>
      <c r="B630" s="30"/>
      <c r="C630" s="30"/>
      <c r="D630" s="68"/>
      <c r="E630" s="30"/>
      <c r="F630" s="30"/>
      <c r="G630" s="68"/>
      <c r="H630" s="30"/>
      <c r="M630" s="69"/>
      <c r="N630" s="70"/>
      <c r="O630" s="71"/>
      <c r="P630" s="72"/>
    </row>
    <row r="631" spans="1:16" ht="15.75" customHeight="1">
      <c r="A631" s="30"/>
      <c r="B631" s="30"/>
      <c r="C631" s="30"/>
      <c r="D631" s="68"/>
      <c r="E631" s="30"/>
      <c r="F631" s="30"/>
      <c r="G631" s="68"/>
      <c r="H631" s="30"/>
      <c r="M631" s="69"/>
      <c r="N631" s="70"/>
      <c r="O631" s="71"/>
      <c r="P631" s="72"/>
    </row>
    <row r="632" spans="1:16" ht="15.75" customHeight="1">
      <c r="A632" s="30"/>
      <c r="B632" s="30"/>
      <c r="C632" s="30"/>
      <c r="D632" s="68"/>
      <c r="E632" s="30"/>
      <c r="F632" s="30"/>
      <c r="G632" s="68"/>
      <c r="H632" s="30"/>
      <c r="M632" s="69"/>
      <c r="N632" s="70"/>
      <c r="O632" s="71"/>
      <c r="P632" s="72"/>
    </row>
    <row r="633" spans="1:16" ht="15.75" customHeight="1">
      <c r="A633" s="30"/>
      <c r="B633" s="30"/>
      <c r="C633" s="30"/>
      <c r="D633" s="68"/>
      <c r="E633" s="30"/>
      <c r="F633" s="30"/>
      <c r="G633" s="68"/>
      <c r="H633" s="30"/>
      <c r="M633" s="69"/>
      <c r="N633" s="70"/>
      <c r="O633" s="71"/>
      <c r="P633" s="72"/>
    </row>
    <row r="634" spans="1:16" ht="15.75" customHeight="1">
      <c r="A634" s="30"/>
      <c r="B634" s="30"/>
      <c r="C634" s="30"/>
      <c r="D634" s="68"/>
      <c r="E634" s="30"/>
      <c r="F634" s="30"/>
      <c r="G634" s="68"/>
      <c r="H634" s="30"/>
      <c r="M634" s="69"/>
      <c r="N634" s="70"/>
      <c r="O634" s="71"/>
      <c r="P634" s="72"/>
    </row>
    <row r="635" spans="1:16" ht="15.75" customHeight="1">
      <c r="A635" s="30"/>
      <c r="B635" s="30"/>
      <c r="C635" s="30"/>
      <c r="D635" s="68"/>
      <c r="E635" s="30"/>
      <c r="F635" s="30"/>
      <c r="G635" s="68"/>
      <c r="H635" s="30"/>
      <c r="M635" s="69"/>
      <c r="N635" s="70"/>
      <c r="O635" s="71"/>
      <c r="P635" s="72"/>
    </row>
    <row r="636" spans="1:16" ht="15.75" customHeight="1">
      <c r="A636" s="30"/>
      <c r="B636" s="30"/>
      <c r="C636" s="30"/>
      <c r="D636" s="68"/>
      <c r="E636" s="30"/>
      <c r="F636" s="30"/>
      <c r="G636" s="68"/>
      <c r="H636" s="30"/>
      <c r="M636" s="69"/>
      <c r="N636" s="70"/>
      <c r="O636" s="71"/>
      <c r="P636" s="72"/>
    </row>
    <row r="637" spans="1:16" ht="15.75" customHeight="1">
      <c r="A637" s="30"/>
      <c r="B637" s="30"/>
      <c r="C637" s="30"/>
      <c r="D637" s="68"/>
      <c r="E637" s="30"/>
      <c r="F637" s="30"/>
      <c r="G637" s="68"/>
      <c r="H637" s="30"/>
      <c r="M637" s="69"/>
      <c r="N637" s="70"/>
      <c r="O637" s="71"/>
      <c r="P637" s="72"/>
    </row>
    <row r="638" spans="1:16" ht="15.75" customHeight="1">
      <c r="A638" s="30"/>
      <c r="B638" s="30"/>
      <c r="C638" s="30"/>
      <c r="D638" s="68"/>
      <c r="E638" s="30"/>
      <c r="F638" s="30"/>
      <c r="G638" s="68"/>
      <c r="H638" s="30"/>
      <c r="M638" s="69"/>
      <c r="N638" s="70"/>
      <c r="O638" s="71"/>
      <c r="P638" s="72"/>
    </row>
    <row r="639" spans="1:16" ht="15.75" customHeight="1">
      <c r="A639" s="30"/>
      <c r="B639" s="30"/>
      <c r="C639" s="30"/>
      <c r="D639" s="68"/>
      <c r="E639" s="30"/>
      <c r="F639" s="30"/>
      <c r="G639" s="68"/>
      <c r="H639" s="30"/>
      <c r="M639" s="69"/>
      <c r="N639" s="70"/>
      <c r="O639" s="71"/>
      <c r="P639" s="72"/>
    </row>
    <row r="640" spans="1:16" ht="15.75" customHeight="1">
      <c r="A640" s="30"/>
      <c r="B640" s="30"/>
      <c r="C640" s="30"/>
      <c r="D640" s="68"/>
      <c r="E640" s="30"/>
      <c r="F640" s="30"/>
      <c r="G640" s="68"/>
      <c r="H640" s="30"/>
      <c r="M640" s="69"/>
      <c r="N640" s="70"/>
      <c r="O640" s="71"/>
      <c r="P640" s="72"/>
    </row>
    <row r="641" spans="1:16" ht="15.75" customHeight="1">
      <c r="A641" s="30"/>
      <c r="B641" s="30"/>
      <c r="C641" s="30"/>
      <c r="D641" s="68"/>
      <c r="E641" s="30"/>
      <c r="F641" s="30"/>
      <c r="G641" s="68"/>
      <c r="H641" s="30"/>
      <c r="M641" s="69"/>
      <c r="N641" s="70"/>
      <c r="O641" s="71"/>
      <c r="P641" s="72"/>
    </row>
    <row r="642" spans="1:16" ht="15.75" customHeight="1">
      <c r="A642" s="30"/>
      <c r="B642" s="30"/>
      <c r="C642" s="30"/>
      <c r="D642" s="68"/>
      <c r="E642" s="30"/>
      <c r="F642" s="30"/>
      <c r="G642" s="68"/>
      <c r="H642" s="30"/>
      <c r="M642" s="69"/>
      <c r="N642" s="70"/>
      <c r="O642" s="71"/>
      <c r="P642" s="72"/>
    </row>
    <row r="643" spans="1:16" ht="15.75" customHeight="1">
      <c r="A643" s="30"/>
      <c r="B643" s="30"/>
      <c r="C643" s="30"/>
      <c r="D643" s="68"/>
      <c r="E643" s="30"/>
      <c r="F643" s="30"/>
      <c r="G643" s="68"/>
      <c r="H643" s="30"/>
      <c r="M643" s="69"/>
      <c r="N643" s="70"/>
      <c r="O643" s="71"/>
      <c r="P643" s="72"/>
    </row>
    <row r="644" spans="1:16" ht="15.75" customHeight="1">
      <c r="A644" s="30"/>
      <c r="B644" s="30"/>
      <c r="C644" s="30"/>
      <c r="D644" s="68"/>
      <c r="E644" s="30"/>
      <c r="F644" s="30"/>
      <c r="G644" s="68"/>
      <c r="H644" s="30"/>
      <c r="M644" s="69"/>
      <c r="N644" s="70"/>
      <c r="O644" s="71"/>
      <c r="P644" s="72"/>
    </row>
    <row r="645" spans="1:16" ht="15.75" customHeight="1">
      <c r="A645" s="30"/>
      <c r="B645" s="30"/>
      <c r="C645" s="30"/>
      <c r="D645" s="68"/>
      <c r="E645" s="30"/>
      <c r="F645" s="30"/>
      <c r="G645" s="68"/>
      <c r="H645" s="30"/>
      <c r="M645" s="69"/>
      <c r="N645" s="70"/>
      <c r="O645" s="71"/>
      <c r="P645" s="72"/>
    </row>
    <row r="646" spans="1:16" ht="15.75" customHeight="1">
      <c r="A646" s="30"/>
      <c r="B646" s="30"/>
      <c r="C646" s="30"/>
      <c r="D646" s="68"/>
      <c r="E646" s="30"/>
      <c r="F646" s="30"/>
      <c r="G646" s="68"/>
      <c r="H646" s="30"/>
      <c r="M646" s="69"/>
      <c r="N646" s="70"/>
      <c r="O646" s="71"/>
      <c r="P646" s="72"/>
    </row>
    <row r="647" spans="1:16" ht="15.75" customHeight="1">
      <c r="A647" s="30"/>
      <c r="B647" s="30"/>
      <c r="C647" s="30"/>
      <c r="D647" s="68"/>
      <c r="E647" s="30"/>
      <c r="F647" s="30"/>
      <c r="G647" s="68"/>
      <c r="H647" s="30"/>
      <c r="M647" s="69"/>
      <c r="N647" s="70"/>
      <c r="O647" s="71"/>
      <c r="P647" s="72"/>
    </row>
    <row r="648" spans="1:16" ht="15.75" customHeight="1">
      <c r="A648" s="30"/>
      <c r="B648" s="30"/>
      <c r="C648" s="30"/>
      <c r="D648" s="68"/>
      <c r="E648" s="30"/>
      <c r="F648" s="30"/>
      <c r="G648" s="68"/>
      <c r="H648" s="30"/>
      <c r="M648" s="69"/>
      <c r="N648" s="70"/>
      <c r="O648" s="71"/>
      <c r="P648" s="72"/>
    </row>
    <row r="649" spans="1:16" ht="15.75" customHeight="1">
      <c r="A649" s="30"/>
      <c r="B649" s="30"/>
      <c r="C649" s="30"/>
      <c r="D649" s="68"/>
      <c r="E649" s="30"/>
      <c r="F649" s="30"/>
      <c r="G649" s="68"/>
      <c r="H649" s="30"/>
      <c r="M649" s="69"/>
      <c r="N649" s="70"/>
      <c r="O649" s="71"/>
      <c r="P649" s="72"/>
    </row>
    <row r="650" spans="1:16" ht="15.75" customHeight="1">
      <c r="A650" s="30"/>
      <c r="B650" s="30"/>
      <c r="C650" s="30"/>
      <c r="D650" s="68"/>
      <c r="E650" s="30"/>
      <c r="F650" s="30"/>
      <c r="G650" s="68"/>
      <c r="H650" s="30"/>
      <c r="M650" s="69"/>
      <c r="N650" s="70"/>
      <c r="O650" s="71"/>
      <c r="P650" s="72"/>
    </row>
    <row r="651" spans="1:16" ht="15.75" customHeight="1">
      <c r="A651" s="30"/>
      <c r="B651" s="30"/>
      <c r="C651" s="30"/>
      <c r="D651" s="68"/>
      <c r="E651" s="30"/>
      <c r="F651" s="30"/>
      <c r="G651" s="68"/>
      <c r="H651" s="30"/>
      <c r="M651" s="69"/>
      <c r="N651" s="70"/>
      <c r="O651" s="71"/>
      <c r="P651" s="72"/>
    </row>
    <row r="652" spans="1:16" ht="15.75" customHeight="1">
      <c r="A652" s="30"/>
      <c r="B652" s="30"/>
      <c r="C652" s="30"/>
      <c r="D652" s="68"/>
      <c r="E652" s="30"/>
      <c r="F652" s="30"/>
      <c r="G652" s="68"/>
      <c r="H652" s="30"/>
      <c r="M652" s="69"/>
      <c r="N652" s="70"/>
      <c r="O652" s="71"/>
      <c r="P652" s="72"/>
    </row>
    <row r="653" spans="1:16" ht="15.75" customHeight="1">
      <c r="A653" s="30"/>
      <c r="B653" s="30"/>
      <c r="C653" s="30"/>
      <c r="D653" s="68"/>
      <c r="E653" s="30"/>
      <c r="F653" s="30"/>
      <c r="G653" s="68"/>
      <c r="H653" s="30"/>
      <c r="M653" s="69"/>
      <c r="N653" s="70"/>
      <c r="O653" s="71"/>
      <c r="P653" s="72"/>
    </row>
    <row r="654" spans="1:16" ht="15.75" customHeight="1">
      <c r="A654" s="30"/>
      <c r="B654" s="30"/>
      <c r="C654" s="30"/>
      <c r="D654" s="68"/>
      <c r="E654" s="30"/>
      <c r="F654" s="30"/>
      <c r="G654" s="68"/>
      <c r="H654" s="30"/>
      <c r="M654" s="69"/>
      <c r="N654" s="70"/>
      <c r="O654" s="71"/>
      <c r="P654" s="72"/>
    </row>
    <row r="655" spans="1:16" ht="15.75" customHeight="1">
      <c r="A655" s="30"/>
      <c r="B655" s="30"/>
      <c r="C655" s="30"/>
      <c r="D655" s="68"/>
      <c r="E655" s="30"/>
      <c r="F655" s="30"/>
      <c r="G655" s="68"/>
      <c r="H655" s="30"/>
      <c r="M655" s="69"/>
      <c r="N655" s="70"/>
      <c r="O655" s="71"/>
      <c r="P655" s="72"/>
    </row>
    <row r="656" spans="1:16" ht="15.75" customHeight="1">
      <c r="A656" s="30"/>
      <c r="B656" s="30"/>
      <c r="C656" s="30"/>
      <c r="D656" s="68"/>
      <c r="E656" s="30"/>
      <c r="F656" s="30"/>
      <c r="G656" s="68"/>
      <c r="H656" s="30"/>
      <c r="M656" s="69"/>
      <c r="N656" s="70"/>
      <c r="O656" s="71"/>
      <c r="P656" s="72"/>
    </row>
    <row r="657" spans="1:16" ht="15.75" customHeight="1">
      <c r="A657" s="30"/>
      <c r="B657" s="30"/>
      <c r="C657" s="30"/>
      <c r="D657" s="68"/>
      <c r="E657" s="30"/>
      <c r="F657" s="30"/>
      <c r="G657" s="68"/>
      <c r="H657" s="30"/>
      <c r="M657" s="69"/>
      <c r="N657" s="70"/>
      <c r="O657" s="71"/>
      <c r="P657" s="72"/>
    </row>
    <row r="658" spans="1:16" ht="15.75" customHeight="1">
      <c r="A658" s="30"/>
      <c r="B658" s="30"/>
      <c r="C658" s="30"/>
      <c r="D658" s="68"/>
      <c r="E658" s="30"/>
      <c r="F658" s="30"/>
      <c r="G658" s="68"/>
      <c r="H658" s="30"/>
      <c r="M658" s="69"/>
      <c r="N658" s="70"/>
      <c r="O658" s="71"/>
      <c r="P658" s="72"/>
    </row>
    <row r="659" spans="1:16" ht="15.75" customHeight="1">
      <c r="A659" s="30"/>
      <c r="B659" s="30"/>
      <c r="C659" s="30"/>
      <c r="D659" s="68"/>
      <c r="E659" s="30"/>
      <c r="F659" s="30"/>
      <c r="G659" s="68"/>
      <c r="H659" s="30"/>
      <c r="M659" s="69"/>
      <c r="N659" s="70"/>
      <c r="O659" s="71"/>
      <c r="P659" s="72"/>
    </row>
    <row r="660" spans="1:16" ht="15.75" customHeight="1">
      <c r="A660" s="30"/>
      <c r="B660" s="30"/>
      <c r="C660" s="30"/>
      <c r="D660" s="68"/>
      <c r="E660" s="30"/>
      <c r="F660" s="30"/>
      <c r="G660" s="68"/>
      <c r="H660" s="30"/>
      <c r="M660" s="69"/>
      <c r="N660" s="70"/>
      <c r="O660" s="71"/>
      <c r="P660" s="72"/>
    </row>
    <row r="661" spans="1:16" ht="15.75" customHeight="1">
      <c r="A661" s="30"/>
      <c r="B661" s="30"/>
      <c r="C661" s="30"/>
      <c r="D661" s="68"/>
      <c r="E661" s="30"/>
      <c r="F661" s="30"/>
      <c r="G661" s="68"/>
      <c r="H661" s="30"/>
      <c r="M661" s="69"/>
      <c r="N661" s="70"/>
      <c r="O661" s="71"/>
      <c r="P661" s="72"/>
    </row>
    <row r="662" spans="1:16" ht="15.75" customHeight="1">
      <c r="A662" s="30"/>
      <c r="B662" s="30"/>
      <c r="C662" s="30"/>
      <c r="D662" s="68"/>
      <c r="E662" s="30"/>
      <c r="F662" s="30"/>
      <c r="G662" s="68"/>
      <c r="H662" s="30"/>
      <c r="M662" s="69"/>
      <c r="N662" s="70"/>
      <c r="O662" s="71"/>
      <c r="P662" s="72"/>
    </row>
    <row r="663" spans="1:16" ht="15.75" customHeight="1">
      <c r="A663" s="30"/>
      <c r="B663" s="30"/>
      <c r="C663" s="30"/>
      <c r="D663" s="68"/>
      <c r="E663" s="30"/>
      <c r="F663" s="30"/>
      <c r="G663" s="68"/>
      <c r="H663" s="30"/>
      <c r="M663" s="69"/>
      <c r="N663" s="70"/>
      <c r="O663" s="71"/>
      <c r="P663" s="72"/>
    </row>
    <row r="664" spans="1:16" ht="15.75" customHeight="1">
      <c r="A664" s="30"/>
      <c r="B664" s="30"/>
      <c r="C664" s="30"/>
      <c r="D664" s="68"/>
      <c r="E664" s="30"/>
      <c r="F664" s="30"/>
      <c r="G664" s="68"/>
      <c r="H664" s="30"/>
      <c r="M664" s="69"/>
      <c r="N664" s="70"/>
      <c r="O664" s="71"/>
      <c r="P664" s="72"/>
    </row>
    <row r="665" spans="1:16" ht="15.75" customHeight="1">
      <c r="A665" s="30"/>
      <c r="B665" s="30"/>
      <c r="C665" s="30"/>
      <c r="D665" s="68"/>
      <c r="E665" s="30"/>
      <c r="F665" s="30"/>
      <c r="G665" s="68"/>
      <c r="H665" s="30"/>
      <c r="M665" s="69"/>
      <c r="N665" s="70"/>
      <c r="O665" s="71"/>
      <c r="P665" s="72"/>
    </row>
    <row r="666" spans="1:16" ht="15.75" customHeight="1">
      <c r="A666" s="30"/>
      <c r="B666" s="30"/>
      <c r="C666" s="30"/>
      <c r="D666" s="68"/>
      <c r="E666" s="30"/>
      <c r="F666" s="30"/>
      <c r="G666" s="68"/>
      <c r="H666" s="30"/>
      <c r="M666" s="69"/>
      <c r="N666" s="70"/>
      <c r="O666" s="71"/>
      <c r="P666" s="72"/>
    </row>
    <row r="667" spans="1:16" ht="15.75" customHeight="1">
      <c r="A667" s="30"/>
      <c r="B667" s="30"/>
      <c r="C667" s="30"/>
      <c r="D667" s="68"/>
      <c r="E667" s="30"/>
      <c r="F667" s="30"/>
      <c r="G667" s="68"/>
      <c r="H667" s="30"/>
      <c r="M667" s="69"/>
      <c r="N667" s="70"/>
      <c r="O667" s="71"/>
      <c r="P667" s="72"/>
    </row>
    <row r="668" spans="1:16" ht="15.75" customHeight="1">
      <c r="A668" s="30"/>
      <c r="B668" s="30"/>
      <c r="C668" s="30"/>
      <c r="D668" s="68"/>
      <c r="E668" s="30"/>
      <c r="F668" s="30"/>
      <c r="G668" s="68"/>
      <c r="H668" s="30"/>
      <c r="M668" s="69"/>
      <c r="N668" s="70"/>
      <c r="O668" s="71"/>
      <c r="P668" s="72"/>
    </row>
    <row r="669" spans="1:16" ht="15.75" customHeight="1">
      <c r="A669" s="30"/>
      <c r="B669" s="30"/>
      <c r="C669" s="30"/>
      <c r="D669" s="68"/>
      <c r="E669" s="30"/>
      <c r="F669" s="30"/>
      <c r="G669" s="68"/>
      <c r="H669" s="30"/>
      <c r="M669" s="69"/>
      <c r="N669" s="70"/>
      <c r="O669" s="71"/>
      <c r="P669" s="72"/>
    </row>
    <row r="670" spans="1:16" ht="15.75" customHeight="1">
      <c r="A670" s="30"/>
      <c r="B670" s="30"/>
      <c r="C670" s="30"/>
      <c r="D670" s="68"/>
      <c r="E670" s="30"/>
      <c r="F670" s="30"/>
      <c r="G670" s="68"/>
      <c r="H670" s="30"/>
      <c r="M670" s="69"/>
      <c r="N670" s="70"/>
      <c r="O670" s="71"/>
      <c r="P670" s="72"/>
    </row>
    <row r="671" spans="1:16" ht="15.75" customHeight="1">
      <c r="A671" s="30"/>
      <c r="B671" s="30"/>
      <c r="C671" s="30"/>
      <c r="D671" s="68"/>
      <c r="E671" s="30"/>
      <c r="F671" s="30"/>
      <c r="G671" s="68"/>
      <c r="H671" s="30"/>
      <c r="M671" s="69"/>
      <c r="N671" s="70"/>
      <c r="O671" s="71"/>
      <c r="P671" s="72"/>
    </row>
    <row r="672" spans="1:16" ht="15.75" customHeight="1">
      <c r="A672" s="30"/>
      <c r="B672" s="30"/>
      <c r="C672" s="30"/>
      <c r="D672" s="68"/>
      <c r="E672" s="30"/>
      <c r="F672" s="30"/>
      <c r="G672" s="68"/>
      <c r="H672" s="30"/>
      <c r="M672" s="69"/>
      <c r="N672" s="70"/>
      <c r="O672" s="71"/>
      <c r="P672" s="72"/>
    </row>
    <row r="673" spans="1:16" ht="15.75" customHeight="1">
      <c r="A673" s="30"/>
      <c r="B673" s="30"/>
      <c r="C673" s="30"/>
      <c r="D673" s="68"/>
      <c r="E673" s="30"/>
      <c r="F673" s="30"/>
      <c r="G673" s="68"/>
      <c r="H673" s="30"/>
      <c r="M673" s="69"/>
      <c r="N673" s="70"/>
      <c r="O673" s="71"/>
      <c r="P673" s="72"/>
    </row>
    <row r="674" spans="1:16" ht="15.75" customHeight="1">
      <c r="A674" s="30"/>
      <c r="B674" s="30"/>
      <c r="C674" s="30"/>
      <c r="D674" s="68"/>
      <c r="E674" s="30"/>
      <c r="F674" s="30"/>
      <c r="G674" s="68"/>
      <c r="H674" s="30"/>
      <c r="M674" s="69"/>
      <c r="N674" s="70"/>
      <c r="O674" s="71"/>
      <c r="P674" s="72"/>
    </row>
    <row r="675" spans="1:16" ht="15.75" customHeight="1">
      <c r="A675" s="30"/>
      <c r="B675" s="30"/>
      <c r="C675" s="30"/>
      <c r="D675" s="68"/>
      <c r="E675" s="30"/>
      <c r="F675" s="30"/>
      <c r="G675" s="68"/>
      <c r="H675" s="30"/>
      <c r="M675" s="69"/>
      <c r="N675" s="70"/>
      <c r="O675" s="71"/>
      <c r="P675" s="72"/>
    </row>
    <row r="676" spans="1:16" ht="15.75" customHeight="1">
      <c r="A676" s="30"/>
      <c r="B676" s="30"/>
      <c r="C676" s="30"/>
      <c r="D676" s="68"/>
      <c r="E676" s="30"/>
      <c r="F676" s="30"/>
      <c r="G676" s="68"/>
      <c r="H676" s="30"/>
      <c r="M676" s="69"/>
      <c r="N676" s="70"/>
      <c r="O676" s="71"/>
      <c r="P676" s="72"/>
    </row>
    <row r="677" spans="1:16" ht="15.75" customHeight="1">
      <c r="A677" s="30"/>
      <c r="B677" s="30"/>
      <c r="C677" s="30"/>
      <c r="D677" s="68"/>
      <c r="E677" s="30"/>
      <c r="F677" s="30"/>
      <c r="G677" s="68"/>
      <c r="H677" s="30"/>
      <c r="M677" s="69"/>
      <c r="N677" s="70"/>
      <c r="O677" s="71"/>
      <c r="P677" s="72"/>
    </row>
    <row r="678" spans="1:16" ht="15.75" customHeight="1">
      <c r="A678" s="30"/>
      <c r="B678" s="30"/>
      <c r="C678" s="30"/>
      <c r="D678" s="68"/>
      <c r="E678" s="30"/>
      <c r="F678" s="30"/>
      <c r="G678" s="68"/>
      <c r="H678" s="30"/>
      <c r="M678" s="69"/>
      <c r="N678" s="70"/>
      <c r="O678" s="71"/>
      <c r="P678" s="72"/>
    </row>
    <row r="679" spans="1:16" ht="15.75" customHeight="1">
      <c r="A679" s="30"/>
      <c r="B679" s="30"/>
      <c r="C679" s="30"/>
      <c r="D679" s="68"/>
      <c r="E679" s="30"/>
      <c r="F679" s="30"/>
      <c r="G679" s="68"/>
      <c r="H679" s="30"/>
      <c r="M679" s="69"/>
      <c r="N679" s="70"/>
      <c r="O679" s="71"/>
      <c r="P679" s="72"/>
    </row>
    <row r="680" spans="1:16" ht="15.75" customHeight="1">
      <c r="A680" s="30"/>
      <c r="B680" s="30"/>
      <c r="C680" s="30"/>
      <c r="D680" s="68"/>
      <c r="E680" s="30"/>
      <c r="F680" s="30"/>
      <c r="G680" s="68"/>
      <c r="H680" s="30"/>
      <c r="M680" s="69"/>
      <c r="N680" s="70"/>
      <c r="O680" s="71"/>
      <c r="P680" s="72"/>
    </row>
    <row r="681" spans="1:16" ht="15.75" customHeight="1">
      <c r="A681" s="30"/>
      <c r="B681" s="30"/>
      <c r="C681" s="30"/>
      <c r="D681" s="68"/>
      <c r="E681" s="30"/>
      <c r="F681" s="30"/>
      <c r="G681" s="68"/>
      <c r="H681" s="30"/>
      <c r="M681" s="69"/>
      <c r="N681" s="70"/>
      <c r="O681" s="71"/>
      <c r="P681" s="72"/>
    </row>
    <row r="682" spans="1:16" ht="15.75" customHeight="1">
      <c r="A682" s="30"/>
      <c r="B682" s="30"/>
      <c r="C682" s="30"/>
      <c r="D682" s="68"/>
      <c r="E682" s="30"/>
      <c r="F682" s="30"/>
      <c r="G682" s="68"/>
      <c r="H682" s="30"/>
      <c r="M682" s="69"/>
      <c r="N682" s="70"/>
      <c r="O682" s="71"/>
      <c r="P682" s="72"/>
    </row>
    <row r="683" spans="1:16" ht="15.75" customHeight="1">
      <c r="A683" s="30"/>
      <c r="B683" s="30"/>
      <c r="C683" s="30"/>
      <c r="D683" s="68"/>
      <c r="E683" s="30"/>
      <c r="F683" s="30"/>
      <c r="G683" s="68"/>
      <c r="H683" s="30"/>
      <c r="M683" s="69"/>
      <c r="N683" s="70"/>
      <c r="O683" s="71"/>
      <c r="P683" s="72"/>
    </row>
    <row r="684" spans="1:16" ht="15.75" customHeight="1">
      <c r="A684" s="30"/>
      <c r="B684" s="30"/>
      <c r="C684" s="30"/>
      <c r="D684" s="68"/>
      <c r="E684" s="30"/>
      <c r="F684" s="30"/>
      <c r="G684" s="68"/>
      <c r="H684" s="30"/>
      <c r="M684" s="69"/>
      <c r="N684" s="70"/>
      <c r="O684" s="71"/>
      <c r="P684" s="72"/>
    </row>
    <row r="685" spans="1:16" ht="15.75" customHeight="1">
      <c r="A685" s="30"/>
      <c r="B685" s="30"/>
      <c r="C685" s="30"/>
      <c r="D685" s="68"/>
      <c r="E685" s="30"/>
      <c r="F685" s="30"/>
      <c r="G685" s="68"/>
      <c r="H685" s="30"/>
      <c r="M685" s="69"/>
      <c r="N685" s="70"/>
      <c r="O685" s="71"/>
      <c r="P685" s="72"/>
    </row>
    <row r="686" spans="1:16" ht="15.75" customHeight="1">
      <c r="A686" s="30"/>
      <c r="B686" s="30"/>
      <c r="C686" s="30"/>
      <c r="D686" s="68"/>
      <c r="E686" s="30"/>
      <c r="F686" s="30"/>
      <c r="G686" s="68"/>
      <c r="H686" s="30"/>
      <c r="M686" s="69"/>
      <c r="N686" s="70"/>
      <c r="O686" s="71"/>
      <c r="P686" s="72"/>
    </row>
    <row r="687" spans="1:16" ht="15.75" customHeight="1">
      <c r="A687" s="30"/>
      <c r="B687" s="30"/>
      <c r="C687" s="30"/>
      <c r="D687" s="68"/>
      <c r="E687" s="30"/>
      <c r="F687" s="30"/>
      <c r="G687" s="68"/>
      <c r="H687" s="30"/>
      <c r="M687" s="69"/>
      <c r="N687" s="70"/>
      <c r="O687" s="71"/>
      <c r="P687" s="72"/>
    </row>
    <row r="688" spans="1:16" ht="15.75" customHeight="1">
      <c r="A688" s="30"/>
      <c r="B688" s="30"/>
      <c r="C688" s="30"/>
      <c r="D688" s="68"/>
      <c r="E688" s="30"/>
      <c r="F688" s="30"/>
      <c r="G688" s="68"/>
      <c r="H688" s="30"/>
      <c r="M688" s="69"/>
      <c r="N688" s="70"/>
      <c r="O688" s="71"/>
      <c r="P688" s="72"/>
    </row>
    <row r="689" spans="1:16" ht="15.75" customHeight="1">
      <c r="A689" s="30"/>
      <c r="B689" s="30"/>
      <c r="C689" s="30"/>
      <c r="D689" s="68"/>
      <c r="E689" s="30"/>
      <c r="F689" s="30"/>
      <c r="G689" s="68"/>
      <c r="H689" s="30"/>
      <c r="M689" s="69"/>
      <c r="N689" s="70"/>
      <c r="O689" s="71"/>
      <c r="P689" s="72"/>
    </row>
    <row r="690" spans="1:16" ht="15.75" customHeight="1">
      <c r="A690" s="30"/>
      <c r="B690" s="30"/>
      <c r="C690" s="30"/>
      <c r="D690" s="68"/>
      <c r="E690" s="30"/>
      <c r="F690" s="30"/>
      <c r="G690" s="68"/>
      <c r="H690" s="30"/>
      <c r="M690" s="69"/>
      <c r="N690" s="70"/>
      <c r="O690" s="71"/>
      <c r="P690" s="72"/>
    </row>
    <row r="691" spans="1:16" ht="15.75" customHeight="1">
      <c r="A691" s="30"/>
      <c r="B691" s="30"/>
      <c r="C691" s="30"/>
      <c r="D691" s="68"/>
      <c r="E691" s="30"/>
      <c r="F691" s="30"/>
      <c r="G691" s="68"/>
      <c r="H691" s="30"/>
      <c r="M691" s="69"/>
      <c r="N691" s="70"/>
      <c r="O691" s="71"/>
      <c r="P691" s="72"/>
    </row>
    <row r="692" spans="1:16" ht="15.75" customHeight="1">
      <c r="A692" s="30"/>
      <c r="B692" s="30"/>
      <c r="C692" s="30"/>
      <c r="D692" s="68"/>
      <c r="E692" s="30"/>
      <c r="F692" s="30"/>
      <c r="G692" s="68"/>
      <c r="H692" s="30"/>
      <c r="M692" s="69"/>
      <c r="N692" s="70"/>
      <c r="O692" s="71"/>
      <c r="P692" s="72"/>
    </row>
    <row r="693" spans="1:16" ht="15.75" customHeight="1">
      <c r="A693" s="30"/>
      <c r="B693" s="30"/>
      <c r="C693" s="30"/>
      <c r="D693" s="68"/>
      <c r="E693" s="30"/>
      <c r="F693" s="30"/>
      <c r="G693" s="68"/>
      <c r="H693" s="30"/>
      <c r="M693" s="69"/>
      <c r="N693" s="70"/>
      <c r="O693" s="71"/>
      <c r="P693" s="72"/>
    </row>
    <row r="694" spans="1:16" ht="15.75" customHeight="1">
      <c r="A694" s="30"/>
      <c r="B694" s="30"/>
      <c r="C694" s="30"/>
      <c r="D694" s="68"/>
      <c r="E694" s="30"/>
      <c r="F694" s="30"/>
      <c r="G694" s="68"/>
      <c r="H694" s="30"/>
      <c r="M694" s="69"/>
      <c r="N694" s="70"/>
      <c r="O694" s="71"/>
      <c r="P694" s="72"/>
    </row>
    <row r="695" spans="1:16" ht="15.75" customHeight="1">
      <c r="A695" s="30"/>
      <c r="B695" s="30"/>
      <c r="C695" s="30"/>
      <c r="D695" s="68"/>
      <c r="E695" s="30"/>
      <c r="F695" s="30"/>
      <c r="G695" s="68"/>
      <c r="H695" s="30"/>
      <c r="M695" s="69"/>
      <c r="N695" s="70"/>
      <c r="O695" s="71"/>
      <c r="P695" s="72"/>
    </row>
    <row r="696" spans="1:16" ht="15.75" customHeight="1">
      <c r="A696" s="30"/>
      <c r="B696" s="30"/>
      <c r="C696" s="30"/>
      <c r="D696" s="68"/>
      <c r="E696" s="30"/>
      <c r="F696" s="30"/>
      <c r="G696" s="68"/>
      <c r="H696" s="30"/>
      <c r="M696" s="69"/>
      <c r="N696" s="70"/>
      <c r="O696" s="71"/>
      <c r="P696" s="72"/>
    </row>
    <row r="697" spans="1:16" ht="15.75" customHeight="1">
      <c r="A697" s="30"/>
      <c r="B697" s="30"/>
      <c r="C697" s="30"/>
      <c r="D697" s="68"/>
      <c r="E697" s="30"/>
      <c r="F697" s="30"/>
      <c r="G697" s="68"/>
      <c r="H697" s="30"/>
      <c r="M697" s="69"/>
      <c r="N697" s="70"/>
      <c r="O697" s="71"/>
      <c r="P697" s="72"/>
    </row>
    <row r="698" spans="1:16" ht="15.75" customHeight="1">
      <c r="A698" s="30"/>
      <c r="B698" s="30"/>
      <c r="C698" s="30"/>
      <c r="D698" s="68"/>
      <c r="E698" s="30"/>
      <c r="F698" s="30"/>
      <c r="G698" s="68"/>
      <c r="H698" s="30"/>
      <c r="M698" s="69"/>
      <c r="N698" s="70"/>
      <c r="O698" s="71"/>
      <c r="P698" s="72"/>
    </row>
    <row r="699" spans="1:16" ht="15.75" customHeight="1">
      <c r="A699" s="30"/>
      <c r="B699" s="30"/>
      <c r="C699" s="30"/>
      <c r="D699" s="68"/>
      <c r="E699" s="30"/>
      <c r="F699" s="30"/>
      <c r="G699" s="68"/>
      <c r="H699" s="30"/>
      <c r="M699" s="69"/>
      <c r="N699" s="70"/>
      <c r="O699" s="71"/>
      <c r="P699" s="72"/>
    </row>
    <row r="700" spans="1:16" ht="15.75" customHeight="1">
      <c r="A700" s="30"/>
      <c r="B700" s="30"/>
      <c r="C700" s="30"/>
      <c r="D700" s="68"/>
      <c r="E700" s="30"/>
      <c r="F700" s="30"/>
      <c r="G700" s="68"/>
      <c r="H700" s="30"/>
      <c r="M700" s="69"/>
      <c r="N700" s="70"/>
      <c r="O700" s="71"/>
      <c r="P700" s="72"/>
    </row>
    <row r="701" spans="1:16" ht="15.75" customHeight="1">
      <c r="A701" s="30"/>
      <c r="B701" s="30"/>
      <c r="C701" s="30"/>
      <c r="D701" s="68"/>
      <c r="E701" s="30"/>
      <c r="F701" s="30"/>
      <c r="G701" s="68"/>
      <c r="H701" s="30"/>
      <c r="M701" s="69"/>
      <c r="N701" s="70"/>
      <c r="O701" s="71"/>
      <c r="P701" s="72"/>
    </row>
    <row r="702" spans="1:16" ht="15.75" customHeight="1">
      <c r="A702" s="30"/>
      <c r="B702" s="30"/>
      <c r="C702" s="30"/>
      <c r="D702" s="68"/>
      <c r="E702" s="30"/>
      <c r="F702" s="30"/>
      <c r="G702" s="68"/>
      <c r="H702" s="30"/>
      <c r="M702" s="69"/>
      <c r="N702" s="70"/>
      <c r="O702" s="71"/>
      <c r="P702" s="72"/>
    </row>
    <row r="703" spans="1:16" ht="15.75" customHeight="1">
      <c r="A703" s="30"/>
      <c r="B703" s="30"/>
      <c r="C703" s="30"/>
      <c r="D703" s="68"/>
      <c r="E703" s="30"/>
      <c r="F703" s="30"/>
      <c r="G703" s="68"/>
      <c r="H703" s="30"/>
      <c r="M703" s="69"/>
      <c r="N703" s="70"/>
      <c r="O703" s="71"/>
      <c r="P703" s="72"/>
    </row>
    <row r="704" spans="1:16" ht="15.75" customHeight="1">
      <c r="A704" s="30"/>
      <c r="B704" s="30"/>
      <c r="C704" s="30"/>
      <c r="D704" s="68"/>
      <c r="E704" s="30"/>
      <c r="F704" s="30"/>
      <c r="G704" s="68"/>
      <c r="H704" s="30"/>
      <c r="M704" s="69"/>
      <c r="N704" s="70"/>
      <c r="O704" s="71"/>
      <c r="P704" s="72"/>
    </row>
    <row r="705" spans="1:16" ht="15.75" customHeight="1">
      <c r="A705" s="30"/>
      <c r="B705" s="30"/>
      <c r="C705" s="30"/>
      <c r="D705" s="68"/>
      <c r="E705" s="30"/>
      <c r="F705" s="30"/>
      <c r="G705" s="68"/>
      <c r="H705" s="30"/>
      <c r="M705" s="69"/>
      <c r="N705" s="70"/>
      <c r="O705" s="71"/>
      <c r="P705" s="72"/>
    </row>
    <row r="706" spans="1:16" ht="15.75" customHeight="1">
      <c r="A706" s="30"/>
      <c r="B706" s="30"/>
      <c r="C706" s="30"/>
      <c r="D706" s="68"/>
      <c r="E706" s="30"/>
      <c r="F706" s="30"/>
      <c r="G706" s="68"/>
      <c r="H706" s="30"/>
      <c r="M706" s="69"/>
      <c r="N706" s="70"/>
      <c r="O706" s="71"/>
      <c r="P706" s="72"/>
    </row>
    <row r="707" spans="1:16" ht="15.75" customHeight="1">
      <c r="A707" s="30"/>
      <c r="B707" s="30"/>
      <c r="C707" s="30"/>
      <c r="D707" s="68"/>
      <c r="E707" s="30"/>
      <c r="F707" s="30"/>
      <c r="G707" s="68"/>
      <c r="H707" s="30"/>
      <c r="M707" s="69"/>
      <c r="N707" s="70"/>
      <c r="O707" s="71"/>
      <c r="P707" s="72"/>
    </row>
    <row r="708" spans="1:16" ht="15.75" customHeight="1">
      <c r="A708" s="30"/>
      <c r="B708" s="30"/>
      <c r="C708" s="30"/>
      <c r="D708" s="68"/>
      <c r="E708" s="30"/>
      <c r="F708" s="30"/>
      <c r="G708" s="68"/>
      <c r="H708" s="30"/>
      <c r="M708" s="69"/>
      <c r="N708" s="70"/>
      <c r="O708" s="71"/>
      <c r="P708" s="72"/>
    </row>
    <row r="709" spans="1:16" ht="15.75" customHeight="1">
      <c r="A709" s="30"/>
      <c r="B709" s="30"/>
      <c r="C709" s="30"/>
      <c r="D709" s="68"/>
      <c r="E709" s="30"/>
      <c r="F709" s="30"/>
      <c r="G709" s="68"/>
      <c r="H709" s="30"/>
      <c r="M709" s="69"/>
      <c r="N709" s="70"/>
      <c r="O709" s="71"/>
      <c r="P709" s="72"/>
    </row>
    <row r="710" spans="1:16" ht="15.75" customHeight="1">
      <c r="A710" s="30"/>
      <c r="B710" s="30"/>
      <c r="C710" s="30"/>
      <c r="D710" s="68"/>
      <c r="E710" s="30"/>
      <c r="F710" s="30"/>
      <c r="G710" s="68"/>
      <c r="H710" s="30"/>
      <c r="M710" s="69"/>
      <c r="N710" s="70"/>
      <c r="O710" s="71"/>
      <c r="P710" s="72"/>
    </row>
    <row r="711" spans="1:16" ht="15.75" customHeight="1">
      <c r="A711" s="30"/>
      <c r="B711" s="30"/>
      <c r="C711" s="30"/>
      <c r="D711" s="68"/>
      <c r="E711" s="30"/>
      <c r="F711" s="30"/>
      <c r="G711" s="68"/>
      <c r="H711" s="30"/>
      <c r="M711" s="69"/>
      <c r="N711" s="70"/>
      <c r="O711" s="71"/>
      <c r="P711" s="72"/>
    </row>
    <row r="712" spans="1:16" ht="15.75" customHeight="1">
      <c r="A712" s="30"/>
      <c r="B712" s="30"/>
      <c r="C712" s="30"/>
      <c r="D712" s="68"/>
      <c r="E712" s="30"/>
      <c r="F712" s="30"/>
      <c r="G712" s="68"/>
      <c r="H712" s="30"/>
      <c r="M712" s="69"/>
      <c r="N712" s="70"/>
      <c r="O712" s="71"/>
      <c r="P712" s="72"/>
    </row>
    <row r="713" spans="1:16" ht="15.75" customHeight="1">
      <c r="A713" s="30"/>
      <c r="B713" s="30"/>
      <c r="C713" s="30"/>
      <c r="D713" s="68"/>
      <c r="E713" s="30"/>
      <c r="F713" s="30"/>
      <c r="G713" s="68"/>
      <c r="H713" s="30"/>
      <c r="M713" s="69"/>
      <c r="N713" s="70"/>
      <c r="O713" s="71"/>
      <c r="P713" s="72"/>
    </row>
    <row r="714" spans="1:16" ht="15.75" customHeight="1">
      <c r="A714" s="30"/>
      <c r="B714" s="30"/>
      <c r="C714" s="30"/>
      <c r="D714" s="68"/>
      <c r="E714" s="30"/>
      <c r="F714" s="30"/>
      <c r="G714" s="68"/>
      <c r="H714" s="30"/>
      <c r="M714" s="69"/>
      <c r="N714" s="70"/>
      <c r="O714" s="71"/>
      <c r="P714" s="72"/>
    </row>
    <row r="715" spans="1:16" ht="15.75" customHeight="1">
      <c r="A715" s="30"/>
      <c r="B715" s="30"/>
      <c r="C715" s="30"/>
      <c r="D715" s="68"/>
      <c r="E715" s="30"/>
      <c r="F715" s="30"/>
      <c r="G715" s="68"/>
      <c r="H715" s="30"/>
      <c r="M715" s="69"/>
      <c r="N715" s="70"/>
      <c r="O715" s="71"/>
      <c r="P715" s="72"/>
    </row>
    <row r="716" spans="1:16" ht="15.75" customHeight="1">
      <c r="A716" s="30"/>
      <c r="B716" s="30"/>
      <c r="C716" s="30"/>
      <c r="D716" s="68"/>
      <c r="E716" s="30"/>
      <c r="F716" s="30"/>
      <c r="G716" s="68"/>
      <c r="H716" s="30"/>
      <c r="M716" s="69"/>
      <c r="N716" s="70"/>
      <c r="O716" s="71"/>
      <c r="P716" s="72"/>
    </row>
    <row r="717" spans="1:16" ht="15.75" customHeight="1">
      <c r="A717" s="30"/>
      <c r="B717" s="30"/>
      <c r="C717" s="30"/>
      <c r="D717" s="68"/>
      <c r="E717" s="30"/>
      <c r="F717" s="30"/>
      <c r="G717" s="68"/>
      <c r="H717" s="30"/>
      <c r="M717" s="69"/>
      <c r="N717" s="70"/>
      <c r="O717" s="71"/>
      <c r="P717" s="72"/>
    </row>
    <row r="718" spans="1:16" ht="15.75" customHeight="1">
      <c r="A718" s="30"/>
      <c r="B718" s="30"/>
      <c r="C718" s="30"/>
      <c r="D718" s="68"/>
      <c r="E718" s="30"/>
      <c r="F718" s="30"/>
      <c r="G718" s="68"/>
      <c r="H718" s="30"/>
      <c r="M718" s="69"/>
      <c r="N718" s="70"/>
      <c r="O718" s="71"/>
      <c r="P718" s="72"/>
    </row>
    <row r="719" spans="1:16" ht="15.75" customHeight="1">
      <c r="A719" s="30"/>
      <c r="B719" s="30"/>
      <c r="C719" s="30"/>
      <c r="D719" s="68"/>
      <c r="E719" s="30"/>
      <c r="F719" s="30"/>
      <c r="G719" s="68"/>
      <c r="H719" s="30"/>
      <c r="M719" s="69"/>
      <c r="N719" s="70"/>
      <c r="O719" s="71"/>
      <c r="P719" s="72"/>
    </row>
    <row r="720" spans="1:16" ht="15.75" customHeight="1">
      <c r="A720" s="30"/>
      <c r="B720" s="30"/>
      <c r="C720" s="30"/>
      <c r="D720" s="68"/>
      <c r="E720" s="30"/>
      <c r="F720" s="30"/>
      <c r="G720" s="68"/>
      <c r="H720" s="30"/>
      <c r="M720" s="69"/>
      <c r="N720" s="70"/>
      <c r="O720" s="71"/>
      <c r="P720" s="72"/>
    </row>
    <row r="721" spans="1:16" ht="15.75" customHeight="1">
      <c r="A721" s="30"/>
      <c r="B721" s="30"/>
      <c r="C721" s="30"/>
      <c r="D721" s="68"/>
      <c r="E721" s="30"/>
      <c r="F721" s="30"/>
      <c r="G721" s="68"/>
      <c r="H721" s="30"/>
      <c r="M721" s="69"/>
      <c r="N721" s="70"/>
      <c r="O721" s="71"/>
      <c r="P721" s="72"/>
    </row>
    <row r="722" spans="1:16" ht="15.75" customHeight="1">
      <c r="A722" s="30"/>
      <c r="B722" s="30"/>
      <c r="C722" s="30"/>
      <c r="D722" s="68"/>
      <c r="E722" s="30"/>
      <c r="F722" s="30"/>
      <c r="G722" s="68"/>
      <c r="H722" s="30"/>
      <c r="M722" s="69"/>
      <c r="N722" s="70"/>
      <c r="O722" s="71"/>
      <c r="P722" s="72"/>
    </row>
    <row r="723" spans="1:16" ht="15.75" customHeight="1">
      <c r="A723" s="30"/>
      <c r="B723" s="30"/>
      <c r="C723" s="30"/>
      <c r="D723" s="68"/>
      <c r="E723" s="30"/>
      <c r="F723" s="30"/>
      <c r="G723" s="68"/>
      <c r="H723" s="30"/>
      <c r="M723" s="69"/>
      <c r="N723" s="70"/>
      <c r="O723" s="71"/>
      <c r="P723" s="72"/>
    </row>
    <row r="724" spans="1:16" ht="15.75" customHeight="1">
      <c r="A724" s="30"/>
      <c r="B724" s="30"/>
      <c r="C724" s="30"/>
      <c r="D724" s="68"/>
      <c r="E724" s="30"/>
      <c r="F724" s="30"/>
      <c r="G724" s="68"/>
      <c r="H724" s="30"/>
      <c r="M724" s="69"/>
      <c r="N724" s="70"/>
      <c r="O724" s="71"/>
      <c r="P724" s="72"/>
    </row>
    <row r="725" spans="1:16" ht="15.75" customHeight="1">
      <c r="A725" s="30"/>
      <c r="B725" s="30"/>
      <c r="C725" s="30"/>
      <c r="D725" s="68"/>
      <c r="E725" s="30"/>
      <c r="F725" s="30"/>
      <c r="G725" s="68"/>
      <c r="H725" s="30"/>
      <c r="M725" s="69"/>
      <c r="N725" s="70"/>
      <c r="O725" s="71"/>
      <c r="P725" s="72"/>
    </row>
    <row r="726" spans="1:16" ht="15.75" customHeight="1">
      <c r="A726" s="30"/>
      <c r="B726" s="30"/>
      <c r="C726" s="30"/>
      <c r="D726" s="68"/>
      <c r="E726" s="30"/>
      <c r="F726" s="30"/>
      <c r="G726" s="68"/>
      <c r="H726" s="30"/>
      <c r="M726" s="69"/>
      <c r="N726" s="70"/>
      <c r="O726" s="71"/>
      <c r="P726" s="72"/>
    </row>
    <row r="727" spans="1:16" ht="15.75" customHeight="1">
      <c r="A727" s="30"/>
      <c r="B727" s="30"/>
      <c r="C727" s="30"/>
      <c r="D727" s="68"/>
      <c r="E727" s="30"/>
      <c r="F727" s="30"/>
      <c r="G727" s="68"/>
      <c r="H727" s="30"/>
      <c r="M727" s="69"/>
      <c r="N727" s="70"/>
      <c r="O727" s="71"/>
      <c r="P727" s="72"/>
    </row>
    <row r="728" spans="1:16" ht="15.75" customHeight="1">
      <c r="A728" s="30"/>
      <c r="B728" s="30"/>
      <c r="C728" s="30"/>
      <c r="D728" s="68"/>
      <c r="E728" s="30"/>
      <c r="F728" s="30"/>
      <c r="G728" s="68"/>
      <c r="H728" s="30"/>
      <c r="M728" s="69"/>
      <c r="N728" s="70"/>
      <c r="O728" s="71"/>
      <c r="P728" s="72"/>
    </row>
    <row r="729" spans="1:16" ht="15.75" customHeight="1">
      <c r="A729" s="30"/>
      <c r="B729" s="30"/>
      <c r="C729" s="30"/>
      <c r="D729" s="68"/>
      <c r="E729" s="30"/>
      <c r="F729" s="30"/>
      <c r="G729" s="68"/>
      <c r="H729" s="30"/>
      <c r="M729" s="69"/>
      <c r="N729" s="70"/>
      <c r="O729" s="71"/>
      <c r="P729" s="72"/>
    </row>
    <row r="730" spans="1:16" ht="15.75" customHeight="1">
      <c r="A730" s="30"/>
      <c r="B730" s="30"/>
      <c r="C730" s="30"/>
      <c r="D730" s="68"/>
      <c r="E730" s="30"/>
      <c r="F730" s="30"/>
      <c r="G730" s="68"/>
      <c r="H730" s="30"/>
      <c r="M730" s="69"/>
      <c r="N730" s="70"/>
      <c r="O730" s="71"/>
      <c r="P730" s="72"/>
    </row>
    <row r="731" spans="1:16" ht="15.75" customHeight="1">
      <c r="A731" s="30"/>
      <c r="B731" s="30"/>
      <c r="C731" s="30"/>
      <c r="D731" s="68"/>
      <c r="E731" s="30"/>
      <c r="F731" s="30"/>
      <c r="G731" s="68"/>
      <c r="H731" s="30"/>
      <c r="M731" s="69"/>
      <c r="N731" s="70"/>
      <c r="O731" s="71"/>
      <c r="P731" s="72"/>
    </row>
    <row r="732" spans="1:16" ht="15.75" customHeight="1">
      <c r="A732" s="30"/>
      <c r="B732" s="30"/>
      <c r="C732" s="30"/>
      <c r="D732" s="68"/>
      <c r="E732" s="30"/>
      <c r="F732" s="30"/>
      <c r="G732" s="68"/>
      <c r="H732" s="30"/>
      <c r="M732" s="69"/>
      <c r="N732" s="70"/>
      <c r="O732" s="71"/>
      <c r="P732" s="72"/>
    </row>
    <row r="733" spans="1:16" ht="15.75" customHeight="1">
      <c r="A733" s="30"/>
      <c r="B733" s="30"/>
      <c r="C733" s="30"/>
      <c r="D733" s="68"/>
      <c r="E733" s="30"/>
      <c r="F733" s="30"/>
      <c r="G733" s="68"/>
      <c r="H733" s="30"/>
      <c r="M733" s="69"/>
      <c r="N733" s="70"/>
      <c r="O733" s="71"/>
      <c r="P733" s="72"/>
    </row>
    <row r="734" spans="1:16" ht="15.75" customHeight="1">
      <c r="A734" s="30"/>
      <c r="B734" s="30"/>
      <c r="C734" s="30"/>
      <c r="D734" s="68"/>
      <c r="E734" s="30"/>
      <c r="F734" s="30"/>
      <c r="G734" s="68"/>
      <c r="H734" s="30"/>
      <c r="M734" s="69"/>
      <c r="N734" s="70"/>
      <c r="O734" s="71"/>
      <c r="P734" s="72"/>
    </row>
    <row r="735" spans="1:16" ht="15.75" customHeight="1">
      <c r="A735" s="30"/>
      <c r="B735" s="30"/>
      <c r="C735" s="30"/>
      <c r="D735" s="68"/>
      <c r="E735" s="30"/>
      <c r="F735" s="30"/>
      <c r="G735" s="68"/>
      <c r="H735" s="30"/>
      <c r="M735" s="69"/>
      <c r="N735" s="70"/>
      <c r="O735" s="71"/>
      <c r="P735" s="72"/>
    </row>
    <row r="736" spans="1:16" ht="15.75" customHeight="1">
      <c r="A736" s="30"/>
      <c r="B736" s="30"/>
      <c r="C736" s="30"/>
      <c r="D736" s="68"/>
      <c r="E736" s="30"/>
      <c r="F736" s="30"/>
      <c r="G736" s="68"/>
      <c r="H736" s="30"/>
      <c r="M736" s="69"/>
      <c r="N736" s="70"/>
      <c r="O736" s="71"/>
      <c r="P736" s="72"/>
    </row>
    <row r="737" spans="1:16" ht="15.75" customHeight="1">
      <c r="A737" s="30"/>
      <c r="B737" s="30"/>
      <c r="C737" s="30"/>
      <c r="D737" s="68"/>
      <c r="E737" s="30"/>
      <c r="F737" s="30"/>
      <c r="G737" s="68"/>
      <c r="H737" s="30"/>
      <c r="M737" s="69"/>
      <c r="N737" s="70"/>
      <c r="O737" s="71"/>
      <c r="P737" s="72"/>
    </row>
    <row r="738" spans="1:16" ht="15.75" customHeight="1">
      <c r="A738" s="30"/>
      <c r="B738" s="30"/>
      <c r="C738" s="30"/>
      <c r="D738" s="68"/>
      <c r="E738" s="30"/>
      <c r="F738" s="30"/>
      <c r="G738" s="68"/>
      <c r="H738" s="30"/>
      <c r="M738" s="69"/>
      <c r="N738" s="70"/>
      <c r="O738" s="71"/>
      <c r="P738" s="72"/>
    </row>
    <row r="739" spans="1:16" ht="15.75" customHeight="1">
      <c r="A739" s="30"/>
      <c r="B739" s="30"/>
      <c r="C739" s="30"/>
      <c r="D739" s="68"/>
      <c r="E739" s="30"/>
      <c r="F739" s="30"/>
      <c r="G739" s="68"/>
      <c r="H739" s="30"/>
      <c r="M739" s="69"/>
      <c r="N739" s="70"/>
      <c r="O739" s="71"/>
      <c r="P739" s="72"/>
    </row>
    <row r="740" spans="1:16" ht="15.75" customHeight="1">
      <c r="A740" s="30"/>
      <c r="B740" s="30"/>
      <c r="C740" s="30"/>
      <c r="D740" s="68"/>
      <c r="E740" s="30"/>
      <c r="F740" s="30"/>
      <c r="G740" s="68"/>
      <c r="H740" s="30"/>
      <c r="M740" s="69"/>
      <c r="N740" s="70"/>
      <c r="O740" s="71"/>
      <c r="P740" s="72"/>
    </row>
    <row r="741" spans="1:16" ht="15.75" customHeight="1">
      <c r="A741" s="30"/>
      <c r="B741" s="30"/>
      <c r="C741" s="30"/>
      <c r="D741" s="68"/>
      <c r="E741" s="30"/>
      <c r="F741" s="30"/>
      <c r="G741" s="68"/>
      <c r="H741" s="30"/>
      <c r="M741" s="69"/>
      <c r="N741" s="70"/>
      <c r="O741" s="71"/>
      <c r="P741" s="72"/>
    </row>
    <row r="742" spans="1:16" ht="15.75" customHeight="1">
      <c r="A742" s="30"/>
      <c r="B742" s="30"/>
      <c r="C742" s="30"/>
      <c r="D742" s="68"/>
      <c r="E742" s="30"/>
      <c r="F742" s="30"/>
      <c r="G742" s="68"/>
      <c r="H742" s="30"/>
      <c r="M742" s="69"/>
      <c r="N742" s="70"/>
      <c r="O742" s="71"/>
      <c r="P742" s="72"/>
    </row>
    <row r="743" spans="1:16" ht="15.75" customHeight="1">
      <c r="A743" s="30"/>
      <c r="B743" s="30"/>
      <c r="C743" s="30"/>
      <c r="D743" s="68"/>
      <c r="E743" s="30"/>
      <c r="F743" s="30"/>
      <c r="G743" s="68"/>
      <c r="H743" s="30"/>
      <c r="M743" s="69"/>
      <c r="N743" s="70"/>
      <c r="O743" s="71"/>
      <c r="P743" s="72"/>
    </row>
    <row r="744" spans="1:16" ht="15.75" customHeight="1">
      <c r="A744" s="30"/>
      <c r="B744" s="30"/>
      <c r="C744" s="30"/>
      <c r="D744" s="68"/>
      <c r="E744" s="30"/>
      <c r="F744" s="30"/>
      <c r="G744" s="68"/>
      <c r="H744" s="30"/>
      <c r="M744" s="69"/>
      <c r="N744" s="70"/>
      <c r="O744" s="71"/>
      <c r="P744" s="72"/>
    </row>
    <row r="745" spans="1:16" ht="15.75" customHeight="1">
      <c r="A745" s="30"/>
      <c r="B745" s="30"/>
      <c r="C745" s="30"/>
      <c r="D745" s="68"/>
      <c r="E745" s="30"/>
      <c r="F745" s="30"/>
      <c r="G745" s="68"/>
      <c r="H745" s="30"/>
      <c r="M745" s="69"/>
      <c r="N745" s="70"/>
      <c r="O745" s="71"/>
      <c r="P745" s="72"/>
    </row>
    <row r="746" spans="1:16" ht="15.75" customHeight="1">
      <c r="A746" s="30"/>
      <c r="B746" s="30"/>
      <c r="C746" s="30"/>
      <c r="D746" s="68"/>
      <c r="E746" s="30"/>
      <c r="F746" s="30"/>
      <c r="G746" s="68"/>
      <c r="H746" s="30"/>
      <c r="M746" s="69"/>
      <c r="N746" s="70"/>
      <c r="O746" s="71"/>
      <c r="P746" s="72"/>
    </row>
    <row r="747" spans="1:16" ht="15.75" customHeight="1">
      <c r="A747" s="30"/>
      <c r="B747" s="30"/>
      <c r="C747" s="30"/>
      <c r="D747" s="68"/>
      <c r="E747" s="30"/>
      <c r="F747" s="30"/>
      <c r="G747" s="68"/>
      <c r="H747" s="30"/>
      <c r="M747" s="69"/>
      <c r="N747" s="70"/>
      <c r="O747" s="71"/>
      <c r="P747" s="72"/>
    </row>
    <row r="748" spans="1:16" ht="15.75" customHeight="1">
      <c r="A748" s="30"/>
      <c r="B748" s="30"/>
      <c r="C748" s="30"/>
      <c r="D748" s="68"/>
      <c r="E748" s="30"/>
      <c r="F748" s="30"/>
      <c r="G748" s="68"/>
      <c r="H748" s="30"/>
      <c r="M748" s="69"/>
      <c r="N748" s="70"/>
      <c r="O748" s="71"/>
      <c r="P748" s="72"/>
    </row>
    <row r="749" spans="1:16" ht="15.75" customHeight="1">
      <c r="A749" s="30"/>
      <c r="B749" s="30"/>
      <c r="C749" s="30"/>
      <c r="D749" s="68"/>
      <c r="E749" s="30"/>
      <c r="F749" s="30"/>
      <c r="G749" s="68"/>
      <c r="H749" s="30"/>
      <c r="M749" s="69"/>
      <c r="N749" s="70"/>
      <c r="O749" s="71"/>
      <c r="P749" s="72"/>
    </row>
    <row r="750" spans="1:16" ht="15.75" customHeight="1">
      <c r="A750" s="30"/>
      <c r="B750" s="30"/>
      <c r="C750" s="30"/>
      <c r="D750" s="68"/>
      <c r="E750" s="30"/>
      <c r="F750" s="30"/>
      <c r="G750" s="68"/>
      <c r="H750" s="30"/>
      <c r="M750" s="69"/>
      <c r="N750" s="70"/>
      <c r="O750" s="71"/>
      <c r="P750" s="72"/>
    </row>
    <row r="751" spans="1:16" ht="15.75" customHeight="1">
      <c r="A751" s="30"/>
      <c r="B751" s="30"/>
      <c r="C751" s="30"/>
      <c r="D751" s="68"/>
      <c r="E751" s="30"/>
      <c r="F751" s="30"/>
      <c r="G751" s="68"/>
      <c r="H751" s="30"/>
      <c r="M751" s="69"/>
      <c r="N751" s="70"/>
      <c r="O751" s="71"/>
      <c r="P751" s="72"/>
    </row>
    <row r="752" spans="1:16" ht="15.75" customHeight="1">
      <c r="A752" s="30"/>
      <c r="B752" s="30"/>
      <c r="C752" s="30"/>
      <c r="D752" s="68"/>
      <c r="E752" s="30"/>
      <c r="F752" s="30"/>
      <c r="G752" s="68"/>
      <c r="H752" s="30"/>
      <c r="M752" s="69"/>
      <c r="N752" s="70"/>
      <c r="O752" s="71"/>
      <c r="P752" s="72"/>
    </row>
    <row r="753" spans="1:16" ht="15.75" customHeight="1">
      <c r="A753" s="30"/>
      <c r="B753" s="30"/>
      <c r="C753" s="30"/>
      <c r="D753" s="68"/>
      <c r="E753" s="30"/>
      <c r="F753" s="30"/>
      <c r="G753" s="68"/>
      <c r="H753" s="30"/>
      <c r="M753" s="69"/>
      <c r="N753" s="70"/>
      <c r="O753" s="71"/>
      <c r="P753" s="72"/>
    </row>
    <row r="754" spans="1:16" ht="15.75" customHeight="1">
      <c r="A754" s="30"/>
      <c r="B754" s="30"/>
      <c r="C754" s="30"/>
      <c r="D754" s="68"/>
      <c r="E754" s="30"/>
      <c r="F754" s="30"/>
      <c r="G754" s="68"/>
      <c r="H754" s="30"/>
      <c r="M754" s="69"/>
      <c r="N754" s="70"/>
      <c r="O754" s="71"/>
      <c r="P754" s="72"/>
    </row>
    <row r="755" spans="1:16" ht="15.75" customHeight="1">
      <c r="A755" s="30"/>
      <c r="B755" s="30"/>
      <c r="C755" s="30"/>
      <c r="D755" s="68"/>
      <c r="E755" s="30"/>
      <c r="F755" s="30"/>
      <c r="G755" s="68"/>
      <c r="H755" s="30"/>
      <c r="M755" s="69"/>
      <c r="N755" s="70"/>
      <c r="O755" s="71"/>
      <c r="P755" s="72"/>
    </row>
    <row r="756" spans="1:16" ht="15.75" customHeight="1">
      <c r="A756" s="30"/>
      <c r="B756" s="30"/>
      <c r="C756" s="30"/>
      <c r="D756" s="68"/>
      <c r="E756" s="30"/>
      <c r="F756" s="30"/>
      <c r="G756" s="68"/>
      <c r="H756" s="30"/>
      <c r="M756" s="69"/>
      <c r="N756" s="70"/>
      <c r="O756" s="71"/>
      <c r="P756" s="72"/>
    </row>
    <row r="757" spans="1:16" ht="15.75" customHeight="1">
      <c r="A757" s="30"/>
      <c r="B757" s="30"/>
      <c r="C757" s="30"/>
      <c r="D757" s="68"/>
      <c r="E757" s="30"/>
      <c r="F757" s="30"/>
      <c r="G757" s="68"/>
      <c r="H757" s="30"/>
      <c r="M757" s="69"/>
      <c r="N757" s="70"/>
      <c r="O757" s="71"/>
      <c r="P757" s="72"/>
    </row>
    <row r="758" spans="1:16" ht="15.75" customHeight="1">
      <c r="A758" s="30"/>
      <c r="B758" s="30"/>
      <c r="C758" s="30"/>
      <c r="D758" s="68"/>
      <c r="E758" s="30"/>
      <c r="F758" s="30"/>
      <c r="G758" s="68"/>
      <c r="H758" s="30"/>
      <c r="M758" s="69"/>
      <c r="N758" s="70"/>
      <c r="O758" s="71"/>
      <c r="P758" s="72"/>
    </row>
    <row r="759" spans="1:16" ht="15.75" customHeight="1">
      <c r="A759" s="30"/>
      <c r="B759" s="30"/>
      <c r="C759" s="30"/>
      <c r="D759" s="68"/>
      <c r="E759" s="30"/>
      <c r="F759" s="30"/>
      <c r="G759" s="68"/>
      <c r="H759" s="30"/>
      <c r="M759" s="69"/>
      <c r="N759" s="70"/>
      <c r="O759" s="71"/>
      <c r="P759" s="72"/>
    </row>
    <row r="760" spans="1:16" ht="15.75" customHeight="1">
      <c r="A760" s="30"/>
      <c r="B760" s="30"/>
      <c r="C760" s="30"/>
      <c r="D760" s="68"/>
      <c r="E760" s="30"/>
      <c r="F760" s="30"/>
      <c r="G760" s="68"/>
      <c r="H760" s="30"/>
      <c r="M760" s="69"/>
      <c r="N760" s="70"/>
      <c r="O760" s="71"/>
      <c r="P760" s="72"/>
    </row>
    <row r="761" spans="1:16" ht="15.75" customHeight="1">
      <c r="A761" s="30"/>
      <c r="B761" s="30"/>
      <c r="C761" s="30"/>
      <c r="D761" s="68"/>
      <c r="E761" s="30"/>
      <c r="F761" s="30"/>
      <c r="G761" s="68"/>
      <c r="H761" s="30"/>
      <c r="M761" s="69"/>
      <c r="N761" s="70"/>
      <c r="O761" s="71"/>
      <c r="P761" s="72"/>
    </row>
    <row r="762" spans="1:16" ht="15.75" customHeight="1">
      <c r="A762" s="30"/>
      <c r="B762" s="30"/>
      <c r="C762" s="30"/>
      <c r="D762" s="68"/>
      <c r="E762" s="30"/>
      <c r="F762" s="30"/>
      <c r="G762" s="68"/>
      <c r="H762" s="30"/>
      <c r="M762" s="69"/>
      <c r="N762" s="70"/>
      <c r="O762" s="71"/>
      <c r="P762" s="72"/>
    </row>
    <row r="763" spans="1:16" ht="15.75" customHeight="1">
      <c r="A763" s="30"/>
      <c r="B763" s="30"/>
      <c r="C763" s="30"/>
      <c r="D763" s="68"/>
      <c r="E763" s="30"/>
      <c r="F763" s="30"/>
      <c r="G763" s="68"/>
      <c r="H763" s="30"/>
      <c r="M763" s="69"/>
      <c r="N763" s="70"/>
      <c r="O763" s="71"/>
      <c r="P763" s="72"/>
    </row>
    <row r="764" spans="1:16" ht="15.75" customHeight="1">
      <c r="A764" s="30"/>
      <c r="B764" s="30"/>
      <c r="C764" s="30"/>
      <c r="D764" s="68"/>
      <c r="E764" s="30"/>
      <c r="F764" s="30"/>
      <c r="G764" s="68"/>
      <c r="H764" s="30"/>
      <c r="M764" s="69"/>
      <c r="N764" s="70"/>
      <c r="O764" s="71"/>
      <c r="P764" s="72"/>
    </row>
    <row r="765" spans="1:16" ht="15.75" customHeight="1">
      <c r="A765" s="30"/>
      <c r="B765" s="30"/>
      <c r="C765" s="30"/>
      <c r="D765" s="68"/>
      <c r="E765" s="30"/>
      <c r="F765" s="30"/>
      <c r="G765" s="68"/>
      <c r="H765" s="30"/>
      <c r="M765" s="69"/>
      <c r="N765" s="70"/>
      <c r="O765" s="71"/>
      <c r="P765" s="72"/>
    </row>
    <row r="766" spans="1:16" ht="15.75" customHeight="1">
      <c r="A766" s="30"/>
      <c r="B766" s="30"/>
      <c r="C766" s="30"/>
      <c r="D766" s="68"/>
      <c r="E766" s="30"/>
      <c r="F766" s="30"/>
      <c r="G766" s="68"/>
      <c r="H766" s="30"/>
      <c r="M766" s="69"/>
      <c r="N766" s="70"/>
      <c r="O766" s="71"/>
      <c r="P766" s="72"/>
    </row>
    <row r="767" spans="1:16" ht="15.75" customHeight="1">
      <c r="A767" s="30"/>
      <c r="B767" s="30"/>
      <c r="C767" s="30"/>
      <c r="D767" s="68"/>
      <c r="E767" s="30"/>
      <c r="F767" s="30"/>
      <c r="G767" s="68"/>
      <c r="H767" s="30"/>
      <c r="M767" s="69"/>
      <c r="N767" s="70"/>
      <c r="O767" s="71"/>
      <c r="P767" s="72"/>
    </row>
    <row r="768" spans="1:16" ht="15.75" customHeight="1">
      <c r="A768" s="30"/>
      <c r="B768" s="30"/>
      <c r="C768" s="30"/>
      <c r="D768" s="68"/>
      <c r="E768" s="30"/>
      <c r="F768" s="30"/>
      <c r="G768" s="68"/>
      <c r="H768" s="30"/>
      <c r="M768" s="69"/>
      <c r="N768" s="70"/>
      <c r="O768" s="71"/>
      <c r="P768" s="72"/>
    </row>
    <row r="769" spans="1:16" ht="15.75" customHeight="1">
      <c r="A769" s="30"/>
      <c r="B769" s="30"/>
      <c r="C769" s="30"/>
      <c r="D769" s="68"/>
      <c r="E769" s="30"/>
      <c r="F769" s="30"/>
      <c r="G769" s="68"/>
      <c r="H769" s="30"/>
      <c r="M769" s="69"/>
      <c r="N769" s="70"/>
      <c r="O769" s="71"/>
      <c r="P769" s="72"/>
    </row>
    <row r="770" spans="1:16" ht="15.75" customHeight="1">
      <c r="A770" s="30"/>
      <c r="B770" s="30"/>
      <c r="C770" s="30"/>
      <c r="D770" s="68"/>
      <c r="E770" s="30"/>
      <c r="F770" s="30"/>
      <c r="G770" s="68"/>
      <c r="H770" s="30"/>
      <c r="M770" s="69"/>
      <c r="N770" s="70"/>
      <c r="O770" s="71"/>
      <c r="P770" s="72"/>
    </row>
    <row r="771" spans="1:16" ht="15.75" customHeight="1">
      <c r="A771" s="30"/>
      <c r="B771" s="30"/>
      <c r="C771" s="30"/>
      <c r="D771" s="68"/>
      <c r="E771" s="30"/>
      <c r="F771" s="30"/>
      <c r="G771" s="68"/>
      <c r="H771" s="30"/>
      <c r="M771" s="69"/>
      <c r="N771" s="70"/>
      <c r="O771" s="71"/>
      <c r="P771" s="72"/>
    </row>
    <row r="772" spans="1:16" ht="15.75" customHeight="1">
      <c r="A772" s="30"/>
      <c r="B772" s="30"/>
      <c r="C772" s="30"/>
      <c r="D772" s="68"/>
      <c r="E772" s="30"/>
      <c r="F772" s="30"/>
      <c r="G772" s="68"/>
      <c r="H772" s="30"/>
      <c r="M772" s="69"/>
      <c r="N772" s="70"/>
      <c r="O772" s="71"/>
      <c r="P772" s="72"/>
    </row>
    <row r="773" spans="1:16" ht="15.75" customHeight="1">
      <c r="A773" s="30"/>
      <c r="B773" s="30"/>
      <c r="C773" s="30"/>
      <c r="D773" s="68"/>
      <c r="E773" s="30"/>
      <c r="F773" s="30"/>
      <c r="G773" s="68"/>
      <c r="H773" s="30"/>
      <c r="M773" s="69"/>
      <c r="N773" s="70"/>
      <c r="O773" s="71"/>
      <c r="P773" s="72"/>
    </row>
    <row r="774" spans="1:16" ht="15.75" customHeight="1">
      <c r="A774" s="30"/>
      <c r="B774" s="30"/>
      <c r="C774" s="30"/>
      <c r="D774" s="68"/>
      <c r="E774" s="30"/>
      <c r="F774" s="30"/>
      <c r="G774" s="68"/>
      <c r="H774" s="30"/>
      <c r="M774" s="69"/>
      <c r="N774" s="70"/>
      <c r="O774" s="71"/>
      <c r="P774" s="72"/>
    </row>
    <row r="775" spans="1:16" ht="15.75" customHeight="1">
      <c r="A775" s="30"/>
      <c r="B775" s="30"/>
      <c r="C775" s="30"/>
      <c r="D775" s="68"/>
      <c r="E775" s="30"/>
      <c r="F775" s="30"/>
      <c r="G775" s="68"/>
      <c r="H775" s="30"/>
      <c r="M775" s="69"/>
      <c r="N775" s="70"/>
      <c r="O775" s="71"/>
      <c r="P775" s="72"/>
    </row>
    <row r="776" spans="1:16" ht="15.75" customHeight="1">
      <c r="A776" s="30"/>
      <c r="B776" s="30"/>
      <c r="C776" s="30"/>
      <c r="D776" s="68"/>
      <c r="E776" s="30"/>
      <c r="F776" s="30"/>
      <c r="G776" s="68"/>
      <c r="H776" s="30"/>
      <c r="M776" s="69"/>
      <c r="N776" s="70"/>
      <c r="O776" s="71"/>
      <c r="P776" s="72"/>
    </row>
    <row r="777" spans="1:16" ht="15.75" customHeight="1">
      <c r="A777" s="30"/>
      <c r="B777" s="30"/>
      <c r="C777" s="30"/>
      <c r="D777" s="68"/>
      <c r="E777" s="30"/>
      <c r="F777" s="30"/>
      <c r="G777" s="68"/>
      <c r="H777" s="30"/>
      <c r="M777" s="69"/>
      <c r="N777" s="70"/>
      <c r="O777" s="71"/>
      <c r="P777" s="72"/>
    </row>
    <row r="778" spans="1:16" ht="15.75" customHeight="1">
      <c r="A778" s="30"/>
      <c r="B778" s="30"/>
      <c r="C778" s="30"/>
      <c r="D778" s="68"/>
      <c r="E778" s="30"/>
      <c r="F778" s="30"/>
      <c r="G778" s="68"/>
      <c r="H778" s="30"/>
      <c r="M778" s="69"/>
      <c r="N778" s="70"/>
      <c r="O778" s="71"/>
      <c r="P778" s="72"/>
    </row>
    <row r="779" spans="1:16" ht="15.75" customHeight="1">
      <c r="A779" s="30"/>
      <c r="B779" s="30"/>
      <c r="C779" s="30"/>
      <c r="D779" s="68"/>
      <c r="E779" s="30"/>
      <c r="F779" s="30"/>
      <c r="G779" s="68"/>
      <c r="H779" s="30"/>
      <c r="M779" s="69"/>
      <c r="N779" s="70"/>
      <c r="O779" s="71"/>
      <c r="P779" s="72"/>
    </row>
    <row r="780" spans="1:16" ht="15.75" customHeight="1">
      <c r="A780" s="30"/>
      <c r="B780" s="30"/>
      <c r="C780" s="30"/>
      <c r="D780" s="68"/>
      <c r="E780" s="30"/>
      <c r="F780" s="30"/>
      <c r="G780" s="68"/>
      <c r="H780" s="30"/>
      <c r="M780" s="69"/>
      <c r="N780" s="70"/>
      <c r="O780" s="71"/>
      <c r="P780" s="72"/>
    </row>
    <row r="781" spans="1:16" ht="15.75" customHeight="1">
      <c r="A781" s="30"/>
      <c r="B781" s="30"/>
      <c r="C781" s="30"/>
      <c r="D781" s="68"/>
      <c r="E781" s="30"/>
      <c r="F781" s="30"/>
      <c r="G781" s="68"/>
      <c r="H781" s="30"/>
      <c r="M781" s="69"/>
      <c r="N781" s="70"/>
      <c r="O781" s="71"/>
      <c r="P781" s="72"/>
    </row>
    <row r="782" spans="1:16" ht="15.75" customHeight="1">
      <c r="A782" s="30"/>
      <c r="B782" s="30"/>
      <c r="C782" s="30"/>
      <c r="D782" s="68"/>
      <c r="E782" s="30"/>
      <c r="F782" s="30"/>
      <c r="G782" s="68"/>
      <c r="H782" s="30"/>
      <c r="M782" s="69"/>
      <c r="N782" s="70"/>
      <c r="O782" s="71"/>
      <c r="P782" s="72"/>
    </row>
    <row r="783" spans="1:16" ht="15.75" customHeight="1">
      <c r="A783" s="30"/>
      <c r="B783" s="30"/>
      <c r="C783" s="30"/>
      <c r="D783" s="68"/>
      <c r="E783" s="30"/>
      <c r="F783" s="30"/>
      <c r="G783" s="68"/>
      <c r="H783" s="30"/>
      <c r="M783" s="69"/>
      <c r="N783" s="70"/>
      <c r="O783" s="71"/>
      <c r="P783" s="72"/>
    </row>
    <row r="784" spans="1:16" ht="15.75" customHeight="1">
      <c r="A784" s="30"/>
      <c r="B784" s="30"/>
      <c r="C784" s="30"/>
      <c r="D784" s="68"/>
      <c r="E784" s="30"/>
      <c r="F784" s="30"/>
      <c r="G784" s="68"/>
      <c r="H784" s="30"/>
      <c r="M784" s="69"/>
      <c r="N784" s="70"/>
      <c r="O784" s="71"/>
      <c r="P784" s="72"/>
    </row>
    <row r="785" spans="1:16" ht="15.75" customHeight="1">
      <c r="A785" s="30"/>
      <c r="B785" s="30"/>
      <c r="C785" s="30"/>
      <c r="D785" s="68"/>
      <c r="E785" s="30"/>
      <c r="F785" s="30"/>
      <c r="G785" s="68"/>
      <c r="H785" s="30"/>
      <c r="M785" s="69"/>
      <c r="N785" s="70"/>
      <c r="O785" s="71"/>
      <c r="P785" s="72"/>
    </row>
    <row r="786" spans="1:16" ht="15.75" customHeight="1">
      <c r="A786" s="30"/>
      <c r="B786" s="30"/>
      <c r="C786" s="30"/>
      <c r="D786" s="68"/>
      <c r="E786" s="30"/>
      <c r="F786" s="30"/>
      <c r="G786" s="68"/>
      <c r="H786" s="30"/>
      <c r="M786" s="69"/>
      <c r="N786" s="70"/>
      <c r="O786" s="71"/>
      <c r="P786" s="72"/>
    </row>
    <row r="787" spans="1:16" ht="15.75" customHeight="1">
      <c r="A787" s="30"/>
      <c r="B787" s="30"/>
      <c r="C787" s="30"/>
      <c r="D787" s="68"/>
      <c r="E787" s="30"/>
      <c r="F787" s="30"/>
      <c r="G787" s="68"/>
      <c r="H787" s="30"/>
      <c r="M787" s="69"/>
      <c r="N787" s="70"/>
      <c r="O787" s="71"/>
      <c r="P787" s="72"/>
    </row>
    <row r="788" spans="1:16" ht="15.75" customHeight="1">
      <c r="A788" s="30"/>
      <c r="B788" s="30"/>
      <c r="C788" s="30"/>
      <c r="D788" s="68"/>
      <c r="E788" s="30"/>
      <c r="F788" s="30"/>
      <c r="G788" s="68"/>
      <c r="H788" s="30"/>
      <c r="M788" s="69"/>
      <c r="N788" s="70"/>
      <c r="O788" s="71"/>
      <c r="P788" s="72"/>
    </row>
    <row r="789" spans="1:16" ht="15.75" customHeight="1">
      <c r="A789" s="30"/>
      <c r="B789" s="30"/>
      <c r="C789" s="30"/>
      <c r="D789" s="68"/>
      <c r="E789" s="30"/>
      <c r="F789" s="30"/>
      <c r="G789" s="68"/>
      <c r="H789" s="30"/>
      <c r="M789" s="69"/>
      <c r="N789" s="70"/>
      <c r="O789" s="71"/>
      <c r="P789" s="72"/>
    </row>
    <row r="790" spans="1:16" ht="15.75" customHeight="1">
      <c r="A790" s="30"/>
      <c r="B790" s="30"/>
      <c r="C790" s="30"/>
      <c r="D790" s="68"/>
      <c r="E790" s="30"/>
      <c r="F790" s="30"/>
      <c r="G790" s="68"/>
      <c r="H790" s="30"/>
      <c r="M790" s="69"/>
      <c r="N790" s="70"/>
      <c r="O790" s="71"/>
      <c r="P790" s="72"/>
    </row>
    <row r="791" spans="1:16" ht="15.75" customHeight="1">
      <c r="A791" s="30"/>
      <c r="B791" s="30"/>
      <c r="C791" s="30"/>
      <c r="D791" s="68"/>
      <c r="E791" s="30"/>
      <c r="F791" s="30"/>
      <c r="G791" s="68"/>
      <c r="H791" s="30"/>
      <c r="M791" s="69"/>
      <c r="N791" s="70"/>
      <c r="O791" s="71"/>
      <c r="P791" s="72"/>
    </row>
    <row r="792" spans="1:16" ht="15.75" customHeight="1">
      <c r="A792" s="30"/>
      <c r="B792" s="30"/>
      <c r="C792" s="30"/>
      <c r="D792" s="68"/>
      <c r="E792" s="30"/>
      <c r="F792" s="30"/>
      <c r="G792" s="68"/>
      <c r="H792" s="30"/>
      <c r="M792" s="69"/>
      <c r="N792" s="70"/>
      <c r="O792" s="71"/>
      <c r="P792" s="72"/>
    </row>
    <row r="793" spans="1:16" ht="15.75" customHeight="1">
      <c r="A793" s="30"/>
      <c r="B793" s="30"/>
      <c r="C793" s="30"/>
      <c r="D793" s="68"/>
      <c r="E793" s="30"/>
      <c r="F793" s="30"/>
      <c r="G793" s="68"/>
      <c r="H793" s="30"/>
      <c r="M793" s="69"/>
      <c r="N793" s="70"/>
      <c r="O793" s="71"/>
      <c r="P793" s="72"/>
    </row>
    <row r="794" spans="1:16" ht="15.75" customHeight="1">
      <c r="A794" s="30"/>
      <c r="B794" s="30"/>
      <c r="C794" s="30"/>
      <c r="D794" s="68"/>
      <c r="E794" s="30"/>
      <c r="F794" s="30"/>
      <c r="G794" s="68"/>
      <c r="H794" s="30"/>
      <c r="M794" s="69"/>
      <c r="N794" s="70"/>
      <c r="O794" s="71"/>
      <c r="P794" s="72"/>
    </row>
    <row r="795" spans="1:16" ht="15.75" customHeight="1">
      <c r="A795" s="30"/>
      <c r="B795" s="30"/>
      <c r="C795" s="30"/>
      <c r="D795" s="68"/>
      <c r="E795" s="30"/>
      <c r="F795" s="30"/>
      <c r="G795" s="68"/>
      <c r="H795" s="30"/>
      <c r="M795" s="69"/>
      <c r="N795" s="70"/>
      <c r="O795" s="71"/>
      <c r="P795" s="72"/>
    </row>
    <row r="796" spans="1:16" ht="15.75" customHeight="1">
      <c r="A796" s="30"/>
      <c r="B796" s="30"/>
      <c r="C796" s="30"/>
      <c r="D796" s="68"/>
      <c r="E796" s="30"/>
      <c r="F796" s="30"/>
      <c r="G796" s="68"/>
      <c r="H796" s="30"/>
      <c r="M796" s="69"/>
      <c r="N796" s="70"/>
      <c r="O796" s="71"/>
      <c r="P796" s="72"/>
    </row>
    <row r="797" spans="1:16" ht="15.75" customHeight="1">
      <c r="A797" s="30"/>
      <c r="B797" s="30"/>
      <c r="C797" s="30"/>
      <c r="D797" s="68"/>
      <c r="E797" s="30"/>
      <c r="F797" s="30"/>
      <c r="G797" s="68"/>
      <c r="H797" s="30"/>
      <c r="M797" s="69"/>
      <c r="N797" s="70"/>
      <c r="O797" s="71"/>
      <c r="P797" s="72"/>
    </row>
    <row r="798" spans="1:16" ht="15.75" customHeight="1">
      <c r="A798" s="30"/>
      <c r="B798" s="30"/>
      <c r="C798" s="30"/>
      <c r="D798" s="68"/>
      <c r="E798" s="30"/>
      <c r="F798" s="30"/>
      <c r="G798" s="68"/>
      <c r="H798" s="30"/>
      <c r="M798" s="69"/>
      <c r="N798" s="70"/>
      <c r="O798" s="71"/>
      <c r="P798" s="72"/>
    </row>
    <row r="799" spans="1:16" ht="15.75" customHeight="1">
      <c r="A799" s="30"/>
      <c r="B799" s="30"/>
      <c r="C799" s="30"/>
      <c r="D799" s="68"/>
      <c r="E799" s="30"/>
      <c r="F799" s="30"/>
      <c r="G799" s="68"/>
      <c r="H799" s="30"/>
      <c r="M799" s="69"/>
      <c r="N799" s="70"/>
      <c r="O799" s="71"/>
      <c r="P799" s="72"/>
    </row>
    <row r="800" spans="1:16" ht="15.75" customHeight="1">
      <c r="A800" s="30"/>
      <c r="B800" s="30"/>
      <c r="C800" s="30"/>
      <c r="D800" s="68"/>
      <c r="E800" s="30"/>
      <c r="F800" s="30"/>
      <c r="G800" s="68"/>
      <c r="H800" s="30"/>
      <c r="M800" s="69"/>
      <c r="N800" s="70"/>
      <c r="O800" s="71"/>
      <c r="P800" s="72"/>
    </row>
    <row r="801" spans="1:16" ht="15.75" customHeight="1">
      <c r="A801" s="30"/>
      <c r="B801" s="30"/>
      <c r="C801" s="30"/>
      <c r="D801" s="68"/>
      <c r="E801" s="30"/>
      <c r="F801" s="30"/>
      <c r="G801" s="68"/>
      <c r="H801" s="30"/>
      <c r="M801" s="69"/>
      <c r="N801" s="70"/>
      <c r="O801" s="71"/>
      <c r="P801" s="72"/>
    </row>
    <row r="802" spans="1:16" ht="15.75" customHeight="1">
      <c r="A802" s="30"/>
      <c r="B802" s="30"/>
      <c r="C802" s="30"/>
      <c r="D802" s="68"/>
      <c r="E802" s="30"/>
      <c r="F802" s="30"/>
      <c r="G802" s="68"/>
      <c r="H802" s="30"/>
      <c r="M802" s="69"/>
      <c r="N802" s="70"/>
      <c r="O802" s="71"/>
      <c r="P802" s="72"/>
    </row>
    <row r="803" spans="1:16" ht="15.75" customHeight="1">
      <c r="A803" s="30"/>
      <c r="B803" s="30"/>
      <c r="C803" s="30"/>
      <c r="D803" s="68"/>
      <c r="E803" s="30"/>
      <c r="F803" s="30"/>
      <c r="G803" s="68"/>
      <c r="H803" s="30"/>
      <c r="M803" s="69"/>
      <c r="N803" s="70"/>
      <c r="O803" s="71"/>
      <c r="P803" s="72"/>
    </row>
    <row r="804" spans="1:16" ht="15.75" customHeight="1">
      <c r="A804" s="30"/>
      <c r="B804" s="30"/>
      <c r="C804" s="30"/>
      <c r="D804" s="68"/>
      <c r="E804" s="30"/>
      <c r="F804" s="30"/>
      <c r="G804" s="68"/>
      <c r="H804" s="30"/>
      <c r="M804" s="69"/>
      <c r="N804" s="70"/>
      <c r="O804" s="71"/>
      <c r="P804" s="72"/>
    </row>
    <row r="805" spans="1:16" ht="15.75" customHeight="1">
      <c r="A805" s="30"/>
      <c r="B805" s="30"/>
      <c r="C805" s="30"/>
      <c r="D805" s="68"/>
      <c r="E805" s="30"/>
      <c r="F805" s="30"/>
      <c r="G805" s="68"/>
      <c r="H805" s="30"/>
      <c r="M805" s="69"/>
      <c r="N805" s="70"/>
      <c r="O805" s="71"/>
      <c r="P805" s="72"/>
    </row>
    <row r="806" spans="1:16" ht="15.75" customHeight="1">
      <c r="A806" s="30"/>
      <c r="B806" s="30"/>
      <c r="C806" s="30"/>
      <c r="D806" s="68"/>
      <c r="E806" s="30"/>
      <c r="F806" s="30"/>
      <c r="G806" s="68"/>
      <c r="H806" s="30"/>
      <c r="M806" s="69"/>
      <c r="N806" s="70"/>
      <c r="O806" s="71"/>
      <c r="P806" s="72"/>
    </row>
    <row r="807" spans="1:16" ht="15.75" customHeight="1">
      <c r="A807" s="30"/>
      <c r="B807" s="30"/>
      <c r="C807" s="30"/>
      <c r="D807" s="68"/>
      <c r="E807" s="30"/>
      <c r="F807" s="30"/>
      <c r="G807" s="68"/>
      <c r="H807" s="30"/>
      <c r="M807" s="69"/>
      <c r="N807" s="70"/>
      <c r="O807" s="71"/>
      <c r="P807" s="72"/>
    </row>
    <row r="808" spans="1:16" ht="15.75" customHeight="1">
      <c r="A808" s="30"/>
      <c r="B808" s="30"/>
      <c r="C808" s="30"/>
      <c r="D808" s="68"/>
      <c r="E808" s="30"/>
      <c r="F808" s="30"/>
      <c r="G808" s="68"/>
      <c r="H808" s="30"/>
      <c r="M808" s="69"/>
      <c r="N808" s="70"/>
      <c r="O808" s="71"/>
      <c r="P808" s="72"/>
    </row>
    <row r="809" spans="1:16" ht="15.75" customHeight="1">
      <c r="A809" s="30"/>
      <c r="B809" s="30"/>
      <c r="C809" s="30"/>
      <c r="D809" s="68"/>
      <c r="E809" s="30"/>
      <c r="F809" s="30"/>
      <c r="G809" s="68"/>
      <c r="H809" s="30"/>
      <c r="M809" s="69"/>
      <c r="N809" s="70"/>
      <c r="O809" s="71"/>
      <c r="P809" s="72"/>
    </row>
    <row r="810" spans="1:16" ht="15.75" customHeight="1">
      <c r="A810" s="30"/>
      <c r="B810" s="30"/>
      <c r="C810" s="30"/>
      <c r="D810" s="68"/>
      <c r="E810" s="30"/>
      <c r="F810" s="30"/>
      <c r="G810" s="68"/>
      <c r="H810" s="30"/>
      <c r="M810" s="69"/>
      <c r="N810" s="70"/>
      <c r="O810" s="71"/>
      <c r="P810" s="72"/>
    </row>
    <row r="811" spans="1:16" ht="15.75" customHeight="1">
      <c r="A811" s="30"/>
      <c r="B811" s="30"/>
      <c r="C811" s="30"/>
      <c r="D811" s="68"/>
      <c r="E811" s="30"/>
      <c r="F811" s="30"/>
      <c r="G811" s="68"/>
      <c r="H811" s="30"/>
      <c r="M811" s="69"/>
      <c r="N811" s="70"/>
      <c r="O811" s="71"/>
      <c r="P811" s="72"/>
    </row>
    <row r="812" spans="1:16" ht="15.75" customHeight="1">
      <c r="A812" s="30"/>
      <c r="B812" s="30"/>
      <c r="C812" s="30"/>
      <c r="D812" s="68"/>
      <c r="E812" s="30"/>
      <c r="F812" s="30"/>
      <c r="G812" s="68"/>
      <c r="H812" s="30"/>
      <c r="M812" s="69"/>
      <c r="N812" s="70"/>
      <c r="O812" s="71"/>
      <c r="P812" s="72"/>
    </row>
    <row r="813" spans="1:16" ht="15.75" customHeight="1">
      <c r="A813" s="30"/>
      <c r="B813" s="30"/>
      <c r="C813" s="30"/>
      <c r="D813" s="68"/>
      <c r="E813" s="30"/>
      <c r="F813" s="30"/>
      <c r="G813" s="68"/>
      <c r="H813" s="30"/>
      <c r="M813" s="69"/>
      <c r="N813" s="70"/>
      <c r="O813" s="71"/>
      <c r="P813" s="72"/>
    </row>
    <row r="814" spans="1:16" ht="15.75" customHeight="1">
      <c r="A814" s="30"/>
      <c r="B814" s="30"/>
      <c r="C814" s="30"/>
      <c r="D814" s="68"/>
      <c r="E814" s="30"/>
      <c r="F814" s="30"/>
      <c r="G814" s="68"/>
      <c r="H814" s="30"/>
      <c r="M814" s="69"/>
      <c r="N814" s="70"/>
      <c r="O814" s="71"/>
      <c r="P814" s="72"/>
    </row>
    <row r="815" spans="1:16" ht="15.75" customHeight="1">
      <c r="A815" s="30"/>
      <c r="B815" s="30"/>
      <c r="C815" s="30"/>
      <c r="D815" s="68"/>
      <c r="E815" s="30"/>
      <c r="F815" s="30"/>
      <c r="G815" s="68"/>
      <c r="H815" s="30"/>
      <c r="M815" s="69"/>
      <c r="N815" s="70"/>
      <c r="O815" s="71"/>
      <c r="P815" s="72"/>
    </row>
    <row r="816" spans="1:16" ht="15.75" customHeight="1">
      <c r="A816" s="30"/>
      <c r="B816" s="30"/>
      <c r="C816" s="30"/>
      <c r="D816" s="68"/>
      <c r="E816" s="30"/>
      <c r="F816" s="30"/>
      <c r="G816" s="68"/>
      <c r="H816" s="30"/>
      <c r="M816" s="69"/>
      <c r="N816" s="70"/>
      <c r="O816" s="71"/>
      <c r="P816" s="72"/>
    </row>
    <row r="817" spans="1:16" ht="15.75" customHeight="1">
      <c r="A817" s="30"/>
      <c r="B817" s="30"/>
      <c r="C817" s="30"/>
      <c r="D817" s="68"/>
      <c r="E817" s="30"/>
      <c r="F817" s="30"/>
      <c r="G817" s="68"/>
      <c r="H817" s="30"/>
      <c r="M817" s="69"/>
      <c r="N817" s="70"/>
      <c r="O817" s="71"/>
      <c r="P817" s="72"/>
    </row>
    <row r="818" spans="1:16" ht="15.75" customHeight="1">
      <c r="A818" s="30"/>
      <c r="B818" s="30"/>
      <c r="C818" s="30"/>
      <c r="D818" s="68"/>
      <c r="E818" s="30"/>
      <c r="F818" s="30"/>
      <c r="G818" s="68"/>
      <c r="H818" s="30"/>
      <c r="M818" s="69"/>
      <c r="N818" s="70"/>
      <c r="O818" s="71"/>
      <c r="P818" s="72"/>
    </row>
    <row r="819" spans="1:16" ht="15.75" customHeight="1">
      <c r="A819" s="30"/>
      <c r="B819" s="30"/>
      <c r="C819" s="30"/>
      <c r="D819" s="68"/>
      <c r="E819" s="30"/>
      <c r="F819" s="30"/>
      <c r="G819" s="68"/>
      <c r="H819" s="30"/>
      <c r="M819" s="69"/>
      <c r="N819" s="70"/>
      <c r="O819" s="71"/>
      <c r="P819" s="72"/>
    </row>
    <row r="820" spans="1:16" ht="15.75" customHeight="1">
      <c r="A820" s="30"/>
      <c r="B820" s="30"/>
      <c r="C820" s="30"/>
      <c r="D820" s="68"/>
      <c r="E820" s="30"/>
      <c r="F820" s="30"/>
      <c r="G820" s="68"/>
      <c r="H820" s="30"/>
      <c r="M820" s="69"/>
      <c r="N820" s="70"/>
      <c r="O820" s="71"/>
      <c r="P820" s="72"/>
    </row>
    <row r="821" spans="1:16" ht="15.75" customHeight="1">
      <c r="A821" s="30"/>
      <c r="B821" s="30"/>
      <c r="C821" s="30"/>
      <c r="D821" s="68"/>
      <c r="E821" s="30"/>
      <c r="F821" s="30"/>
      <c r="G821" s="68"/>
      <c r="H821" s="30"/>
      <c r="M821" s="69"/>
      <c r="N821" s="70"/>
      <c r="O821" s="71"/>
      <c r="P821" s="72"/>
    </row>
    <row r="822" spans="1:16" ht="15.75" customHeight="1">
      <c r="A822" s="30"/>
      <c r="B822" s="30"/>
      <c r="C822" s="30"/>
      <c r="D822" s="68"/>
      <c r="E822" s="30"/>
      <c r="F822" s="30"/>
      <c r="G822" s="68"/>
      <c r="H822" s="30"/>
      <c r="M822" s="69"/>
      <c r="N822" s="70"/>
      <c r="O822" s="71"/>
      <c r="P822" s="72"/>
    </row>
    <row r="823" spans="1:16" ht="15.75" customHeight="1">
      <c r="A823" s="30"/>
      <c r="B823" s="30"/>
      <c r="C823" s="30"/>
      <c r="D823" s="68"/>
      <c r="E823" s="30"/>
      <c r="F823" s="30"/>
      <c r="G823" s="68"/>
      <c r="H823" s="30"/>
      <c r="M823" s="69"/>
      <c r="N823" s="70"/>
      <c r="O823" s="71"/>
      <c r="P823" s="72"/>
    </row>
    <row r="824" spans="1:16" ht="15.75" customHeight="1">
      <c r="A824" s="30"/>
      <c r="B824" s="30"/>
      <c r="C824" s="30"/>
      <c r="D824" s="68"/>
      <c r="E824" s="30"/>
      <c r="F824" s="30"/>
      <c r="G824" s="68"/>
      <c r="H824" s="30"/>
      <c r="M824" s="69"/>
      <c r="N824" s="70"/>
      <c r="O824" s="71"/>
      <c r="P824" s="72"/>
    </row>
    <row r="825" spans="1:16" ht="15.75" customHeight="1">
      <c r="A825" s="30"/>
      <c r="B825" s="30"/>
      <c r="C825" s="30"/>
      <c r="D825" s="68"/>
      <c r="E825" s="30"/>
      <c r="F825" s="30"/>
      <c r="G825" s="68"/>
      <c r="H825" s="30"/>
      <c r="M825" s="69"/>
      <c r="N825" s="70"/>
      <c r="O825" s="71"/>
      <c r="P825" s="72"/>
    </row>
    <row r="826" spans="1:16" ht="15.75" customHeight="1">
      <c r="A826" s="30"/>
      <c r="B826" s="30"/>
      <c r="C826" s="30"/>
      <c r="D826" s="68"/>
      <c r="E826" s="30"/>
      <c r="F826" s="30"/>
      <c r="G826" s="68"/>
      <c r="H826" s="30"/>
      <c r="M826" s="69"/>
      <c r="N826" s="70"/>
      <c r="O826" s="71"/>
      <c r="P826" s="72"/>
    </row>
    <row r="827" spans="1:16" ht="15.75" customHeight="1">
      <c r="A827" s="30"/>
      <c r="B827" s="30"/>
      <c r="C827" s="30"/>
      <c r="D827" s="68"/>
      <c r="E827" s="30"/>
      <c r="F827" s="30"/>
      <c r="G827" s="68"/>
      <c r="H827" s="30"/>
      <c r="M827" s="69"/>
      <c r="N827" s="70"/>
      <c r="O827" s="71"/>
      <c r="P827" s="72"/>
    </row>
    <row r="828" spans="1:16" ht="15.75" customHeight="1">
      <c r="A828" s="30"/>
      <c r="B828" s="30"/>
      <c r="C828" s="30"/>
      <c r="D828" s="68"/>
      <c r="E828" s="30"/>
      <c r="F828" s="30"/>
      <c r="G828" s="68"/>
      <c r="H828" s="30"/>
      <c r="M828" s="69"/>
      <c r="N828" s="70"/>
      <c r="O828" s="71"/>
      <c r="P828" s="72"/>
    </row>
    <row r="829" spans="1:16" ht="15.75" customHeight="1">
      <c r="A829" s="30"/>
      <c r="B829" s="30"/>
      <c r="C829" s="30"/>
      <c r="D829" s="68"/>
      <c r="E829" s="30"/>
      <c r="F829" s="30"/>
      <c r="G829" s="68"/>
      <c r="H829" s="30"/>
      <c r="M829" s="69"/>
      <c r="N829" s="70"/>
      <c r="O829" s="71"/>
      <c r="P829" s="72"/>
    </row>
    <row r="830" spans="1:16" ht="15.75" customHeight="1">
      <c r="A830" s="30"/>
      <c r="B830" s="30"/>
      <c r="C830" s="30"/>
      <c r="D830" s="68"/>
      <c r="E830" s="30"/>
      <c r="F830" s="30"/>
      <c r="G830" s="68"/>
      <c r="H830" s="30"/>
      <c r="M830" s="69"/>
      <c r="N830" s="70"/>
      <c r="O830" s="71"/>
      <c r="P830" s="72"/>
    </row>
    <row r="831" spans="1:16" ht="15.75" customHeight="1">
      <c r="A831" s="30"/>
      <c r="B831" s="30"/>
      <c r="C831" s="30"/>
      <c r="D831" s="68"/>
      <c r="E831" s="30"/>
      <c r="F831" s="30"/>
      <c r="G831" s="68"/>
      <c r="H831" s="30"/>
      <c r="M831" s="69"/>
      <c r="N831" s="70"/>
      <c r="O831" s="71"/>
      <c r="P831" s="72"/>
    </row>
    <row r="832" spans="1:16" ht="15.75" customHeight="1">
      <c r="A832" s="30"/>
      <c r="B832" s="30"/>
      <c r="C832" s="30"/>
      <c r="D832" s="68"/>
      <c r="E832" s="30"/>
      <c r="F832" s="30"/>
      <c r="G832" s="68"/>
      <c r="H832" s="30"/>
      <c r="M832" s="69"/>
      <c r="N832" s="70"/>
      <c r="O832" s="71"/>
      <c r="P832" s="72"/>
    </row>
    <row r="833" spans="1:16" ht="15.75" customHeight="1">
      <c r="A833" s="30"/>
      <c r="B833" s="30"/>
      <c r="C833" s="30"/>
      <c r="D833" s="68"/>
      <c r="E833" s="30"/>
      <c r="F833" s="30"/>
      <c r="G833" s="68"/>
      <c r="H833" s="30"/>
      <c r="M833" s="69"/>
      <c r="N833" s="70"/>
      <c r="O833" s="71"/>
      <c r="P833" s="72"/>
    </row>
    <row r="834" spans="1:16" ht="15.75" customHeight="1">
      <c r="A834" s="30"/>
      <c r="B834" s="30"/>
      <c r="C834" s="30"/>
      <c r="D834" s="68"/>
      <c r="E834" s="30"/>
      <c r="F834" s="30"/>
      <c r="G834" s="68"/>
      <c r="H834" s="30"/>
      <c r="M834" s="69"/>
      <c r="N834" s="70"/>
      <c r="O834" s="71"/>
      <c r="P834" s="72"/>
    </row>
    <row r="835" spans="1:16" ht="15.75" customHeight="1">
      <c r="A835" s="30"/>
      <c r="B835" s="30"/>
      <c r="C835" s="30"/>
      <c r="D835" s="68"/>
      <c r="E835" s="30"/>
      <c r="F835" s="30"/>
      <c r="G835" s="68"/>
      <c r="H835" s="30"/>
      <c r="M835" s="69"/>
      <c r="N835" s="70"/>
      <c r="O835" s="71"/>
      <c r="P835" s="72"/>
    </row>
    <row r="836" spans="1:16" ht="15.75" customHeight="1">
      <c r="A836" s="30"/>
      <c r="B836" s="30"/>
      <c r="C836" s="30"/>
      <c r="D836" s="68"/>
      <c r="E836" s="30"/>
      <c r="F836" s="30"/>
      <c r="G836" s="68"/>
      <c r="H836" s="30"/>
      <c r="M836" s="69"/>
      <c r="N836" s="70"/>
      <c r="O836" s="71"/>
      <c r="P836" s="72"/>
    </row>
    <row r="837" spans="1:16" ht="15.75" customHeight="1">
      <c r="A837" s="30"/>
      <c r="B837" s="30"/>
      <c r="C837" s="30"/>
      <c r="D837" s="68"/>
      <c r="E837" s="30"/>
      <c r="F837" s="30"/>
      <c r="G837" s="68"/>
      <c r="H837" s="30"/>
      <c r="M837" s="69"/>
      <c r="N837" s="70"/>
      <c r="O837" s="71"/>
      <c r="P837" s="72"/>
    </row>
    <row r="838" spans="1:16" ht="15.75" customHeight="1">
      <c r="A838" s="30"/>
      <c r="B838" s="30"/>
      <c r="C838" s="30"/>
      <c r="D838" s="68"/>
      <c r="E838" s="30"/>
      <c r="F838" s="30"/>
      <c r="G838" s="68"/>
      <c r="H838" s="30"/>
      <c r="M838" s="69"/>
      <c r="N838" s="70"/>
      <c r="O838" s="71"/>
      <c r="P838" s="72"/>
    </row>
    <row r="839" spans="1:16" ht="15.75" customHeight="1">
      <c r="A839" s="30"/>
      <c r="B839" s="30"/>
      <c r="C839" s="30"/>
      <c r="D839" s="68"/>
      <c r="E839" s="30"/>
      <c r="F839" s="30"/>
      <c r="G839" s="68"/>
      <c r="H839" s="30"/>
      <c r="M839" s="69"/>
      <c r="N839" s="70"/>
      <c r="O839" s="71"/>
      <c r="P839" s="72"/>
    </row>
    <row r="840" spans="1:16" ht="15.75" customHeight="1">
      <c r="A840" s="30"/>
      <c r="B840" s="30"/>
      <c r="C840" s="30"/>
      <c r="D840" s="68"/>
      <c r="E840" s="30"/>
      <c r="F840" s="30"/>
      <c r="G840" s="68"/>
      <c r="H840" s="30"/>
      <c r="M840" s="69"/>
      <c r="N840" s="70"/>
      <c r="O840" s="71"/>
      <c r="P840" s="72"/>
    </row>
    <row r="841" spans="1:16" ht="15.75" customHeight="1">
      <c r="A841" s="30"/>
      <c r="B841" s="30"/>
      <c r="C841" s="30"/>
      <c r="D841" s="68"/>
      <c r="E841" s="30"/>
      <c r="F841" s="30"/>
      <c r="G841" s="68"/>
      <c r="H841" s="30"/>
      <c r="M841" s="69"/>
      <c r="N841" s="70"/>
      <c r="O841" s="71"/>
      <c r="P841" s="72"/>
    </row>
    <row r="842" spans="1:16" ht="15.75" customHeight="1">
      <c r="A842" s="30"/>
      <c r="B842" s="30"/>
      <c r="C842" s="30"/>
      <c r="D842" s="68"/>
      <c r="E842" s="30"/>
      <c r="F842" s="30"/>
      <c r="G842" s="68"/>
      <c r="H842" s="30"/>
      <c r="M842" s="69"/>
      <c r="N842" s="70"/>
      <c r="O842" s="71"/>
      <c r="P842" s="72"/>
    </row>
    <row r="843" spans="1:16" ht="15.75" customHeight="1">
      <c r="A843" s="30"/>
      <c r="B843" s="30"/>
      <c r="C843" s="30"/>
      <c r="D843" s="68"/>
      <c r="E843" s="30"/>
      <c r="F843" s="30"/>
      <c r="G843" s="68"/>
      <c r="H843" s="30"/>
      <c r="M843" s="69"/>
      <c r="N843" s="70"/>
      <c r="O843" s="71"/>
      <c r="P843" s="72"/>
    </row>
    <row r="844" spans="1:16" ht="15.75" customHeight="1">
      <c r="A844" s="30"/>
      <c r="B844" s="30"/>
      <c r="C844" s="30"/>
      <c r="D844" s="68"/>
      <c r="E844" s="30"/>
      <c r="F844" s="30"/>
      <c r="G844" s="68"/>
      <c r="H844" s="30"/>
      <c r="M844" s="69"/>
      <c r="N844" s="70"/>
      <c r="O844" s="71"/>
      <c r="P844" s="72"/>
    </row>
    <row r="845" spans="1:16" ht="15.75" customHeight="1">
      <c r="A845" s="30"/>
      <c r="B845" s="30"/>
      <c r="C845" s="30"/>
      <c r="D845" s="68"/>
      <c r="E845" s="30"/>
      <c r="F845" s="30"/>
      <c r="G845" s="68"/>
      <c r="H845" s="30"/>
      <c r="M845" s="69"/>
      <c r="N845" s="70"/>
      <c r="O845" s="71"/>
      <c r="P845" s="72"/>
    </row>
    <row r="846" spans="1:16" ht="15.75" customHeight="1">
      <c r="A846" s="30"/>
      <c r="B846" s="30"/>
      <c r="C846" s="30"/>
      <c r="D846" s="68"/>
      <c r="E846" s="30"/>
      <c r="F846" s="30"/>
      <c r="G846" s="68"/>
      <c r="H846" s="30"/>
      <c r="M846" s="69"/>
      <c r="N846" s="70"/>
      <c r="O846" s="71"/>
      <c r="P846" s="72"/>
    </row>
    <row r="847" spans="1:16" ht="15.75" customHeight="1">
      <c r="A847" s="30"/>
      <c r="B847" s="30"/>
      <c r="C847" s="30"/>
      <c r="D847" s="68"/>
      <c r="E847" s="30"/>
      <c r="F847" s="30"/>
      <c r="G847" s="68"/>
      <c r="H847" s="30"/>
      <c r="M847" s="69"/>
      <c r="N847" s="70"/>
      <c r="O847" s="71"/>
      <c r="P847" s="72"/>
    </row>
    <row r="848" spans="1:16" ht="15.75" customHeight="1">
      <c r="A848" s="30"/>
      <c r="B848" s="30"/>
      <c r="C848" s="30"/>
      <c r="D848" s="68"/>
      <c r="E848" s="30"/>
      <c r="F848" s="30"/>
      <c r="G848" s="68"/>
      <c r="H848" s="30"/>
      <c r="M848" s="69"/>
      <c r="N848" s="70"/>
      <c r="O848" s="71"/>
      <c r="P848" s="72"/>
    </row>
    <row r="849" spans="1:16" ht="15.75" customHeight="1">
      <c r="A849" s="30"/>
      <c r="B849" s="30"/>
      <c r="C849" s="30"/>
      <c r="D849" s="68"/>
      <c r="E849" s="30"/>
      <c r="F849" s="30"/>
      <c r="G849" s="68"/>
      <c r="H849" s="30"/>
      <c r="M849" s="69"/>
      <c r="N849" s="70"/>
      <c r="O849" s="71"/>
      <c r="P849" s="72"/>
    </row>
    <row r="850" spans="1:16" ht="15.75" customHeight="1">
      <c r="A850" s="30"/>
      <c r="B850" s="30"/>
      <c r="C850" s="30"/>
      <c r="D850" s="68"/>
      <c r="E850" s="30"/>
      <c r="F850" s="30"/>
      <c r="G850" s="68"/>
      <c r="H850" s="30"/>
      <c r="M850" s="69"/>
      <c r="N850" s="70"/>
      <c r="O850" s="71"/>
      <c r="P850" s="72"/>
    </row>
    <row r="851" spans="1:16" ht="15.75" customHeight="1">
      <c r="A851" s="30"/>
      <c r="B851" s="30"/>
      <c r="C851" s="30"/>
      <c r="D851" s="68"/>
      <c r="E851" s="30"/>
      <c r="F851" s="30"/>
      <c r="G851" s="68"/>
      <c r="H851" s="30"/>
      <c r="M851" s="69"/>
      <c r="N851" s="70"/>
      <c r="O851" s="71"/>
      <c r="P851" s="72"/>
    </row>
    <row r="852" spans="1:16" ht="15.75" customHeight="1">
      <c r="A852" s="30"/>
      <c r="B852" s="30"/>
      <c r="C852" s="30"/>
      <c r="D852" s="68"/>
      <c r="E852" s="30"/>
      <c r="F852" s="30"/>
      <c r="G852" s="68"/>
      <c r="H852" s="30"/>
      <c r="M852" s="69"/>
      <c r="N852" s="70"/>
      <c r="O852" s="71"/>
      <c r="P852" s="72"/>
    </row>
    <row r="853" spans="1:16" ht="15.75" customHeight="1">
      <c r="A853" s="30"/>
      <c r="B853" s="30"/>
      <c r="C853" s="30"/>
      <c r="D853" s="68"/>
      <c r="E853" s="30"/>
      <c r="F853" s="30"/>
      <c r="G853" s="68"/>
      <c r="H853" s="30"/>
      <c r="M853" s="69"/>
      <c r="N853" s="70"/>
      <c r="O853" s="71"/>
      <c r="P853" s="72"/>
    </row>
    <row r="854" spans="1:16" ht="15.75" customHeight="1">
      <c r="A854" s="30"/>
      <c r="B854" s="30"/>
      <c r="C854" s="30"/>
      <c r="D854" s="68"/>
      <c r="E854" s="30"/>
      <c r="F854" s="30"/>
      <c r="G854" s="68"/>
      <c r="H854" s="30"/>
      <c r="M854" s="69"/>
      <c r="N854" s="70"/>
      <c r="O854" s="71"/>
      <c r="P854" s="72"/>
    </row>
    <row r="855" spans="1:16" ht="15.75" customHeight="1">
      <c r="A855" s="30"/>
      <c r="B855" s="30"/>
      <c r="C855" s="30"/>
      <c r="D855" s="68"/>
      <c r="E855" s="30"/>
      <c r="F855" s="30"/>
      <c r="G855" s="68"/>
      <c r="H855" s="30"/>
      <c r="M855" s="69"/>
      <c r="N855" s="70"/>
      <c r="O855" s="71"/>
      <c r="P855" s="72"/>
    </row>
    <row r="856" spans="1:16" ht="15.75" customHeight="1">
      <c r="A856" s="30"/>
      <c r="B856" s="30"/>
      <c r="C856" s="30"/>
      <c r="D856" s="68"/>
      <c r="E856" s="30"/>
      <c r="F856" s="30"/>
      <c r="G856" s="68"/>
      <c r="H856" s="30"/>
      <c r="M856" s="69"/>
      <c r="N856" s="70"/>
      <c r="O856" s="71"/>
      <c r="P856" s="72"/>
    </row>
    <row r="857" spans="1:16" ht="15.75" customHeight="1">
      <c r="A857" s="30"/>
      <c r="B857" s="30"/>
      <c r="C857" s="30"/>
      <c r="D857" s="68"/>
      <c r="E857" s="30"/>
      <c r="F857" s="30"/>
      <c r="G857" s="68"/>
      <c r="H857" s="30"/>
      <c r="M857" s="69"/>
      <c r="N857" s="70"/>
      <c r="O857" s="71"/>
      <c r="P857" s="72"/>
    </row>
    <row r="858" spans="1:16" ht="15.75" customHeight="1">
      <c r="A858" s="30"/>
      <c r="B858" s="30"/>
      <c r="C858" s="30"/>
      <c r="D858" s="68"/>
      <c r="E858" s="30"/>
      <c r="F858" s="30"/>
      <c r="G858" s="68"/>
      <c r="H858" s="30"/>
      <c r="M858" s="69"/>
      <c r="N858" s="70"/>
      <c r="O858" s="71"/>
      <c r="P858" s="72"/>
    </row>
    <row r="859" spans="1:16" ht="15.75" customHeight="1">
      <c r="A859" s="30"/>
      <c r="B859" s="30"/>
      <c r="C859" s="30"/>
      <c r="D859" s="68"/>
      <c r="E859" s="30"/>
      <c r="F859" s="30"/>
      <c r="G859" s="68"/>
      <c r="H859" s="30"/>
      <c r="M859" s="69"/>
      <c r="N859" s="70"/>
      <c r="O859" s="71"/>
      <c r="P859" s="72"/>
    </row>
    <row r="860" spans="1:16" ht="15.75" customHeight="1">
      <c r="A860" s="30"/>
      <c r="B860" s="30"/>
      <c r="C860" s="30"/>
      <c r="D860" s="68"/>
      <c r="E860" s="30"/>
      <c r="F860" s="30"/>
      <c r="G860" s="68"/>
      <c r="H860" s="30"/>
      <c r="M860" s="69"/>
      <c r="N860" s="70"/>
      <c r="O860" s="71"/>
      <c r="P860" s="72"/>
    </row>
    <row r="861" spans="1:16" ht="15.75" customHeight="1">
      <c r="A861" s="30"/>
      <c r="B861" s="30"/>
      <c r="C861" s="30"/>
      <c r="D861" s="68"/>
      <c r="E861" s="30"/>
      <c r="F861" s="30"/>
      <c r="G861" s="68"/>
      <c r="H861" s="30"/>
      <c r="M861" s="69"/>
      <c r="N861" s="70"/>
      <c r="O861" s="71"/>
      <c r="P861" s="72"/>
    </row>
    <row r="862" spans="1:16" ht="15.75" customHeight="1">
      <c r="A862" s="30"/>
      <c r="B862" s="30"/>
      <c r="C862" s="30"/>
      <c r="D862" s="68"/>
      <c r="E862" s="30"/>
      <c r="F862" s="30"/>
      <c r="G862" s="68"/>
      <c r="H862" s="30"/>
      <c r="M862" s="69"/>
      <c r="N862" s="70"/>
      <c r="O862" s="71"/>
      <c r="P862" s="72"/>
    </row>
    <row r="863" spans="1:16" ht="15.75" customHeight="1">
      <c r="A863" s="30"/>
      <c r="B863" s="30"/>
      <c r="C863" s="30"/>
      <c r="D863" s="68"/>
      <c r="E863" s="30"/>
      <c r="F863" s="30"/>
      <c r="G863" s="68"/>
      <c r="H863" s="30"/>
      <c r="M863" s="69"/>
      <c r="N863" s="70"/>
      <c r="O863" s="71"/>
      <c r="P863" s="72"/>
    </row>
    <row r="864" spans="1:16" ht="15.75" customHeight="1">
      <c r="A864" s="30"/>
      <c r="B864" s="30"/>
      <c r="C864" s="30"/>
      <c r="D864" s="68"/>
      <c r="E864" s="30"/>
      <c r="F864" s="30"/>
      <c r="G864" s="68"/>
      <c r="H864" s="30"/>
      <c r="M864" s="69"/>
      <c r="N864" s="70"/>
      <c r="O864" s="71"/>
      <c r="P864" s="72"/>
    </row>
    <row r="865" spans="1:16" ht="15.75" customHeight="1">
      <c r="A865" s="30"/>
      <c r="B865" s="30"/>
      <c r="C865" s="30"/>
      <c r="D865" s="68"/>
      <c r="E865" s="30"/>
      <c r="F865" s="30"/>
      <c r="G865" s="68"/>
      <c r="H865" s="30"/>
      <c r="M865" s="69"/>
      <c r="N865" s="70"/>
      <c r="O865" s="71"/>
      <c r="P865" s="72"/>
    </row>
    <row r="866" spans="1:16" ht="15.75" customHeight="1">
      <c r="A866" s="30"/>
      <c r="B866" s="30"/>
      <c r="C866" s="30"/>
      <c r="D866" s="68"/>
      <c r="E866" s="30"/>
      <c r="F866" s="30"/>
      <c r="G866" s="68"/>
      <c r="H866" s="30"/>
      <c r="M866" s="69"/>
      <c r="N866" s="70"/>
      <c r="O866" s="71"/>
      <c r="P866" s="72"/>
    </row>
    <row r="867" spans="1:16" ht="15.75" customHeight="1">
      <c r="A867" s="30"/>
      <c r="B867" s="30"/>
      <c r="C867" s="30"/>
      <c r="D867" s="68"/>
      <c r="E867" s="30"/>
      <c r="F867" s="30"/>
      <c r="G867" s="68"/>
      <c r="H867" s="30"/>
      <c r="M867" s="69"/>
      <c r="N867" s="70"/>
      <c r="O867" s="71"/>
      <c r="P867" s="72"/>
    </row>
    <row r="868" spans="1:16" ht="15.75" customHeight="1">
      <c r="A868" s="30"/>
      <c r="B868" s="30"/>
      <c r="C868" s="30"/>
      <c r="D868" s="68"/>
      <c r="E868" s="30"/>
      <c r="F868" s="30"/>
      <c r="G868" s="68"/>
      <c r="H868" s="30"/>
      <c r="M868" s="69"/>
      <c r="N868" s="70"/>
      <c r="O868" s="71"/>
      <c r="P868" s="72"/>
    </row>
    <row r="869" spans="1:16" ht="15.75" customHeight="1">
      <c r="A869" s="30"/>
      <c r="B869" s="30"/>
      <c r="C869" s="30"/>
      <c r="D869" s="68"/>
      <c r="E869" s="30"/>
      <c r="F869" s="30"/>
      <c r="G869" s="68"/>
      <c r="H869" s="30"/>
      <c r="M869" s="69"/>
      <c r="N869" s="70"/>
      <c r="O869" s="71"/>
      <c r="P869" s="72"/>
    </row>
    <row r="870" spans="1:16" ht="15.75" customHeight="1">
      <c r="A870" s="30"/>
      <c r="B870" s="30"/>
      <c r="C870" s="30"/>
      <c r="D870" s="68"/>
      <c r="E870" s="30"/>
      <c r="F870" s="30"/>
      <c r="G870" s="68"/>
      <c r="H870" s="30"/>
      <c r="M870" s="69"/>
      <c r="N870" s="70"/>
      <c r="O870" s="71"/>
      <c r="P870" s="72"/>
    </row>
    <row r="871" spans="1:16" ht="15.75" customHeight="1">
      <c r="A871" s="30"/>
      <c r="B871" s="30"/>
      <c r="C871" s="30"/>
      <c r="D871" s="68"/>
      <c r="E871" s="30"/>
      <c r="F871" s="30"/>
      <c r="G871" s="68"/>
      <c r="H871" s="30"/>
      <c r="M871" s="69"/>
      <c r="N871" s="70"/>
      <c r="O871" s="71"/>
      <c r="P871" s="72"/>
    </row>
    <row r="872" spans="1:16" ht="15.75" customHeight="1">
      <c r="A872" s="30"/>
      <c r="B872" s="30"/>
      <c r="C872" s="30"/>
      <c r="D872" s="68"/>
      <c r="E872" s="30"/>
      <c r="F872" s="30"/>
      <c r="G872" s="68"/>
      <c r="H872" s="30"/>
      <c r="M872" s="69"/>
      <c r="N872" s="70"/>
      <c r="O872" s="71"/>
      <c r="P872" s="72"/>
    </row>
    <row r="873" spans="1:16" ht="15.75" customHeight="1">
      <c r="A873" s="30"/>
      <c r="B873" s="30"/>
      <c r="C873" s="30"/>
      <c r="D873" s="68"/>
      <c r="E873" s="30"/>
      <c r="F873" s="30"/>
      <c r="G873" s="68"/>
      <c r="H873" s="30"/>
      <c r="M873" s="69"/>
      <c r="N873" s="70"/>
      <c r="O873" s="71"/>
      <c r="P873" s="72"/>
    </row>
    <row r="874" spans="1:16" ht="15.75" customHeight="1">
      <c r="A874" s="30"/>
      <c r="B874" s="30"/>
      <c r="C874" s="30"/>
      <c r="D874" s="68"/>
      <c r="E874" s="30"/>
      <c r="F874" s="30"/>
      <c r="G874" s="68"/>
      <c r="H874" s="30"/>
      <c r="M874" s="69"/>
      <c r="N874" s="70"/>
      <c r="O874" s="71"/>
      <c r="P874" s="72"/>
    </row>
    <row r="875" spans="1:16" ht="15.75" customHeight="1">
      <c r="A875" s="30"/>
      <c r="B875" s="30"/>
      <c r="C875" s="30"/>
      <c r="D875" s="68"/>
      <c r="E875" s="30"/>
      <c r="F875" s="30"/>
      <c r="G875" s="68"/>
      <c r="H875" s="30"/>
      <c r="M875" s="69"/>
      <c r="N875" s="70"/>
      <c r="O875" s="71"/>
      <c r="P875" s="72"/>
    </row>
    <row r="876" spans="1:16" ht="15.75" customHeight="1">
      <c r="A876" s="30"/>
      <c r="B876" s="30"/>
      <c r="C876" s="30"/>
      <c r="D876" s="68"/>
      <c r="E876" s="30"/>
      <c r="F876" s="30"/>
      <c r="G876" s="68"/>
      <c r="H876" s="30"/>
      <c r="M876" s="69"/>
      <c r="N876" s="70"/>
      <c r="O876" s="71"/>
      <c r="P876" s="72"/>
    </row>
    <row r="877" spans="1:16" ht="15.75" customHeight="1">
      <c r="A877" s="30"/>
      <c r="B877" s="30"/>
      <c r="C877" s="30"/>
      <c r="D877" s="68"/>
      <c r="E877" s="30"/>
      <c r="F877" s="30"/>
      <c r="G877" s="68"/>
      <c r="H877" s="30"/>
      <c r="M877" s="69"/>
      <c r="N877" s="70"/>
      <c r="O877" s="71"/>
      <c r="P877" s="72"/>
    </row>
    <row r="878" spans="1:16" ht="15.75" customHeight="1">
      <c r="A878" s="30"/>
      <c r="B878" s="30"/>
      <c r="C878" s="30"/>
      <c r="D878" s="68"/>
      <c r="E878" s="30"/>
      <c r="F878" s="30"/>
      <c r="G878" s="68"/>
      <c r="H878" s="30"/>
      <c r="M878" s="69"/>
      <c r="N878" s="70"/>
      <c r="O878" s="71"/>
      <c r="P878" s="72"/>
    </row>
    <row r="879" spans="1:16" ht="15.75" customHeight="1">
      <c r="A879" s="30"/>
      <c r="B879" s="30"/>
      <c r="C879" s="30"/>
      <c r="D879" s="68"/>
      <c r="E879" s="30"/>
      <c r="F879" s="30"/>
      <c r="G879" s="68"/>
      <c r="H879" s="30"/>
      <c r="M879" s="69"/>
      <c r="N879" s="70"/>
      <c r="O879" s="71"/>
      <c r="P879" s="72"/>
    </row>
    <row r="880" spans="1:16" ht="15.75" customHeight="1">
      <c r="A880" s="30"/>
      <c r="B880" s="30"/>
      <c r="C880" s="30"/>
      <c r="D880" s="68"/>
      <c r="E880" s="30"/>
      <c r="F880" s="30"/>
      <c r="G880" s="68"/>
      <c r="H880" s="30"/>
      <c r="M880" s="69"/>
      <c r="N880" s="70"/>
      <c r="O880" s="71"/>
      <c r="P880" s="72"/>
    </row>
    <row r="881" spans="1:16" ht="15.75" customHeight="1">
      <c r="A881" s="30"/>
      <c r="B881" s="30"/>
      <c r="C881" s="30"/>
      <c r="D881" s="68"/>
      <c r="E881" s="30"/>
      <c r="F881" s="30"/>
      <c r="G881" s="68"/>
      <c r="H881" s="30"/>
      <c r="M881" s="69"/>
      <c r="N881" s="70"/>
      <c r="O881" s="71"/>
      <c r="P881" s="72"/>
    </row>
    <row r="882" spans="1:16" ht="15.75" customHeight="1">
      <c r="A882" s="30"/>
      <c r="B882" s="30"/>
      <c r="C882" s="30"/>
      <c r="D882" s="68"/>
      <c r="E882" s="30"/>
      <c r="F882" s="30"/>
      <c r="G882" s="68"/>
      <c r="H882" s="30"/>
      <c r="M882" s="69"/>
      <c r="N882" s="70"/>
      <c r="O882" s="71"/>
      <c r="P882" s="72"/>
    </row>
    <row r="883" spans="1:16" ht="15.75" customHeight="1">
      <c r="A883" s="30"/>
      <c r="B883" s="30"/>
      <c r="C883" s="30"/>
      <c r="D883" s="68"/>
      <c r="E883" s="30"/>
      <c r="F883" s="30"/>
      <c r="G883" s="68"/>
      <c r="H883" s="30"/>
      <c r="M883" s="69"/>
      <c r="N883" s="70"/>
      <c r="O883" s="71"/>
      <c r="P883" s="72"/>
    </row>
    <row r="884" spans="1:16" ht="15.75" customHeight="1">
      <c r="A884" s="30"/>
      <c r="B884" s="30"/>
      <c r="C884" s="30"/>
      <c r="D884" s="68"/>
      <c r="E884" s="30"/>
      <c r="F884" s="30"/>
      <c r="G884" s="68"/>
      <c r="H884" s="30"/>
      <c r="M884" s="69"/>
      <c r="N884" s="70"/>
      <c r="O884" s="71"/>
      <c r="P884" s="72"/>
    </row>
    <row r="885" spans="1:16" ht="15.75" customHeight="1">
      <c r="A885" s="30"/>
      <c r="B885" s="30"/>
      <c r="C885" s="30"/>
      <c r="D885" s="68"/>
      <c r="E885" s="30"/>
      <c r="F885" s="30"/>
      <c r="G885" s="68"/>
      <c r="H885" s="30"/>
      <c r="M885" s="69"/>
      <c r="N885" s="70"/>
      <c r="O885" s="71"/>
      <c r="P885" s="72"/>
    </row>
    <row r="886" spans="1:16" ht="15.75" customHeight="1">
      <c r="A886" s="30"/>
      <c r="B886" s="30"/>
      <c r="C886" s="30"/>
      <c r="D886" s="68"/>
      <c r="E886" s="30"/>
      <c r="F886" s="30"/>
      <c r="G886" s="68"/>
      <c r="H886" s="30"/>
      <c r="M886" s="69"/>
      <c r="N886" s="70"/>
      <c r="O886" s="71"/>
      <c r="P886" s="72"/>
    </row>
    <row r="887" spans="1:16" ht="15.75" customHeight="1">
      <c r="A887" s="30"/>
      <c r="B887" s="30"/>
      <c r="C887" s="30"/>
      <c r="D887" s="68"/>
      <c r="E887" s="30"/>
      <c r="F887" s="30"/>
      <c r="G887" s="68"/>
      <c r="H887" s="30"/>
      <c r="M887" s="69"/>
      <c r="N887" s="70"/>
      <c r="O887" s="71"/>
      <c r="P887" s="72"/>
    </row>
    <row r="888" spans="1:16" ht="15.75" customHeight="1">
      <c r="A888" s="30"/>
      <c r="B888" s="30"/>
      <c r="C888" s="30"/>
      <c r="D888" s="68"/>
      <c r="E888" s="30"/>
      <c r="F888" s="30"/>
      <c r="G888" s="68"/>
      <c r="H888" s="30"/>
      <c r="M888" s="69"/>
      <c r="N888" s="70"/>
      <c r="O888" s="71"/>
      <c r="P888" s="72"/>
    </row>
    <row r="889" spans="1:16" ht="15.75" customHeight="1">
      <c r="A889" s="30"/>
      <c r="B889" s="30"/>
      <c r="C889" s="30"/>
      <c r="D889" s="68"/>
      <c r="E889" s="30"/>
      <c r="F889" s="30"/>
      <c r="G889" s="68"/>
      <c r="H889" s="30"/>
      <c r="M889" s="69"/>
      <c r="N889" s="70"/>
      <c r="O889" s="71"/>
      <c r="P889" s="72"/>
    </row>
    <row r="890" spans="1:16" ht="15.75" customHeight="1">
      <c r="A890" s="30"/>
      <c r="B890" s="30"/>
      <c r="C890" s="30"/>
      <c r="D890" s="68"/>
      <c r="E890" s="30"/>
      <c r="F890" s="30"/>
      <c r="G890" s="68"/>
      <c r="H890" s="30"/>
      <c r="M890" s="69"/>
      <c r="N890" s="70"/>
      <c r="O890" s="71"/>
      <c r="P890" s="72"/>
    </row>
    <row r="891" spans="1:16" ht="15.75" customHeight="1">
      <c r="A891" s="30"/>
      <c r="B891" s="30"/>
      <c r="C891" s="30"/>
      <c r="D891" s="68"/>
      <c r="E891" s="30"/>
      <c r="F891" s="30"/>
      <c r="G891" s="68"/>
      <c r="H891" s="30"/>
      <c r="M891" s="69"/>
      <c r="N891" s="70"/>
      <c r="O891" s="71"/>
      <c r="P891" s="72"/>
    </row>
    <row r="892" spans="1:16" ht="15.75" customHeight="1">
      <c r="A892" s="30"/>
      <c r="B892" s="30"/>
      <c r="C892" s="30"/>
      <c r="D892" s="68"/>
      <c r="E892" s="30"/>
      <c r="F892" s="30"/>
      <c r="G892" s="68"/>
      <c r="H892" s="30"/>
      <c r="M892" s="69"/>
      <c r="N892" s="70"/>
      <c r="O892" s="71"/>
      <c r="P892" s="72"/>
    </row>
    <row r="893" spans="1:16" ht="15.75" customHeight="1">
      <c r="A893" s="30"/>
      <c r="B893" s="30"/>
      <c r="C893" s="30"/>
      <c r="D893" s="68"/>
      <c r="E893" s="30"/>
      <c r="F893" s="30"/>
      <c r="G893" s="68"/>
      <c r="H893" s="30"/>
      <c r="M893" s="69"/>
      <c r="N893" s="70"/>
      <c r="O893" s="71"/>
      <c r="P893" s="72"/>
    </row>
    <row r="894" spans="1:16" ht="15.75" customHeight="1">
      <c r="A894" s="30"/>
      <c r="B894" s="30"/>
      <c r="C894" s="30"/>
      <c r="D894" s="68"/>
      <c r="E894" s="30"/>
      <c r="F894" s="30"/>
      <c r="G894" s="68"/>
      <c r="H894" s="30"/>
      <c r="M894" s="69"/>
      <c r="N894" s="70"/>
      <c r="O894" s="71"/>
      <c r="P894" s="72"/>
    </row>
    <row r="895" spans="1:16" ht="15.75" customHeight="1">
      <c r="A895" s="30"/>
      <c r="B895" s="30"/>
      <c r="C895" s="30"/>
      <c r="D895" s="68"/>
      <c r="E895" s="30"/>
      <c r="F895" s="30"/>
      <c r="G895" s="68"/>
      <c r="H895" s="30"/>
      <c r="M895" s="69"/>
      <c r="N895" s="70"/>
      <c r="O895" s="71"/>
      <c r="P895" s="72"/>
    </row>
    <row r="896" spans="1:16" ht="15.75" customHeight="1">
      <c r="A896" s="30"/>
      <c r="B896" s="30"/>
      <c r="C896" s="30"/>
      <c r="D896" s="68"/>
      <c r="E896" s="30"/>
      <c r="F896" s="30"/>
      <c r="G896" s="68"/>
      <c r="H896" s="30"/>
      <c r="M896" s="69"/>
      <c r="N896" s="70"/>
      <c r="O896" s="71"/>
      <c r="P896" s="72"/>
    </row>
    <row r="897" spans="1:16" ht="15.75" customHeight="1">
      <c r="A897" s="30"/>
      <c r="B897" s="30"/>
      <c r="C897" s="30"/>
      <c r="D897" s="68"/>
      <c r="E897" s="30"/>
      <c r="F897" s="30"/>
      <c r="G897" s="68"/>
      <c r="H897" s="30"/>
      <c r="M897" s="69"/>
      <c r="N897" s="70"/>
      <c r="O897" s="71"/>
      <c r="P897" s="72"/>
    </row>
    <row r="898" spans="1:16" ht="15.75" customHeight="1">
      <c r="A898" s="30"/>
      <c r="B898" s="30"/>
      <c r="C898" s="30"/>
      <c r="D898" s="68"/>
      <c r="E898" s="30"/>
      <c r="F898" s="30"/>
      <c r="G898" s="68"/>
      <c r="H898" s="30"/>
      <c r="M898" s="69"/>
      <c r="N898" s="70"/>
      <c r="O898" s="71"/>
      <c r="P898" s="72"/>
    </row>
    <row r="899" spans="1:16" ht="15.75" customHeight="1">
      <c r="A899" s="30"/>
      <c r="B899" s="30"/>
      <c r="C899" s="30"/>
      <c r="D899" s="68"/>
      <c r="E899" s="30"/>
      <c r="F899" s="30"/>
      <c r="G899" s="68"/>
      <c r="H899" s="30"/>
      <c r="M899" s="69"/>
      <c r="N899" s="70"/>
      <c r="O899" s="71"/>
      <c r="P899" s="72"/>
    </row>
    <row r="900" spans="1:16" ht="15.75" customHeight="1">
      <c r="A900" s="30"/>
      <c r="B900" s="30"/>
      <c r="C900" s="30"/>
      <c r="D900" s="68"/>
      <c r="E900" s="30"/>
      <c r="F900" s="30"/>
      <c r="G900" s="68"/>
      <c r="H900" s="30"/>
      <c r="M900" s="69"/>
      <c r="N900" s="70"/>
      <c r="O900" s="71"/>
      <c r="P900" s="72"/>
    </row>
    <row r="901" spans="1:16" ht="15.75" customHeight="1">
      <c r="A901" s="30"/>
      <c r="B901" s="30"/>
      <c r="C901" s="30"/>
      <c r="D901" s="68"/>
      <c r="E901" s="30"/>
      <c r="F901" s="30"/>
      <c r="G901" s="68"/>
      <c r="H901" s="30"/>
      <c r="M901" s="69"/>
      <c r="N901" s="70"/>
      <c r="O901" s="71"/>
      <c r="P901" s="72"/>
    </row>
    <row r="902" spans="1:16" ht="15.75" customHeight="1">
      <c r="A902" s="30"/>
      <c r="B902" s="30"/>
      <c r="C902" s="30"/>
      <c r="D902" s="68"/>
      <c r="E902" s="30"/>
      <c r="F902" s="30"/>
      <c r="G902" s="68"/>
      <c r="H902" s="30"/>
      <c r="M902" s="69"/>
      <c r="N902" s="70"/>
      <c r="O902" s="71"/>
      <c r="P902" s="72"/>
    </row>
    <row r="903" spans="1:16" ht="15.75" customHeight="1">
      <c r="A903" s="30"/>
      <c r="B903" s="30"/>
      <c r="C903" s="30"/>
      <c r="D903" s="68"/>
      <c r="E903" s="30"/>
      <c r="F903" s="30"/>
      <c r="G903" s="68"/>
      <c r="H903" s="30"/>
      <c r="M903" s="69"/>
      <c r="N903" s="70"/>
      <c r="O903" s="71"/>
      <c r="P903" s="72"/>
    </row>
    <row r="904" spans="1:16" ht="15.75" customHeight="1">
      <c r="A904" s="30"/>
      <c r="B904" s="30"/>
      <c r="C904" s="30"/>
      <c r="D904" s="68"/>
      <c r="E904" s="30"/>
      <c r="F904" s="30"/>
      <c r="G904" s="68"/>
      <c r="H904" s="30"/>
      <c r="M904" s="69"/>
      <c r="N904" s="70"/>
      <c r="O904" s="71"/>
      <c r="P904" s="72"/>
    </row>
    <row r="905" spans="1:16" ht="15.75" customHeight="1">
      <c r="A905" s="30"/>
      <c r="B905" s="30"/>
      <c r="C905" s="30"/>
      <c r="D905" s="68"/>
      <c r="E905" s="30"/>
      <c r="F905" s="30"/>
      <c r="G905" s="68"/>
      <c r="H905" s="30"/>
      <c r="M905" s="69"/>
      <c r="N905" s="70"/>
      <c r="O905" s="71"/>
      <c r="P905" s="72"/>
    </row>
    <row r="906" spans="1:16" ht="15.75" customHeight="1">
      <c r="A906" s="30"/>
      <c r="B906" s="30"/>
      <c r="C906" s="30"/>
      <c r="D906" s="68"/>
      <c r="E906" s="30"/>
      <c r="F906" s="30"/>
      <c r="G906" s="68"/>
      <c r="H906" s="30"/>
      <c r="M906" s="69"/>
      <c r="N906" s="70"/>
      <c r="O906" s="71"/>
      <c r="P906" s="72"/>
    </row>
    <row r="907" spans="1:16" ht="15.75" customHeight="1">
      <c r="A907" s="30"/>
      <c r="B907" s="30"/>
      <c r="C907" s="30"/>
      <c r="D907" s="68"/>
      <c r="E907" s="30"/>
      <c r="F907" s="30"/>
      <c r="G907" s="68"/>
      <c r="H907" s="30"/>
      <c r="M907" s="69"/>
      <c r="N907" s="70"/>
      <c r="O907" s="71"/>
      <c r="P907" s="72"/>
    </row>
    <row r="908" spans="1:16" ht="15.75" customHeight="1">
      <c r="A908" s="30"/>
      <c r="B908" s="30"/>
      <c r="C908" s="30"/>
      <c r="D908" s="68"/>
      <c r="E908" s="30"/>
      <c r="F908" s="30"/>
      <c r="G908" s="68"/>
      <c r="H908" s="30"/>
      <c r="M908" s="69"/>
      <c r="N908" s="70"/>
      <c r="O908" s="71"/>
      <c r="P908" s="72"/>
    </row>
    <row r="909" spans="1:16" ht="15.75" customHeight="1">
      <c r="A909" s="30"/>
      <c r="B909" s="30"/>
      <c r="C909" s="30"/>
      <c r="D909" s="68"/>
      <c r="E909" s="30"/>
      <c r="F909" s="30"/>
      <c r="G909" s="68"/>
      <c r="H909" s="30"/>
      <c r="M909" s="69"/>
      <c r="N909" s="70"/>
      <c r="O909" s="71"/>
      <c r="P909" s="72"/>
    </row>
    <row r="910" spans="1:16" ht="15.75" customHeight="1">
      <c r="A910" s="30"/>
      <c r="B910" s="30"/>
      <c r="C910" s="30"/>
      <c r="D910" s="68"/>
      <c r="E910" s="30"/>
      <c r="F910" s="30"/>
      <c r="G910" s="68"/>
      <c r="H910" s="30"/>
      <c r="M910" s="69"/>
      <c r="N910" s="70"/>
      <c r="O910" s="71"/>
      <c r="P910" s="72"/>
    </row>
    <row r="911" spans="1:16" ht="15.75" customHeight="1">
      <c r="A911" s="30"/>
      <c r="B911" s="30"/>
      <c r="C911" s="30"/>
      <c r="D911" s="68"/>
      <c r="E911" s="30"/>
      <c r="F911" s="30"/>
      <c r="G911" s="68"/>
      <c r="H911" s="30"/>
      <c r="M911" s="69"/>
      <c r="N911" s="70"/>
      <c r="O911" s="71"/>
      <c r="P911" s="72"/>
    </row>
    <row r="912" spans="1:16" ht="15.75" customHeight="1">
      <c r="A912" s="30"/>
      <c r="B912" s="30"/>
      <c r="C912" s="30"/>
      <c r="D912" s="68"/>
      <c r="E912" s="30"/>
      <c r="F912" s="30"/>
      <c r="G912" s="68"/>
      <c r="H912" s="30"/>
      <c r="M912" s="69"/>
      <c r="N912" s="70"/>
      <c r="O912" s="71"/>
      <c r="P912" s="72"/>
    </row>
    <row r="913" spans="1:16" ht="15.75" customHeight="1">
      <c r="A913" s="30"/>
      <c r="B913" s="30"/>
      <c r="C913" s="30"/>
      <c r="D913" s="68"/>
      <c r="E913" s="30"/>
      <c r="F913" s="30"/>
      <c r="G913" s="68"/>
      <c r="H913" s="30"/>
      <c r="M913" s="69"/>
      <c r="N913" s="70"/>
      <c r="O913" s="71"/>
      <c r="P913" s="72"/>
    </row>
    <row r="914" spans="1:16" ht="15.75" customHeight="1">
      <c r="A914" s="30"/>
      <c r="B914" s="30"/>
      <c r="C914" s="30"/>
      <c r="D914" s="68"/>
      <c r="E914" s="30"/>
      <c r="F914" s="30"/>
      <c r="G914" s="68"/>
      <c r="H914" s="30"/>
      <c r="M914" s="69"/>
      <c r="N914" s="70"/>
      <c r="O914" s="71"/>
      <c r="P914" s="72"/>
    </row>
    <row r="915" spans="1:16" ht="15.75" customHeight="1">
      <c r="A915" s="30"/>
      <c r="B915" s="30"/>
      <c r="C915" s="30"/>
      <c r="D915" s="68"/>
      <c r="E915" s="30"/>
      <c r="F915" s="30"/>
      <c r="G915" s="68"/>
      <c r="H915" s="30"/>
      <c r="M915" s="69"/>
      <c r="N915" s="70"/>
      <c r="O915" s="71"/>
      <c r="P915" s="72"/>
    </row>
    <row r="916" spans="1:16" ht="15.75" customHeight="1">
      <c r="A916" s="30"/>
      <c r="B916" s="30"/>
      <c r="C916" s="30"/>
      <c r="D916" s="68"/>
      <c r="E916" s="30"/>
      <c r="F916" s="30"/>
      <c r="G916" s="68"/>
      <c r="H916" s="30"/>
      <c r="M916" s="69"/>
      <c r="N916" s="70"/>
      <c r="O916" s="71"/>
      <c r="P916" s="72"/>
    </row>
    <row r="917" spans="1:16" ht="15.75" customHeight="1">
      <c r="A917" s="30"/>
      <c r="B917" s="30"/>
      <c r="C917" s="30"/>
      <c r="D917" s="68"/>
      <c r="E917" s="30"/>
      <c r="F917" s="30"/>
      <c r="G917" s="68"/>
      <c r="H917" s="30"/>
      <c r="M917" s="69"/>
      <c r="N917" s="70"/>
      <c r="O917" s="71"/>
      <c r="P917" s="72"/>
    </row>
    <row r="918" spans="1:16" ht="15.75" customHeight="1">
      <c r="A918" s="30"/>
      <c r="B918" s="30"/>
      <c r="C918" s="30"/>
      <c r="D918" s="68"/>
      <c r="E918" s="30"/>
      <c r="F918" s="30"/>
      <c r="G918" s="68"/>
      <c r="H918" s="30"/>
      <c r="M918" s="69"/>
      <c r="N918" s="70"/>
      <c r="O918" s="71"/>
      <c r="P918" s="72"/>
    </row>
    <row r="919" spans="1:16" ht="15.75" customHeight="1">
      <c r="A919" s="30"/>
      <c r="B919" s="30"/>
      <c r="C919" s="30"/>
      <c r="D919" s="68"/>
      <c r="E919" s="30"/>
      <c r="F919" s="30"/>
      <c r="G919" s="68"/>
      <c r="H919" s="30"/>
      <c r="M919" s="69"/>
      <c r="N919" s="70"/>
      <c r="O919" s="71"/>
      <c r="P919" s="72"/>
    </row>
    <row r="920" spans="1:16" ht="15.75" customHeight="1">
      <c r="A920" s="30"/>
      <c r="B920" s="30"/>
      <c r="C920" s="30"/>
      <c r="D920" s="68"/>
      <c r="E920" s="30"/>
      <c r="F920" s="30"/>
      <c r="G920" s="68"/>
      <c r="H920" s="30"/>
      <c r="M920" s="69"/>
      <c r="N920" s="70"/>
      <c r="O920" s="71"/>
      <c r="P920" s="72"/>
    </row>
    <row r="921" spans="1:16" ht="15.75" customHeight="1">
      <c r="A921" s="30"/>
      <c r="B921" s="30"/>
      <c r="C921" s="30"/>
      <c r="D921" s="68"/>
      <c r="E921" s="30"/>
      <c r="F921" s="30"/>
      <c r="G921" s="68"/>
      <c r="H921" s="30"/>
      <c r="M921" s="69"/>
      <c r="N921" s="70"/>
      <c r="O921" s="71"/>
      <c r="P921" s="72"/>
    </row>
    <row r="922" spans="1:16" ht="15.75" customHeight="1">
      <c r="A922" s="30"/>
      <c r="B922" s="30"/>
      <c r="C922" s="30"/>
      <c r="D922" s="68"/>
      <c r="E922" s="30"/>
      <c r="F922" s="30"/>
      <c r="G922" s="68"/>
      <c r="H922" s="30"/>
      <c r="M922" s="69"/>
      <c r="N922" s="70"/>
      <c r="O922" s="71"/>
      <c r="P922" s="72"/>
    </row>
    <row r="923" spans="1:16" ht="15.75" customHeight="1">
      <c r="A923" s="30"/>
      <c r="B923" s="30"/>
      <c r="C923" s="30"/>
      <c r="D923" s="68"/>
      <c r="E923" s="30"/>
      <c r="F923" s="30"/>
      <c r="G923" s="68"/>
      <c r="H923" s="30"/>
      <c r="M923" s="69"/>
      <c r="N923" s="70"/>
      <c r="O923" s="71"/>
      <c r="P923" s="72"/>
    </row>
    <row r="924" spans="1:16" ht="15.75" customHeight="1">
      <c r="A924" s="30"/>
      <c r="B924" s="30"/>
      <c r="C924" s="30"/>
      <c r="D924" s="68"/>
      <c r="E924" s="30"/>
      <c r="F924" s="30"/>
      <c r="G924" s="68"/>
      <c r="H924" s="30"/>
      <c r="M924" s="69"/>
      <c r="N924" s="70"/>
      <c r="O924" s="71"/>
      <c r="P924" s="72"/>
    </row>
    <row r="925" spans="1:16" ht="15.75" customHeight="1">
      <c r="A925" s="30"/>
      <c r="B925" s="30"/>
      <c r="C925" s="30"/>
      <c r="D925" s="68"/>
      <c r="E925" s="30"/>
      <c r="F925" s="30"/>
      <c r="G925" s="68"/>
      <c r="H925" s="30"/>
      <c r="M925" s="69"/>
      <c r="N925" s="70"/>
      <c r="O925" s="71"/>
      <c r="P925" s="72"/>
    </row>
    <row r="926" spans="1:16" ht="15.75" customHeight="1">
      <c r="A926" s="30"/>
      <c r="B926" s="30"/>
      <c r="C926" s="30"/>
      <c r="D926" s="68"/>
      <c r="E926" s="30"/>
      <c r="F926" s="30"/>
      <c r="G926" s="68"/>
      <c r="H926" s="30"/>
      <c r="M926" s="69"/>
      <c r="N926" s="70"/>
      <c r="O926" s="71"/>
      <c r="P926" s="72"/>
    </row>
    <row r="927" spans="1:16" ht="15.75" customHeight="1">
      <c r="A927" s="30"/>
      <c r="B927" s="30"/>
      <c r="C927" s="30"/>
      <c r="D927" s="68"/>
      <c r="E927" s="30"/>
      <c r="F927" s="30"/>
      <c r="G927" s="68"/>
      <c r="H927" s="30"/>
      <c r="M927" s="69"/>
      <c r="N927" s="70"/>
      <c r="O927" s="71"/>
      <c r="P927" s="72"/>
    </row>
    <row r="928" spans="1:16" ht="15.75" customHeight="1">
      <c r="A928" s="30"/>
      <c r="B928" s="30"/>
      <c r="C928" s="30"/>
      <c r="D928" s="68"/>
      <c r="E928" s="30"/>
      <c r="F928" s="30"/>
      <c r="G928" s="68"/>
      <c r="H928" s="30"/>
      <c r="M928" s="69"/>
      <c r="N928" s="70"/>
      <c r="O928" s="71"/>
      <c r="P928" s="72"/>
    </row>
    <row r="929" spans="1:16" ht="15.75" customHeight="1">
      <c r="A929" s="30"/>
      <c r="B929" s="30"/>
      <c r="C929" s="30"/>
      <c r="D929" s="68"/>
      <c r="E929" s="30"/>
      <c r="F929" s="30"/>
      <c r="G929" s="68"/>
      <c r="H929" s="30"/>
      <c r="M929" s="69"/>
      <c r="N929" s="70"/>
      <c r="O929" s="71"/>
      <c r="P929" s="72"/>
    </row>
    <row r="930" spans="1:16" ht="15.75" customHeight="1">
      <c r="A930" s="30"/>
      <c r="B930" s="30"/>
      <c r="C930" s="30"/>
      <c r="D930" s="68"/>
      <c r="E930" s="30"/>
      <c r="F930" s="30"/>
      <c r="G930" s="68"/>
      <c r="H930" s="30"/>
      <c r="M930" s="69"/>
      <c r="N930" s="70"/>
      <c r="O930" s="71"/>
      <c r="P930" s="72"/>
    </row>
    <row r="931" spans="1:16" ht="15.75" customHeight="1">
      <c r="A931" s="30"/>
      <c r="B931" s="30"/>
      <c r="C931" s="30"/>
      <c r="D931" s="68"/>
      <c r="E931" s="30"/>
      <c r="F931" s="30"/>
      <c r="G931" s="68"/>
      <c r="H931" s="30"/>
      <c r="M931" s="69"/>
      <c r="N931" s="70"/>
      <c r="O931" s="71"/>
      <c r="P931" s="72"/>
    </row>
    <row r="932" spans="1:16" ht="15.75" customHeight="1">
      <c r="A932" s="30"/>
      <c r="B932" s="30"/>
      <c r="C932" s="30"/>
      <c r="D932" s="68"/>
      <c r="E932" s="30"/>
      <c r="F932" s="30"/>
      <c r="G932" s="68"/>
      <c r="H932" s="30"/>
      <c r="M932" s="69"/>
      <c r="N932" s="70"/>
      <c r="O932" s="71"/>
      <c r="P932" s="72"/>
    </row>
    <row r="933" spans="1:16" ht="15.75" customHeight="1">
      <c r="A933" s="30"/>
      <c r="B933" s="30"/>
      <c r="C933" s="30"/>
      <c r="D933" s="68"/>
      <c r="E933" s="30"/>
      <c r="F933" s="30"/>
      <c r="G933" s="68"/>
      <c r="H933" s="30"/>
      <c r="M933" s="69"/>
      <c r="N933" s="70"/>
      <c r="O933" s="71"/>
      <c r="P933" s="72"/>
    </row>
    <row r="934" spans="1:16" ht="15.75" customHeight="1">
      <c r="A934" s="30"/>
      <c r="B934" s="30"/>
      <c r="C934" s="30"/>
      <c r="D934" s="68"/>
      <c r="E934" s="30"/>
      <c r="F934" s="30"/>
      <c r="G934" s="68"/>
      <c r="H934" s="30"/>
      <c r="M934" s="69"/>
      <c r="N934" s="70"/>
      <c r="O934" s="71"/>
      <c r="P934" s="72"/>
    </row>
    <row r="935" spans="1:16" ht="15.75" customHeight="1">
      <c r="A935" s="30"/>
      <c r="B935" s="30"/>
      <c r="C935" s="30"/>
      <c r="D935" s="68"/>
      <c r="E935" s="30"/>
      <c r="F935" s="30"/>
      <c r="G935" s="68"/>
      <c r="H935" s="30"/>
      <c r="M935" s="69"/>
      <c r="N935" s="70"/>
      <c r="O935" s="71"/>
      <c r="P935" s="72"/>
    </row>
    <row r="936" spans="1:16" ht="15.75" customHeight="1">
      <c r="A936" s="30"/>
      <c r="B936" s="30"/>
      <c r="C936" s="30"/>
      <c r="D936" s="68"/>
      <c r="E936" s="30"/>
      <c r="F936" s="30"/>
      <c r="G936" s="68"/>
      <c r="H936" s="30"/>
      <c r="M936" s="69"/>
      <c r="N936" s="70"/>
      <c r="O936" s="71"/>
      <c r="P936" s="72"/>
    </row>
    <row r="937" spans="1:16" ht="15.75" customHeight="1">
      <c r="A937" s="30"/>
      <c r="B937" s="30"/>
      <c r="C937" s="30"/>
      <c r="D937" s="68"/>
      <c r="E937" s="30"/>
      <c r="F937" s="30"/>
      <c r="G937" s="68"/>
      <c r="H937" s="30"/>
      <c r="M937" s="69"/>
      <c r="N937" s="70"/>
      <c r="O937" s="71"/>
      <c r="P937" s="72"/>
    </row>
    <row r="938" spans="1:16" ht="15.75" customHeight="1">
      <c r="A938" s="30"/>
      <c r="B938" s="30"/>
      <c r="C938" s="30"/>
      <c r="D938" s="68"/>
      <c r="E938" s="30"/>
      <c r="F938" s="30"/>
      <c r="G938" s="68"/>
      <c r="H938" s="30"/>
      <c r="M938" s="69"/>
      <c r="N938" s="70"/>
      <c r="O938" s="71"/>
      <c r="P938" s="72"/>
    </row>
    <row r="939" spans="1:16" ht="15.75" customHeight="1">
      <c r="A939" s="30"/>
      <c r="B939" s="30"/>
      <c r="C939" s="30"/>
      <c r="D939" s="68"/>
      <c r="E939" s="30"/>
      <c r="F939" s="30"/>
      <c r="G939" s="68"/>
      <c r="H939" s="30"/>
      <c r="M939" s="69"/>
      <c r="N939" s="70"/>
      <c r="O939" s="71"/>
      <c r="P939" s="72"/>
    </row>
    <row r="940" spans="1:16" ht="15.75" customHeight="1">
      <c r="A940" s="30"/>
      <c r="B940" s="30"/>
      <c r="C940" s="30"/>
      <c r="D940" s="68"/>
      <c r="E940" s="30"/>
      <c r="F940" s="30"/>
      <c r="G940" s="68"/>
      <c r="H940" s="30"/>
      <c r="M940" s="69"/>
      <c r="N940" s="70"/>
      <c r="O940" s="71"/>
      <c r="P940" s="72"/>
    </row>
    <row r="941" spans="1:16" ht="15.75" customHeight="1">
      <c r="A941" s="30"/>
      <c r="B941" s="30"/>
      <c r="C941" s="30"/>
      <c r="D941" s="68"/>
      <c r="E941" s="30"/>
      <c r="F941" s="30"/>
      <c r="G941" s="68"/>
      <c r="H941" s="30"/>
      <c r="M941" s="69"/>
      <c r="N941" s="70"/>
      <c r="O941" s="71"/>
      <c r="P941" s="72"/>
    </row>
    <row r="942" spans="1:16" ht="15.75" customHeight="1">
      <c r="A942" s="30"/>
      <c r="B942" s="30"/>
      <c r="C942" s="30"/>
      <c r="D942" s="68"/>
      <c r="E942" s="30"/>
      <c r="F942" s="30"/>
      <c r="G942" s="68"/>
      <c r="H942" s="30"/>
      <c r="M942" s="69"/>
      <c r="N942" s="70"/>
      <c r="O942" s="71"/>
      <c r="P942" s="72"/>
    </row>
    <row r="943" spans="1:16" ht="15.75" customHeight="1">
      <c r="A943" s="30"/>
      <c r="B943" s="30"/>
      <c r="C943" s="30"/>
      <c r="D943" s="68"/>
      <c r="E943" s="30"/>
      <c r="F943" s="30"/>
      <c r="G943" s="68"/>
      <c r="H943" s="30"/>
      <c r="M943" s="69"/>
      <c r="N943" s="70"/>
      <c r="O943" s="71"/>
      <c r="P943" s="72"/>
    </row>
    <row r="944" spans="1:16" ht="15.75" customHeight="1">
      <c r="A944" s="30"/>
      <c r="B944" s="30"/>
      <c r="C944" s="30"/>
      <c r="D944" s="68"/>
      <c r="E944" s="30"/>
      <c r="F944" s="30"/>
      <c r="G944" s="68"/>
      <c r="H944" s="30"/>
      <c r="M944" s="69"/>
      <c r="N944" s="70"/>
      <c r="O944" s="71"/>
      <c r="P944" s="72"/>
    </row>
    <row r="945" spans="1:16" ht="15.75" customHeight="1">
      <c r="A945" s="30"/>
      <c r="B945" s="30"/>
      <c r="C945" s="30"/>
      <c r="D945" s="68"/>
      <c r="E945" s="30"/>
      <c r="F945" s="30"/>
      <c r="G945" s="68"/>
      <c r="H945" s="30"/>
      <c r="M945" s="69"/>
      <c r="N945" s="70"/>
      <c r="O945" s="71"/>
      <c r="P945" s="72"/>
    </row>
    <row r="946" spans="1:16" ht="15.75" customHeight="1">
      <c r="A946" s="30"/>
      <c r="B946" s="30"/>
      <c r="C946" s="30"/>
      <c r="D946" s="68"/>
      <c r="E946" s="30"/>
      <c r="F946" s="30"/>
      <c r="G946" s="68"/>
      <c r="H946" s="30"/>
      <c r="M946" s="69"/>
      <c r="N946" s="70"/>
      <c r="O946" s="71"/>
      <c r="P946" s="72"/>
    </row>
    <row r="947" spans="1:16" ht="15.75" customHeight="1">
      <c r="A947" s="30"/>
      <c r="B947" s="30"/>
      <c r="C947" s="30"/>
      <c r="D947" s="68"/>
      <c r="E947" s="30"/>
      <c r="F947" s="30"/>
      <c r="G947" s="68"/>
      <c r="H947" s="30"/>
      <c r="M947" s="69"/>
      <c r="N947" s="70"/>
      <c r="O947" s="71"/>
      <c r="P947" s="72"/>
    </row>
    <row r="948" spans="1:16" ht="15.75" customHeight="1">
      <c r="A948" s="30"/>
      <c r="B948" s="30"/>
      <c r="C948" s="30"/>
      <c r="D948" s="68"/>
      <c r="E948" s="30"/>
      <c r="F948" s="30"/>
      <c r="G948" s="68"/>
      <c r="H948" s="30"/>
      <c r="M948" s="69"/>
      <c r="N948" s="70"/>
      <c r="O948" s="71"/>
      <c r="P948" s="72"/>
    </row>
    <row r="949" spans="1:16" ht="15.75" customHeight="1">
      <c r="A949" s="30"/>
      <c r="B949" s="30"/>
      <c r="C949" s="30"/>
      <c r="D949" s="68"/>
      <c r="E949" s="30"/>
      <c r="F949" s="30"/>
      <c r="G949" s="68"/>
      <c r="H949" s="30"/>
      <c r="M949" s="69"/>
      <c r="N949" s="70"/>
      <c r="O949" s="71"/>
      <c r="P949" s="72"/>
    </row>
    <row r="950" spans="1:16" ht="15.75" customHeight="1">
      <c r="A950" s="30"/>
      <c r="B950" s="30"/>
      <c r="C950" s="30"/>
      <c r="D950" s="68"/>
      <c r="E950" s="30"/>
      <c r="F950" s="30"/>
      <c r="G950" s="68"/>
      <c r="H950" s="30"/>
      <c r="M950" s="69"/>
      <c r="N950" s="70"/>
      <c r="O950" s="71"/>
      <c r="P950" s="72"/>
    </row>
    <row r="951" spans="1:16" ht="15.75" customHeight="1">
      <c r="A951" s="30"/>
      <c r="B951" s="30"/>
      <c r="C951" s="30"/>
      <c r="D951" s="68"/>
      <c r="E951" s="30"/>
      <c r="F951" s="30"/>
      <c r="G951" s="68"/>
      <c r="H951" s="30"/>
      <c r="M951" s="69"/>
      <c r="N951" s="70"/>
      <c r="O951" s="71"/>
      <c r="P951" s="72"/>
    </row>
    <row r="952" spans="1:16" ht="15.75" customHeight="1">
      <c r="A952" s="30"/>
      <c r="B952" s="30"/>
      <c r="C952" s="30"/>
      <c r="D952" s="68"/>
      <c r="E952" s="30"/>
      <c r="F952" s="30"/>
      <c r="G952" s="68"/>
      <c r="H952" s="30"/>
      <c r="M952" s="69"/>
      <c r="N952" s="70"/>
      <c r="O952" s="71"/>
      <c r="P952" s="72"/>
    </row>
    <row r="953" spans="1:16" ht="15.75" customHeight="1">
      <c r="A953" s="30"/>
      <c r="B953" s="30"/>
      <c r="C953" s="30"/>
      <c r="D953" s="68"/>
      <c r="E953" s="30"/>
      <c r="F953" s="30"/>
      <c r="G953" s="68"/>
      <c r="H953" s="30"/>
      <c r="M953" s="69"/>
      <c r="N953" s="70"/>
      <c r="O953" s="71"/>
      <c r="P953" s="72"/>
    </row>
    <row r="954" spans="1:16" ht="15.75" customHeight="1">
      <c r="A954" s="30"/>
      <c r="B954" s="30"/>
      <c r="C954" s="30"/>
      <c r="D954" s="68"/>
      <c r="E954" s="30"/>
      <c r="F954" s="30"/>
      <c r="G954" s="68"/>
      <c r="H954" s="30"/>
      <c r="M954" s="69"/>
      <c r="N954" s="70"/>
      <c r="O954" s="71"/>
      <c r="P954" s="72"/>
    </row>
    <row r="955" spans="1:16" ht="15.75" customHeight="1">
      <c r="A955" s="30"/>
      <c r="B955" s="30"/>
      <c r="C955" s="30"/>
      <c r="D955" s="68"/>
      <c r="E955" s="30"/>
      <c r="F955" s="30"/>
      <c r="G955" s="68"/>
      <c r="H955" s="30"/>
      <c r="M955" s="69"/>
      <c r="N955" s="70"/>
      <c r="O955" s="71"/>
      <c r="P955" s="72"/>
    </row>
    <row r="956" spans="1:16" ht="15.75" customHeight="1">
      <c r="A956" s="30"/>
      <c r="B956" s="30"/>
      <c r="C956" s="30"/>
      <c r="D956" s="68"/>
      <c r="E956" s="30"/>
      <c r="F956" s="30"/>
      <c r="G956" s="68"/>
      <c r="H956" s="30"/>
      <c r="M956" s="69"/>
      <c r="N956" s="70"/>
      <c r="O956" s="71"/>
      <c r="P956" s="72"/>
    </row>
    <row r="957" spans="1:16" ht="15.75" customHeight="1">
      <c r="A957" s="30"/>
      <c r="B957" s="30"/>
      <c r="C957" s="30"/>
      <c r="D957" s="68"/>
      <c r="E957" s="30"/>
      <c r="F957" s="30"/>
      <c r="G957" s="68"/>
      <c r="H957" s="30"/>
      <c r="M957" s="69"/>
      <c r="N957" s="70"/>
      <c r="O957" s="71"/>
      <c r="P957" s="72"/>
    </row>
    <row r="958" spans="1:16" ht="15.75" customHeight="1">
      <c r="A958" s="30"/>
      <c r="B958" s="30"/>
      <c r="C958" s="30"/>
      <c r="D958" s="68"/>
      <c r="E958" s="30"/>
      <c r="F958" s="30"/>
      <c r="G958" s="68"/>
      <c r="H958" s="30"/>
      <c r="M958" s="69"/>
      <c r="N958" s="70"/>
      <c r="O958" s="71"/>
      <c r="P958" s="72"/>
    </row>
    <row r="959" spans="1:16" ht="15.75" customHeight="1">
      <c r="A959" s="30"/>
      <c r="B959" s="30"/>
      <c r="C959" s="30"/>
      <c r="D959" s="68"/>
      <c r="E959" s="30"/>
      <c r="F959" s="30"/>
      <c r="G959" s="68"/>
      <c r="H959" s="30"/>
      <c r="M959" s="69"/>
      <c r="N959" s="70"/>
      <c r="O959" s="71"/>
      <c r="P959" s="72"/>
    </row>
    <row r="960" spans="1:16" ht="15.75" customHeight="1">
      <c r="A960" s="30"/>
      <c r="B960" s="30"/>
      <c r="C960" s="30"/>
      <c r="D960" s="68"/>
      <c r="E960" s="30"/>
      <c r="F960" s="30"/>
      <c r="G960" s="68"/>
      <c r="H960" s="30"/>
      <c r="M960" s="69"/>
      <c r="N960" s="70"/>
      <c r="O960" s="71"/>
      <c r="P960" s="72"/>
    </row>
    <row r="961" spans="1:16" ht="15.75" customHeight="1">
      <c r="A961" s="30"/>
      <c r="B961" s="30"/>
      <c r="C961" s="30"/>
      <c r="D961" s="68"/>
      <c r="E961" s="30"/>
      <c r="F961" s="30"/>
      <c r="G961" s="68"/>
      <c r="H961" s="30"/>
      <c r="M961" s="69"/>
      <c r="N961" s="70"/>
      <c r="O961" s="71"/>
      <c r="P961" s="72"/>
    </row>
    <row r="962" spans="1:16" ht="15.75" customHeight="1">
      <c r="A962" s="30"/>
      <c r="B962" s="30"/>
      <c r="C962" s="30"/>
      <c r="D962" s="68"/>
      <c r="E962" s="30"/>
      <c r="F962" s="30"/>
      <c r="G962" s="68"/>
      <c r="H962" s="30"/>
      <c r="M962" s="69"/>
      <c r="N962" s="70"/>
      <c r="O962" s="71"/>
      <c r="P962" s="72"/>
    </row>
    <row r="963" spans="1:16" ht="15.75" customHeight="1">
      <c r="A963" s="30"/>
      <c r="B963" s="30"/>
      <c r="C963" s="30"/>
      <c r="D963" s="68"/>
      <c r="E963" s="30"/>
      <c r="F963" s="30"/>
      <c r="G963" s="68"/>
      <c r="H963" s="30"/>
      <c r="M963" s="69"/>
      <c r="N963" s="70"/>
      <c r="O963" s="71"/>
      <c r="P963" s="72"/>
    </row>
    <row r="964" spans="1:16" ht="15.75" customHeight="1">
      <c r="A964" s="30"/>
      <c r="B964" s="30"/>
      <c r="C964" s="30"/>
      <c r="D964" s="68"/>
      <c r="E964" s="30"/>
      <c r="F964" s="30"/>
      <c r="G964" s="68"/>
      <c r="H964" s="30"/>
      <c r="M964" s="69"/>
      <c r="N964" s="70"/>
      <c r="O964" s="71"/>
      <c r="P964" s="72"/>
    </row>
    <row r="965" spans="1:16" ht="15.75" customHeight="1">
      <c r="A965" s="30"/>
      <c r="B965" s="30"/>
      <c r="C965" s="30"/>
      <c r="D965" s="68"/>
      <c r="E965" s="30"/>
      <c r="F965" s="30"/>
      <c r="G965" s="68"/>
      <c r="H965" s="30"/>
      <c r="M965" s="69"/>
      <c r="N965" s="70"/>
      <c r="O965" s="71"/>
      <c r="P965" s="72"/>
    </row>
    <row r="966" spans="1:16" ht="15.75" customHeight="1">
      <c r="A966" s="30"/>
      <c r="B966" s="30"/>
      <c r="C966" s="30"/>
      <c r="D966" s="68"/>
      <c r="E966" s="30"/>
      <c r="F966" s="30"/>
      <c r="G966" s="68"/>
      <c r="H966" s="30"/>
      <c r="M966" s="69"/>
      <c r="N966" s="70"/>
      <c r="O966" s="71"/>
      <c r="P966" s="72"/>
    </row>
    <row r="967" spans="1:16" ht="15.75" customHeight="1">
      <c r="A967" s="30"/>
      <c r="B967" s="30"/>
      <c r="C967" s="30"/>
      <c r="D967" s="68"/>
      <c r="E967" s="30"/>
      <c r="F967" s="30"/>
      <c r="G967" s="68"/>
      <c r="H967" s="30"/>
      <c r="M967" s="69"/>
      <c r="N967" s="70"/>
      <c r="O967" s="71"/>
      <c r="P967" s="72"/>
    </row>
    <row r="968" spans="1:16" ht="15.75" customHeight="1">
      <c r="A968" s="30"/>
      <c r="B968" s="30"/>
      <c r="C968" s="30"/>
      <c r="D968" s="68"/>
      <c r="E968" s="30"/>
      <c r="F968" s="30"/>
      <c r="G968" s="68"/>
      <c r="H968" s="30"/>
      <c r="M968" s="69"/>
      <c r="N968" s="70"/>
      <c r="O968" s="71"/>
      <c r="P968" s="72"/>
    </row>
    <row r="969" spans="1:16" ht="15.75" customHeight="1">
      <c r="A969" s="30"/>
      <c r="B969" s="30"/>
      <c r="C969" s="30"/>
      <c r="D969" s="68"/>
      <c r="E969" s="30"/>
      <c r="F969" s="30"/>
      <c r="G969" s="68"/>
      <c r="H969" s="30"/>
      <c r="M969" s="69"/>
      <c r="N969" s="70"/>
      <c r="O969" s="71"/>
      <c r="P969" s="72"/>
    </row>
    <row r="970" spans="1:16" ht="15.75" customHeight="1">
      <c r="A970" s="30"/>
      <c r="B970" s="30"/>
      <c r="C970" s="30"/>
      <c r="D970" s="68"/>
      <c r="E970" s="30"/>
      <c r="F970" s="30"/>
      <c r="G970" s="68"/>
      <c r="H970" s="30"/>
      <c r="M970" s="69"/>
      <c r="N970" s="70"/>
      <c r="O970" s="71"/>
      <c r="P970" s="72"/>
    </row>
    <row r="971" spans="1:16" ht="15.75" customHeight="1">
      <c r="A971" s="30"/>
      <c r="B971" s="30"/>
      <c r="C971" s="30"/>
      <c r="D971" s="68"/>
      <c r="E971" s="30"/>
      <c r="F971" s="30"/>
      <c r="G971" s="68"/>
      <c r="H971" s="30"/>
      <c r="M971" s="69"/>
      <c r="N971" s="70"/>
      <c r="O971" s="71"/>
      <c r="P971" s="72"/>
    </row>
    <row r="972" spans="1:16" ht="15.75" customHeight="1">
      <c r="A972" s="30"/>
      <c r="B972" s="30"/>
      <c r="C972" s="30"/>
      <c r="D972" s="68"/>
      <c r="E972" s="30"/>
      <c r="F972" s="30"/>
      <c r="G972" s="68"/>
      <c r="H972" s="30"/>
      <c r="M972" s="69"/>
      <c r="N972" s="70"/>
      <c r="O972" s="71"/>
      <c r="P972" s="72"/>
    </row>
    <row r="973" spans="1:16" ht="15.75" customHeight="1">
      <c r="A973" s="30"/>
      <c r="B973" s="30"/>
      <c r="C973" s="30"/>
      <c r="D973" s="68"/>
      <c r="E973" s="30"/>
      <c r="F973" s="30"/>
      <c r="G973" s="68"/>
      <c r="H973" s="30"/>
      <c r="M973" s="69"/>
      <c r="N973" s="70"/>
      <c r="O973" s="71"/>
      <c r="P973" s="72"/>
    </row>
    <row r="974" spans="1:16" ht="15.75" customHeight="1">
      <c r="A974" s="30"/>
      <c r="B974" s="30"/>
      <c r="C974" s="30"/>
      <c r="D974" s="68"/>
      <c r="E974" s="30"/>
      <c r="F974" s="30"/>
      <c r="G974" s="68"/>
      <c r="H974" s="30"/>
      <c r="M974" s="69"/>
      <c r="N974" s="70"/>
      <c r="O974" s="71"/>
      <c r="P974" s="72"/>
    </row>
    <row r="975" spans="1:16" ht="15.75" customHeight="1">
      <c r="A975" s="30"/>
      <c r="B975" s="30"/>
      <c r="C975" s="30"/>
      <c r="D975" s="68"/>
      <c r="E975" s="30"/>
      <c r="F975" s="30"/>
      <c r="G975" s="68"/>
      <c r="H975" s="30"/>
      <c r="M975" s="69"/>
      <c r="N975" s="70"/>
      <c r="O975" s="71"/>
      <c r="P975" s="72"/>
    </row>
    <row r="976" spans="1:16" ht="15.75" customHeight="1">
      <c r="A976" s="30"/>
      <c r="B976" s="30"/>
      <c r="C976" s="30"/>
      <c r="D976" s="68"/>
      <c r="E976" s="30"/>
      <c r="F976" s="30"/>
      <c r="G976" s="68"/>
      <c r="H976" s="30"/>
      <c r="M976" s="69"/>
      <c r="N976" s="70"/>
      <c r="O976" s="71"/>
      <c r="P976" s="72"/>
    </row>
    <row r="977" spans="1:16" ht="15.75" customHeight="1">
      <c r="A977" s="30"/>
      <c r="B977" s="30"/>
      <c r="C977" s="30"/>
      <c r="D977" s="68"/>
      <c r="E977" s="30"/>
      <c r="F977" s="30"/>
      <c r="G977" s="68"/>
      <c r="H977" s="30"/>
      <c r="M977" s="69"/>
      <c r="N977" s="70"/>
      <c r="O977" s="71"/>
      <c r="P977" s="72"/>
    </row>
    <row r="978" spans="1:16" ht="15.75" customHeight="1">
      <c r="A978" s="30"/>
      <c r="B978" s="30"/>
      <c r="C978" s="30"/>
      <c r="D978" s="68"/>
      <c r="E978" s="30"/>
      <c r="F978" s="30"/>
      <c r="G978" s="68"/>
      <c r="H978" s="30"/>
      <c r="M978" s="69"/>
      <c r="N978" s="70"/>
      <c r="O978" s="71"/>
      <c r="P978" s="72"/>
    </row>
    <row r="979" spans="1:16" ht="15.75" customHeight="1">
      <c r="A979" s="30"/>
      <c r="B979" s="30"/>
      <c r="C979" s="30"/>
      <c r="D979" s="68"/>
      <c r="E979" s="30"/>
      <c r="F979" s="30"/>
      <c r="G979" s="68"/>
      <c r="H979" s="30"/>
      <c r="M979" s="69"/>
      <c r="N979" s="70"/>
      <c r="O979" s="71"/>
      <c r="P979" s="72"/>
    </row>
    <row r="980" spans="1:16" ht="15.75" customHeight="1">
      <c r="A980" s="30"/>
      <c r="B980" s="30"/>
      <c r="C980" s="30"/>
      <c r="D980" s="68"/>
      <c r="E980" s="30"/>
      <c r="F980" s="30"/>
      <c r="G980" s="68"/>
      <c r="H980" s="30"/>
      <c r="M980" s="69"/>
      <c r="N980" s="70"/>
      <c r="O980" s="71"/>
      <c r="P980" s="72"/>
    </row>
    <row r="981" spans="1:16" ht="15.75" customHeight="1">
      <c r="A981" s="30"/>
      <c r="B981" s="30"/>
      <c r="C981" s="30"/>
      <c r="D981" s="68"/>
      <c r="E981" s="30"/>
      <c r="F981" s="30"/>
      <c r="G981" s="68"/>
      <c r="H981" s="30"/>
      <c r="M981" s="69"/>
      <c r="N981" s="70"/>
      <c r="O981" s="71"/>
      <c r="P981" s="72"/>
    </row>
    <row r="982" spans="1:16" ht="15.75" customHeight="1">
      <c r="A982" s="30"/>
      <c r="B982" s="30"/>
      <c r="C982" s="30"/>
      <c r="D982" s="68"/>
      <c r="E982" s="30"/>
      <c r="F982" s="30"/>
      <c r="G982" s="68"/>
      <c r="H982" s="30"/>
      <c r="M982" s="69"/>
      <c r="N982" s="70"/>
      <c r="O982" s="71"/>
      <c r="P982" s="72"/>
    </row>
    <row r="983" spans="1:16" ht="15.75" customHeight="1">
      <c r="A983" s="30"/>
      <c r="B983" s="30"/>
      <c r="C983" s="30"/>
      <c r="D983" s="68"/>
      <c r="E983" s="30"/>
      <c r="F983" s="30"/>
      <c r="G983" s="68"/>
      <c r="H983" s="30"/>
      <c r="M983" s="69"/>
      <c r="N983" s="70"/>
      <c r="O983" s="71"/>
      <c r="P983" s="72"/>
    </row>
    <row r="984" spans="1:16" ht="15.75" customHeight="1">
      <c r="A984" s="30"/>
      <c r="B984" s="30"/>
      <c r="C984" s="30"/>
      <c r="D984" s="68"/>
      <c r="E984" s="30"/>
      <c r="F984" s="30"/>
      <c r="G984" s="68"/>
      <c r="H984" s="30"/>
      <c r="M984" s="69"/>
      <c r="N984" s="70"/>
      <c r="O984" s="71"/>
      <c r="P984" s="72"/>
    </row>
    <row r="985" spans="1:16" ht="15.75" customHeight="1">
      <c r="A985" s="30"/>
      <c r="B985" s="30"/>
      <c r="C985" s="30"/>
      <c r="D985" s="68"/>
      <c r="E985" s="30"/>
      <c r="F985" s="30"/>
      <c r="G985" s="68"/>
      <c r="H985" s="30"/>
      <c r="M985" s="69"/>
      <c r="N985" s="70"/>
      <c r="O985" s="71"/>
      <c r="P985" s="72"/>
    </row>
    <row r="986" spans="1:16" ht="15.75" customHeight="1">
      <c r="A986" s="30"/>
      <c r="B986" s="30"/>
      <c r="C986" s="30"/>
      <c r="D986" s="68"/>
      <c r="E986" s="30"/>
      <c r="F986" s="30"/>
      <c r="G986" s="68"/>
      <c r="H986" s="30"/>
      <c r="M986" s="69"/>
      <c r="N986" s="70"/>
      <c r="O986" s="71"/>
      <c r="P986" s="72"/>
    </row>
    <row r="987" spans="1:16" ht="15.75" customHeight="1">
      <c r="A987" s="30"/>
      <c r="B987" s="30"/>
      <c r="C987" s="30"/>
      <c r="D987" s="68"/>
      <c r="E987" s="30"/>
      <c r="F987" s="30"/>
      <c r="G987" s="68"/>
      <c r="H987" s="30"/>
      <c r="M987" s="69"/>
      <c r="N987" s="70"/>
      <c r="O987" s="71"/>
      <c r="P987" s="72"/>
    </row>
    <row r="988" spans="1:16" ht="15.75" customHeight="1">
      <c r="A988" s="30"/>
      <c r="B988" s="30"/>
      <c r="C988" s="30"/>
      <c r="D988" s="68"/>
      <c r="E988" s="30"/>
      <c r="F988" s="30"/>
      <c r="G988" s="68"/>
      <c r="H988" s="30"/>
      <c r="M988" s="69"/>
      <c r="N988" s="70"/>
      <c r="O988" s="71"/>
      <c r="P988" s="72"/>
    </row>
    <row r="989" spans="1:16" ht="15.75" customHeight="1">
      <c r="A989" s="30"/>
      <c r="B989" s="30"/>
      <c r="C989" s="30"/>
      <c r="D989" s="68"/>
      <c r="E989" s="30"/>
      <c r="F989" s="30"/>
      <c r="G989" s="68"/>
      <c r="H989" s="30"/>
      <c r="M989" s="69"/>
      <c r="N989" s="70"/>
      <c r="O989" s="71"/>
      <c r="P989" s="72"/>
    </row>
    <row r="990" spans="1:16" ht="15.75" customHeight="1">
      <c r="A990" s="30"/>
      <c r="B990" s="30"/>
      <c r="C990" s="30"/>
      <c r="D990" s="68"/>
      <c r="E990" s="30"/>
      <c r="F990" s="30"/>
      <c r="G990" s="68"/>
      <c r="H990" s="30"/>
      <c r="M990" s="69"/>
      <c r="N990" s="70"/>
      <c r="O990" s="71"/>
      <c r="P990" s="72"/>
    </row>
    <row r="991" spans="1:16" ht="15.75" customHeight="1">
      <c r="A991" s="30"/>
      <c r="B991" s="30"/>
      <c r="C991" s="30"/>
      <c r="D991" s="68"/>
      <c r="E991" s="30"/>
      <c r="F991" s="30"/>
      <c r="G991" s="68"/>
      <c r="H991" s="30"/>
      <c r="M991" s="69"/>
      <c r="N991" s="70"/>
      <c r="O991" s="71"/>
      <c r="P991" s="72"/>
    </row>
    <row r="992" spans="1:16" ht="15.75" customHeight="1">
      <c r="A992" s="30"/>
      <c r="B992" s="30"/>
      <c r="C992" s="30"/>
      <c r="D992" s="68"/>
      <c r="E992" s="30"/>
      <c r="F992" s="30"/>
      <c r="G992" s="68"/>
      <c r="H992" s="30"/>
      <c r="M992" s="69"/>
      <c r="N992" s="70"/>
      <c r="O992" s="71"/>
      <c r="P992" s="72"/>
    </row>
    <row r="993" spans="1:16" ht="15.75" customHeight="1">
      <c r="A993" s="30"/>
      <c r="B993" s="30"/>
      <c r="C993" s="30"/>
      <c r="D993" s="68"/>
      <c r="E993" s="30"/>
      <c r="F993" s="30"/>
      <c r="G993" s="68"/>
      <c r="H993" s="30"/>
      <c r="M993" s="69"/>
      <c r="N993" s="70"/>
      <c r="O993" s="71"/>
      <c r="P993" s="72"/>
    </row>
    <row r="994" spans="1:16" ht="15.75" customHeight="1">
      <c r="A994" s="30"/>
      <c r="B994" s="30"/>
      <c r="C994" s="30"/>
      <c r="D994" s="68"/>
      <c r="E994" s="30"/>
      <c r="F994" s="30"/>
      <c r="G994" s="68"/>
      <c r="H994" s="30"/>
      <c r="M994" s="69"/>
      <c r="N994" s="70"/>
      <c r="O994" s="71"/>
      <c r="P994" s="72"/>
    </row>
    <row r="995" spans="1:16" ht="15.75" customHeight="1">
      <c r="A995" s="30"/>
      <c r="B995" s="30"/>
      <c r="C995" s="30"/>
      <c r="D995" s="68"/>
      <c r="E995" s="30"/>
      <c r="F995" s="30"/>
      <c r="G995" s="68"/>
      <c r="H995" s="30"/>
      <c r="M995" s="69"/>
      <c r="N995" s="70"/>
      <c r="O995" s="71"/>
      <c r="P995" s="72"/>
    </row>
    <row r="996" spans="1:16" ht="15.75" customHeight="1">
      <c r="A996" s="30"/>
      <c r="B996" s="30"/>
      <c r="C996" s="30"/>
      <c r="D996" s="68"/>
      <c r="E996" s="30"/>
      <c r="F996" s="30"/>
      <c r="G996" s="68"/>
      <c r="H996" s="30"/>
      <c r="M996" s="69"/>
      <c r="N996" s="70"/>
      <c r="O996" s="71"/>
      <c r="P996" s="72"/>
    </row>
    <row r="997" spans="1:16" ht="15.75" customHeight="1">
      <c r="A997" s="30"/>
      <c r="B997" s="30"/>
      <c r="C997" s="30"/>
      <c r="D997" s="68"/>
      <c r="E997" s="30"/>
      <c r="F997" s="30"/>
      <c r="G997" s="68"/>
      <c r="H997" s="30"/>
      <c r="M997" s="69"/>
      <c r="N997" s="70"/>
      <c r="O997" s="71"/>
      <c r="P997" s="72"/>
    </row>
    <row r="998" spans="1:16" ht="15.75" customHeight="1">
      <c r="A998" s="30"/>
      <c r="B998" s="30"/>
      <c r="C998" s="30"/>
      <c r="D998" s="68"/>
      <c r="E998" s="30"/>
      <c r="F998" s="30"/>
      <c r="G998" s="68"/>
      <c r="H998" s="30"/>
      <c r="M998" s="69"/>
      <c r="N998" s="70"/>
      <c r="O998" s="71"/>
      <c r="P998" s="72"/>
    </row>
    <row r="999" spans="1:16" ht="15.75" customHeight="1">
      <c r="A999" s="30"/>
      <c r="B999" s="30"/>
      <c r="C999" s="30"/>
      <c r="D999" s="68"/>
      <c r="E999" s="30"/>
      <c r="F999" s="30"/>
      <c r="G999" s="68"/>
      <c r="H999" s="30"/>
      <c r="M999" s="69"/>
      <c r="N999" s="70"/>
      <c r="O999" s="71"/>
      <c r="P999" s="72"/>
    </row>
    <row r="1000" spans="1:16" ht="15.75" customHeight="1">
      <c r="A1000" s="30"/>
      <c r="B1000" s="30"/>
      <c r="C1000" s="30"/>
      <c r="D1000" s="68"/>
      <c r="E1000" s="30"/>
      <c r="F1000" s="30"/>
      <c r="G1000" s="68"/>
      <c r="H1000" s="30"/>
      <c r="M1000" s="69"/>
      <c r="N1000" s="70"/>
      <c r="O1000" s="71"/>
      <c r="P1000" s="72"/>
    </row>
  </sheetData>
  <mergeCells count="57">
    <mergeCell ref="H120:H130"/>
    <mergeCell ref="D94:D95"/>
    <mergeCell ref="D96:D99"/>
    <mergeCell ref="D60:D63"/>
    <mergeCell ref="D65:D74"/>
    <mergeCell ref="D78:D80"/>
    <mergeCell ref="D81:D83"/>
    <mergeCell ref="D84:D86"/>
    <mergeCell ref="C100:C106"/>
    <mergeCell ref="D100:D106"/>
    <mergeCell ref="C107:C112"/>
    <mergeCell ref="D107:D112"/>
    <mergeCell ref="C113:C139"/>
    <mergeCell ref="D131:D139"/>
    <mergeCell ref="D113:D130"/>
    <mergeCell ref="H2:H3"/>
    <mergeCell ref="I2:K2"/>
    <mergeCell ref="L2:P2"/>
    <mergeCell ref="Q11:S12"/>
    <mergeCell ref="G2:G3"/>
    <mergeCell ref="G11:G12"/>
    <mergeCell ref="G15:G19"/>
    <mergeCell ref="G23:G25"/>
    <mergeCell ref="G37:G38"/>
    <mergeCell ref="A2:A3"/>
    <mergeCell ref="B2:B3"/>
    <mergeCell ref="C2:C3"/>
    <mergeCell ref="E2:E3"/>
    <mergeCell ref="F2:F3"/>
    <mergeCell ref="C4:C7"/>
    <mergeCell ref="D6:D7"/>
    <mergeCell ref="D2:D3"/>
    <mergeCell ref="D4:D5"/>
    <mergeCell ref="C8:C10"/>
    <mergeCell ref="D8:D10"/>
    <mergeCell ref="D11:D12"/>
    <mergeCell ref="D13:D14"/>
    <mergeCell ref="D15:D19"/>
    <mergeCell ref="D20:D22"/>
    <mergeCell ref="D23:D25"/>
    <mergeCell ref="D29:D36"/>
    <mergeCell ref="D37:D38"/>
    <mergeCell ref="D39:D43"/>
    <mergeCell ref="D44:D46"/>
    <mergeCell ref="D47:D57"/>
    <mergeCell ref="C81:C87"/>
    <mergeCell ref="C88:C95"/>
    <mergeCell ref="D88:D89"/>
    <mergeCell ref="D90:D93"/>
    <mergeCell ref="C96:C99"/>
    <mergeCell ref="C11:C19"/>
    <mergeCell ref="C20:C28"/>
    <mergeCell ref="C29:C36"/>
    <mergeCell ref="C37:C57"/>
    <mergeCell ref="C58:C64"/>
    <mergeCell ref="C65:C74"/>
    <mergeCell ref="C76:C80"/>
  </mergeCells>
  <pageMargins left="0.7" right="0.7" top="0.75" bottom="0.75" header="0" footer="0"/>
  <pageSetup paperSize="5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959"/>
  <sheetViews>
    <sheetView tabSelected="1" topLeftCell="A383" workbookViewId="0">
      <selection activeCell="K395" sqref="K395"/>
    </sheetView>
  </sheetViews>
  <sheetFormatPr defaultColWidth="14.42578125" defaultRowHeight="15" customHeight="1"/>
  <cols>
    <col min="1" max="1" width="6.28515625" style="228" customWidth="1"/>
    <col min="2" max="2" width="8.7109375" style="228" customWidth="1"/>
    <col min="3" max="3" width="30" style="228" customWidth="1"/>
    <col min="4" max="4" width="27.5703125" style="228" hidden="1" customWidth="1"/>
    <col min="5" max="5" width="9" style="228" customWidth="1"/>
    <col min="6" max="6" width="15.7109375" style="228" bestFit="1" customWidth="1"/>
    <col min="7" max="7" width="11" style="228" customWidth="1"/>
    <col min="8" max="8" width="17.85546875" style="228" bestFit="1" customWidth="1"/>
    <col min="9" max="11" width="11" style="228" customWidth="1"/>
    <col min="12" max="12" width="13.28515625" style="228" customWidth="1"/>
    <col min="13" max="13" width="26" style="228" customWidth="1"/>
    <col min="14" max="14" width="8.7109375" style="228" customWidth="1"/>
    <col min="15" max="19" width="12.42578125" style="228" customWidth="1"/>
    <col min="20" max="22" width="8.7109375" style="228" customWidth="1"/>
    <col min="23" max="23" width="8.7109375" customWidth="1"/>
    <col min="24" max="24" width="8.7109375" hidden="1" customWidth="1"/>
    <col min="25" max="25" width="18.7109375" customWidth="1"/>
    <col min="26" max="26" width="8.7109375" customWidth="1"/>
  </cols>
  <sheetData>
    <row r="1" spans="1:21" ht="19.5" customHeight="1">
      <c r="A1" s="261" t="s">
        <v>2</v>
      </c>
      <c r="B1" s="261" t="s">
        <v>3</v>
      </c>
      <c r="C1" s="261" t="s">
        <v>11</v>
      </c>
      <c r="D1" s="261" t="s">
        <v>1915</v>
      </c>
      <c r="E1" s="261" t="s">
        <v>7</v>
      </c>
      <c r="F1" s="319" t="s">
        <v>2714</v>
      </c>
      <c r="G1" s="236"/>
      <c r="H1" s="235"/>
      <c r="I1" s="236"/>
      <c r="J1" s="236"/>
      <c r="K1" s="236"/>
      <c r="L1" s="236"/>
      <c r="M1" s="235"/>
      <c r="N1" s="236"/>
      <c r="O1" s="224"/>
      <c r="P1" s="224"/>
      <c r="Q1" s="236"/>
      <c r="R1" s="224"/>
      <c r="S1" s="224"/>
      <c r="T1" s="224"/>
      <c r="U1" s="224"/>
    </row>
    <row r="2" spans="1:21" ht="17.25" customHeight="1">
      <c r="A2" s="300">
        <v>1</v>
      </c>
      <c r="B2" s="263">
        <v>1000</v>
      </c>
      <c r="C2" s="369" t="s">
        <v>2680</v>
      </c>
      <c r="D2" s="265" t="s">
        <v>1922</v>
      </c>
      <c r="E2" s="260" t="s">
        <v>20</v>
      </c>
      <c r="F2" s="369">
        <v>1011</v>
      </c>
      <c r="G2" s="236"/>
      <c r="H2" s="229"/>
      <c r="I2" s="229"/>
      <c r="J2" s="229"/>
      <c r="K2" s="229"/>
      <c r="L2" s="232"/>
      <c r="M2" s="230"/>
      <c r="N2" s="237"/>
      <c r="O2" s="237"/>
      <c r="P2" s="237"/>
      <c r="Q2" s="237"/>
      <c r="R2" s="237"/>
      <c r="S2" s="238"/>
      <c r="T2" s="239"/>
      <c r="U2" s="240"/>
    </row>
    <row r="3" spans="1:21">
      <c r="A3" s="300">
        <v>2</v>
      </c>
      <c r="B3" s="263">
        <v>1000</v>
      </c>
      <c r="C3" s="369"/>
      <c r="D3" s="262"/>
      <c r="E3" s="260" t="s">
        <v>28</v>
      </c>
      <c r="F3" s="369"/>
      <c r="G3" s="231"/>
      <c r="H3" s="224"/>
      <c r="I3" s="224"/>
      <c r="J3" s="224"/>
      <c r="K3" s="224"/>
      <c r="L3" s="232"/>
      <c r="M3" s="230"/>
      <c r="N3" s="237"/>
      <c r="O3" s="237"/>
      <c r="P3" s="237"/>
      <c r="Q3" s="237"/>
      <c r="R3" s="237"/>
      <c r="S3" s="238"/>
      <c r="T3" s="239"/>
      <c r="U3" s="240"/>
    </row>
    <row r="4" spans="1:21">
      <c r="A4" s="300">
        <v>4</v>
      </c>
      <c r="B4" s="263">
        <v>1000</v>
      </c>
      <c r="C4" s="369"/>
      <c r="D4" s="266" t="s">
        <v>1927</v>
      </c>
      <c r="E4" s="260" t="s">
        <v>44</v>
      </c>
      <c r="F4" s="369"/>
      <c r="G4" s="231"/>
      <c r="H4" s="224"/>
      <c r="I4" s="224"/>
      <c r="J4" s="224"/>
      <c r="K4" s="224"/>
      <c r="L4" s="232"/>
      <c r="M4" s="230"/>
      <c r="N4" s="237"/>
      <c r="O4" s="237"/>
      <c r="P4" s="237"/>
      <c r="Q4" s="237"/>
      <c r="R4" s="237"/>
      <c r="S4" s="238"/>
      <c r="T4" s="239"/>
      <c r="U4" s="240"/>
    </row>
    <row r="5" spans="1:21">
      <c r="A5" s="300">
        <v>5</v>
      </c>
      <c r="B5" s="263">
        <v>1000</v>
      </c>
      <c r="C5" s="369"/>
      <c r="D5" s="262"/>
      <c r="E5" s="260" t="s">
        <v>47</v>
      </c>
      <c r="F5" s="369"/>
      <c r="G5" s="231"/>
      <c r="H5" s="224"/>
      <c r="I5" s="224"/>
      <c r="J5" s="224"/>
      <c r="K5" s="224"/>
      <c r="L5" s="232"/>
      <c r="M5" s="230"/>
      <c r="N5" s="237"/>
      <c r="O5" s="237"/>
      <c r="P5" s="237"/>
      <c r="Q5" s="237"/>
      <c r="R5" s="237"/>
      <c r="S5" s="238"/>
      <c r="T5" s="239"/>
      <c r="U5" s="240"/>
    </row>
    <row r="6" spans="1:21">
      <c r="A6" s="300">
        <v>6</v>
      </c>
      <c r="B6" s="263">
        <v>1000</v>
      </c>
      <c r="C6" s="378" t="s">
        <v>2668</v>
      </c>
      <c r="D6" s="267" t="s">
        <v>51</v>
      </c>
      <c r="E6" s="268" t="s">
        <v>54</v>
      </c>
      <c r="F6" s="369"/>
      <c r="G6" s="231"/>
      <c r="H6" s="224"/>
      <c r="I6" s="229"/>
      <c r="J6" s="229"/>
      <c r="K6" s="224"/>
      <c r="L6" s="232"/>
      <c r="M6" s="230"/>
      <c r="N6" s="237"/>
      <c r="O6" s="237"/>
      <c r="P6" s="230"/>
      <c r="Q6" s="237"/>
      <c r="R6" s="237"/>
      <c r="S6" s="233"/>
      <c r="T6" s="241"/>
      <c r="U6" s="240"/>
    </row>
    <row r="7" spans="1:21">
      <c r="A7" s="300">
        <v>7</v>
      </c>
      <c r="B7" s="263">
        <v>1000</v>
      </c>
      <c r="C7" s="378"/>
      <c r="D7" s="262"/>
      <c r="E7" s="268" t="s">
        <v>59</v>
      </c>
      <c r="F7" s="369"/>
      <c r="G7" s="231"/>
      <c r="H7" s="224"/>
      <c r="I7" s="224"/>
      <c r="J7" s="224"/>
      <c r="K7" s="224"/>
      <c r="L7" s="232"/>
      <c r="M7" s="230"/>
      <c r="N7" s="237"/>
      <c r="O7" s="237"/>
      <c r="P7" s="230"/>
      <c r="Q7" s="237"/>
      <c r="R7" s="237"/>
      <c r="S7" s="233"/>
      <c r="T7" s="241"/>
      <c r="U7" s="240"/>
    </row>
    <row r="8" spans="1:21">
      <c r="A8" s="300">
        <v>8</v>
      </c>
      <c r="B8" s="263">
        <v>1000</v>
      </c>
      <c r="C8" s="378"/>
      <c r="D8" s="262"/>
      <c r="E8" s="268" t="s">
        <v>62</v>
      </c>
      <c r="F8" s="369"/>
      <c r="G8" s="231"/>
      <c r="H8" s="224"/>
      <c r="I8" s="224"/>
      <c r="J8" s="224"/>
      <c r="K8" s="224"/>
      <c r="L8" s="232"/>
      <c r="M8" s="230"/>
      <c r="N8" s="237"/>
      <c r="O8" s="237"/>
      <c r="P8" s="230"/>
      <c r="Q8" s="237"/>
      <c r="R8" s="237"/>
      <c r="S8" s="233"/>
      <c r="T8" s="241"/>
      <c r="U8" s="240"/>
    </row>
    <row r="9" spans="1:21">
      <c r="A9" s="300">
        <v>9</v>
      </c>
      <c r="B9" s="263">
        <v>1000</v>
      </c>
      <c r="C9" s="378"/>
      <c r="D9" s="262"/>
      <c r="E9" s="268" t="s">
        <v>65</v>
      </c>
      <c r="F9" s="369"/>
      <c r="G9" s="231"/>
      <c r="H9" s="224"/>
      <c r="I9" s="224"/>
      <c r="J9" s="224"/>
      <c r="K9" s="224"/>
      <c r="L9" s="232"/>
      <c r="M9" s="230"/>
      <c r="N9" s="237"/>
      <c r="O9" s="237"/>
      <c r="P9" s="230"/>
      <c r="Q9" s="237"/>
      <c r="R9" s="237"/>
      <c r="S9" s="233"/>
      <c r="T9" s="241"/>
      <c r="U9" s="240"/>
    </row>
    <row r="10" spans="1:21">
      <c r="A10" s="300">
        <v>10</v>
      </c>
      <c r="B10" s="263">
        <v>1000</v>
      </c>
      <c r="C10" s="378"/>
      <c r="D10" s="262"/>
      <c r="E10" s="268" t="s">
        <v>68</v>
      </c>
      <c r="F10" s="369"/>
      <c r="G10" s="231"/>
      <c r="H10" s="224"/>
      <c r="I10" s="224"/>
      <c r="J10" s="224"/>
      <c r="K10" s="224"/>
      <c r="L10" s="232"/>
      <c r="M10" s="230"/>
      <c r="N10" s="237"/>
      <c r="O10" s="237"/>
      <c r="P10" s="230"/>
      <c r="Q10" s="237"/>
      <c r="R10" s="237"/>
      <c r="S10" s="233"/>
      <c r="T10" s="241"/>
      <c r="U10" s="240"/>
    </row>
    <row r="11" spans="1:21">
      <c r="A11" s="300">
        <v>11</v>
      </c>
      <c r="B11" s="263">
        <v>1000</v>
      </c>
      <c r="C11" s="378"/>
      <c r="D11" s="262"/>
      <c r="E11" s="268" t="s">
        <v>71</v>
      </c>
      <c r="F11" s="369"/>
      <c r="G11" s="231"/>
      <c r="H11" s="224"/>
      <c r="I11" s="224"/>
      <c r="J11" s="224"/>
      <c r="K11" s="224"/>
      <c r="L11" s="232"/>
      <c r="M11" s="230"/>
      <c r="N11" s="237"/>
      <c r="O11" s="237"/>
      <c r="P11" s="230"/>
      <c r="Q11" s="237"/>
      <c r="R11" s="237"/>
      <c r="S11" s="233"/>
      <c r="T11" s="241"/>
      <c r="U11" s="240"/>
    </row>
    <row r="12" spans="1:21">
      <c r="A12" s="300">
        <v>12</v>
      </c>
      <c r="B12" s="263">
        <v>1000</v>
      </c>
      <c r="C12" s="378"/>
      <c r="D12" s="262"/>
      <c r="E12" s="268" t="s">
        <v>74</v>
      </c>
      <c r="F12" s="369"/>
      <c r="G12" s="231"/>
      <c r="H12" s="224"/>
      <c r="I12" s="224"/>
      <c r="J12" s="224"/>
      <c r="K12" s="224"/>
      <c r="L12" s="232"/>
      <c r="M12" s="230"/>
      <c r="N12" s="237"/>
      <c r="O12" s="237"/>
      <c r="P12" s="230"/>
      <c r="Q12" s="237"/>
      <c r="R12" s="237"/>
      <c r="S12" s="233"/>
      <c r="T12" s="241"/>
      <c r="U12" s="240"/>
    </row>
    <row r="13" spans="1:21">
      <c r="A13" s="300">
        <v>13</v>
      </c>
      <c r="B13" s="263">
        <v>1000</v>
      </c>
      <c r="C13" s="378"/>
      <c r="D13" s="262"/>
      <c r="E13" s="268" t="s">
        <v>77</v>
      </c>
      <c r="F13" s="369"/>
      <c r="G13" s="231"/>
      <c r="H13" s="224"/>
      <c r="I13" s="224"/>
      <c r="J13" s="224"/>
      <c r="K13" s="224"/>
      <c r="L13" s="232"/>
      <c r="M13" s="230"/>
      <c r="N13" s="237"/>
      <c r="O13" s="237"/>
      <c r="P13" s="230"/>
      <c r="Q13" s="237"/>
      <c r="R13" s="237"/>
      <c r="S13" s="233"/>
      <c r="T13" s="241"/>
      <c r="U13" s="240"/>
    </row>
    <row r="14" spans="1:21">
      <c r="A14" s="300">
        <v>14</v>
      </c>
      <c r="B14" s="263">
        <v>1000</v>
      </c>
      <c r="C14" s="369" t="s">
        <v>2681</v>
      </c>
      <c r="D14" s="266" t="s">
        <v>78</v>
      </c>
      <c r="E14" s="260" t="s">
        <v>87</v>
      </c>
      <c r="F14" s="369">
        <v>1010</v>
      </c>
      <c r="G14" s="231"/>
      <c r="H14" s="229"/>
      <c r="I14" s="229"/>
      <c r="J14" s="229"/>
      <c r="K14" s="229"/>
      <c r="L14" s="232"/>
      <c r="M14" s="230"/>
      <c r="N14" s="237"/>
      <c r="O14" s="237"/>
      <c r="P14" s="237"/>
      <c r="Q14" s="237"/>
      <c r="R14" s="237"/>
      <c r="S14" s="238"/>
      <c r="T14" s="239"/>
      <c r="U14" s="240"/>
    </row>
    <row r="15" spans="1:21">
      <c r="A15" s="300">
        <v>15</v>
      </c>
      <c r="B15" s="263">
        <v>1000</v>
      </c>
      <c r="C15" s="369"/>
      <c r="D15" s="262"/>
      <c r="E15" s="260" t="s">
        <v>91</v>
      </c>
      <c r="F15" s="369"/>
      <c r="G15" s="231"/>
      <c r="H15" s="224"/>
      <c r="I15" s="224"/>
      <c r="J15" s="224"/>
      <c r="K15" s="224"/>
      <c r="L15" s="232"/>
      <c r="M15" s="230"/>
      <c r="N15" s="237"/>
      <c r="O15" s="237"/>
      <c r="P15" s="237"/>
      <c r="Q15" s="237"/>
      <c r="R15" s="237"/>
      <c r="S15" s="238"/>
      <c r="T15" s="239"/>
      <c r="U15" s="240"/>
    </row>
    <row r="16" spans="1:21">
      <c r="A16" s="300">
        <v>16</v>
      </c>
      <c r="B16" s="263">
        <v>1000</v>
      </c>
      <c r="C16" s="369"/>
      <c r="D16" s="262"/>
      <c r="E16" s="260" t="s">
        <v>97</v>
      </c>
      <c r="F16" s="369"/>
      <c r="G16" s="231"/>
      <c r="H16" s="224"/>
      <c r="I16" s="224"/>
      <c r="J16" s="224"/>
      <c r="K16" s="224"/>
      <c r="L16" s="232"/>
      <c r="M16" s="230"/>
      <c r="N16" s="242"/>
      <c r="O16" s="242"/>
      <c r="P16" s="242"/>
      <c r="Q16" s="242"/>
      <c r="R16" s="242"/>
      <c r="S16" s="239"/>
      <c r="T16" s="239"/>
      <c r="U16" s="240"/>
    </row>
    <row r="17" spans="1:26">
      <c r="A17" s="300">
        <v>17</v>
      </c>
      <c r="B17" s="269">
        <v>1001</v>
      </c>
      <c r="C17" s="385" t="s">
        <v>2669</v>
      </c>
      <c r="D17" s="266" t="s">
        <v>1931</v>
      </c>
      <c r="E17" s="260" t="s">
        <v>116</v>
      </c>
      <c r="F17" s="369">
        <v>1003</v>
      </c>
      <c r="G17" s="231"/>
      <c r="H17" s="229"/>
      <c r="I17" s="243"/>
      <c r="J17" s="229"/>
      <c r="K17" s="229"/>
      <c r="L17" s="229"/>
      <c r="M17" s="230"/>
      <c r="N17" s="237"/>
      <c r="O17" s="237"/>
      <c r="P17" s="237"/>
      <c r="Q17" s="237"/>
      <c r="R17" s="237"/>
      <c r="S17" s="238"/>
      <c r="T17" s="239"/>
      <c r="U17" s="240"/>
      <c r="V17" s="229"/>
    </row>
    <row r="18" spans="1:26">
      <c r="A18" s="300">
        <v>18</v>
      </c>
      <c r="B18" s="269">
        <v>1001</v>
      </c>
      <c r="C18" s="385"/>
      <c r="D18" s="262"/>
      <c r="E18" s="260" t="s">
        <v>120</v>
      </c>
      <c r="F18" s="369"/>
      <c r="G18" s="231"/>
      <c r="H18" s="224"/>
      <c r="I18" s="224"/>
      <c r="J18" s="224"/>
      <c r="K18" s="224"/>
      <c r="L18" s="224"/>
      <c r="M18" s="230"/>
      <c r="N18" s="237"/>
      <c r="O18" s="237"/>
      <c r="P18" s="237"/>
      <c r="Q18" s="237"/>
      <c r="R18" s="237"/>
      <c r="S18" s="238"/>
      <c r="T18" s="239"/>
      <c r="U18" s="240"/>
      <c r="V18" s="224"/>
    </row>
    <row r="19" spans="1:26" ht="15.75" customHeight="1">
      <c r="A19" s="300">
        <v>19</v>
      </c>
      <c r="B19" s="269">
        <v>1001</v>
      </c>
      <c r="C19" s="385" t="s">
        <v>2670</v>
      </c>
      <c r="D19" s="266" t="s">
        <v>1933</v>
      </c>
      <c r="E19" s="260" t="s">
        <v>1934</v>
      </c>
      <c r="F19" s="369">
        <v>1002</v>
      </c>
      <c r="G19" s="231"/>
      <c r="H19" s="229"/>
      <c r="I19" s="243"/>
      <c r="J19" s="230"/>
      <c r="K19" s="230"/>
      <c r="L19" s="244"/>
      <c r="M19" s="230"/>
      <c r="N19" s="237"/>
      <c r="O19" s="237"/>
      <c r="P19" s="237"/>
      <c r="Q19" s="237"/>
      <c r="R19" s="237"/>
      <c r="S19" s="238"/>
      <c r="T19" s="239"/>
      <c r="U19" s="240"/>
    </row>
    <row r="20" spans="1:26" ht="15.75" customHeight="1">
      <c r="A20" s="300">
        <v>20</v>
      </c>
      <c r="B20" s="269">
        <v>1001</v>
      </c>
      <c r="C20" s="385"/>
      <c r="D20" s="262"/>
      <c r="E20" s="260" t="s">
        <v>124</v>
      </c>
      <c r="F20" s="369"/>
      <c r="G20" s="231"/>
      <c r="H20" s="224"/>
      <c r="I20" s="224"/>
      <c r="J20" s="224"/>
      <c r="K20" s="224"/>
      <c r="L20" s="244"/>
      <c r="M20" s="230"/>
      <c r="N20" s="237"/>
      <c r="O20" s="237"/>
      <c r="P20" s="237"/>
      <c r="Q20" s="237"/>
      <c r="R20" s="237"/>
      <c r="S20" s="238"/>
      <c r="T20" s="239"/>
      <c r="U20" s="240"/>
    </row>
    <row r="21" spans="1:26" ht="15.75" customHeight="1">
      <c r="A21" s="300">
        <v>21</v>
      </c>
      <c r="B21" s="269">
        <v>1001</v>
      </c>
      <c r="C21" s="379" t="s">
        <v>2671</v>
      </c>
      <c r="D21" s="266" t="s">
        <v>1936</v>
      </c>
      <c r="E21" s="260" t="s">
        <v>129</v>
      </c>
      <c r="F21" s="382">
        <v>1001</v>
      </c>
      <c r="G21" s="231"/>
      <c r="I21" s="243"/>
      <c r="K21" s="229"/>
      <c r="L21" s="229"/>
      <c r="M21" s="230"/>
      <c r="N21" s="237"/>
      <c r="O21" s="237"/>
      <c r="P21" s="237"/>
      <c r="Q21" s="237"/>
      <c r="R21" s="237"/>
      <c r="S21" s="238"/>
      <c r="T21" s="239"/>
      <c r="U21" s="240"/>
    </row>
    <row r="22" spans="1:26" ht="15.75" customHeight="1">
      <c r="A22" s="300">
        <v>22</v>
      </c>
      <c r="B22" s="269">
        <v>1001</v>
      </c>
      <c r="C22" s="380"/>
      <c r="D22" s="262"/>
      <c r="E22" s="260" t="s">
        <v>133</v>
      </c>
      <c r="F22" s="383"/>
      <c r="G22" s="231"/>
      <c r="I22" s="224"/>
      <c r="K22" s="224"/>
      <c r="L22" s="224"/>
      <c r="M22" s="230"/>
      <c r="N22" s="237"/>
      <c r="O22" s="237"/>
      <c r="P22" s="237"/>
      <c r="Q22" s="237"/>
      <c r="R22" s="237"/>
      <c r="S22" s="238"/>
      <c r="T22" s="239"/>
      <c r="U22" s="240"/>
    </row>
    <row r="23" spans="1:26" ht="15.75" customHeight="1">
      <c r="A23" s="300">
        <v>23</v>
      </c>
      <c r="B23" s="269">
        <v>1001</v>
      </c>
      <c r="C23" s="380"/>
      <c r="D23" s="262"/>
      <c r="E23" s="260" t="s">
        <v>137</v>
      </c>
      <c r="F23" s="383"/>
      <c r="G23" s="231"/>
      <c r="I23" s="224"/>
      <c r="K23" s="224"/>
      <c r="L23" s="224"/>
      <c r="M23" s="230"/>
      <c r="N23" s="237"/>
      <c r="O23" s="237"/>
      <c r="P23" s="237"/>
      <c r="Q23" s="237"/>
      <c r="R23" s="237"/>
      <c r="S23" s="238"/>
      <c r="T23" s="239"/>
      <c r="U23" s="240"/>
      <c r="V23" s="230"/>
      <c r="W23" s="225"/>
      <c r="X23" s="225"/>
      <c r="Y23" s="225"/>
      <c r="Z23" s="105"/>
    </row>
    <row r="24" spans="1:26" ht="15.75" customHeight="1">
      <c r="A24" s="300">
        <v>24</v>
      </c>
      <c r="B24" s="269">
        <v>1001</v>
      </c>
      <c r="C24" s="380"/>
      <c r="D24" s="262"/>
      <c r="E24" s="260" t="s">
        <v>140</v>
      </c>
      <c r="F24" s="383"/>
      <c r="G24" s="231"/>
      <c r="I24" s="224"/>
      <c r="K24" s="224"/>
      <c r="L24" s="224"/>
      <c r="M24" s="230"/>
      <c r="N24" s="237"/>
      <c r="O24" s="237"/>
      <c r="P24" s="237"/>
      <c r="Q24" s="237"/>
      <c r="R24" s="237"/>
      <c r="S24" s="238"/>
      <c r="T24" s="239"/>
      <c r="U24" s="240"/>
    </row>
    <row r="25" spans="1:26" ht="15.75" customHeight="1">
      <c r="A25" s="300">
        <v>25</v>
      </c>
      <c r="B25" s="269">
        <v>1001</v>
      </c>
      <c r="C25" s="381"/>
      <c r="D25" s="262"/>
      <c r="E25" s="270" t="s">
        <v>143</v>
      </c>
      <c r="F25" s="384"/>
      <c r="G25" s="231"/>
      <c r="H25" s="224"/>
      <c r="I25" s="224"/>
      <c r="J25" s="224"/>
      <c r="K25" s="224"/>
      <c r="L25" s="244"/>
      <c r="M25" s="230"/>
      <c r="N25" s="237"/>
      <c r="O25" s="237"/>
      <c r="P25" s="237"/>
      <c r="Q25" s="237"/>
      <c r="R25" s="237"/>
      <c r="S25" s="238"/>
      <c r="T25" s="239"/>
      <c r="U25" s="240"/>
    </row>
    <row r="26" spans="1:26" ht="15.75" customHeight="1">
      <c r="A26" s="300">
        <v>26</v>
      </c>
      <c r="B26" s="269">
        <v>1001</v>
      </c>
      <c r="C26" s="379" t="s">
        <v>2716</v>
      </c>
      <c r="D26" s="262"/>
      <c r="E26" s="268" t="s">
        <v>2127</v>
      </c>
      <c r="F26" s="382">
        <v>1015</v>
      </c>
      <c r="G26" s="231"/>
      <c r="H26" s="229"/>
      <c r="I26" s="224"/>
      <c r="J26" s="224"/>
      <c r="K26" s="224"/>
      <c r="L26" s="244"/>
      <c r="M26" s="230"/>
      <c r="N26" s="237"/>
      <c r="O26" s="237"/>
      <c r="P26" s="237"/>
      <c r="Q26" s="237"/>
      <c r="R26" s="237"/>
      <c r="S26" s="238"/>
      <c r="T26" s="239"/>
      <c r="U26" s="240"/>
    </row>
    <row r="27" spans="1:26" ht="15.75" customHeight="1">
      <c r="A27" s="300">
        <v>27</v>
      </c>
      <c r="B27" s="269">
        <v>1001</v>
      </c>
      <c r="C27" s="380"/>
      <c r="D27" s="262"/>
      <c r="E27" s="268" t="s">
        <v>2128</v>
      </c>
      <c r="F27" s="383"/>
      <c r="G27" s="231"/>
      <c r="H27" s="224"/>
      <c r="I27" s="224"/>
      <c r="J27" s="224"/>
      <c r="K27" s="224"/>
      <c r="L27" s="244"/>
      <c r="M27" s="230"/>
      <c r="N27" s="237"/>
      <c r="O27" s="237"/>
      <c r="P27" s="237"/>
      <c r="Q27" s="237"/>
      <c r="R27" s="237"/>
      <c r="S27" s="238"/>
      <c r="T27" s="239"/>
      <c r="U27" s="240"/>
    </row>
    <row r="28" spans="1:26" ht="15.75" customHeight="1">
      <c r="A28" s="300">
        <v>28</v>
      </c>
      <c r="B28" s="269">
        <v>1001</v>
      </c>
      <c r="C28" s="380"/>
      <c r="D28" s="262"/>
      <c r="E28" s="268" t="s">
        <v>2129</v>
      </c>
      <c r="F28" s="383"/>
      <c r="G28" s="231"/>
      <c r="H28" s="224"/>
      <c r="I28" s="224"/>
      <c r="J28" s="224"/>
      <c r="K28" s="224"/>
      <c r="L28" s="244"/>
      <c r="M28" s="230"/>
      <c r="N28" s="237"/>
      <c r="O28" s="237"/>
      <c r="P28" s="237"/>
      <c r="Q28" s="237"/>
      <c r="R28" s="237"/>
      <c r="S28" s="238"/>
      <c r="T28" s="239"/>
      <c r="U28" s="240"/>
    </row>
    <row r="29" spans="1:26">
      <c r="A29" s="300">
        <v>28</v>
      </c>
      <c r="B29" s="269">
        <v>1001</v>
      </c>
      <c r="C29" s="381"/>
      <c r="D29" s="262"/>
      <c r="E29" s="268" t="s">
        <v>2130</v>
      </c>
      <c r="F29" s="384"/>
      <c r="G29" s="231"/>
      <c r="H29" s="224"/>
      <c r="I29" s="224"/>
      <c r="J29" s="224"/>
      <c r="K29" s="224"/>
      <c r="L29" s="244"/>
      <c r="M29" s="230"/>
      <c r="N29" s="237"/>
      <c r="O29" s="237"/>
      <c r="P29" s="237"/>
      <c r="Q29" s="237"/>
      <c r="R29" s="237"/>
      <c r="S29" s="238"/>
      <c r="T29" s="239"/>
      <c r="U29" s="240"/>
    </row>
    <row r="30" spans="1:26" ht="29.1" customHeight="1">
      <c r="A30" s="300">
        <v>29</v>
      </c>
      <c r="B30" s="263">
        <v>1000</v>
      </c>
      <c r="C30" s="368" t="s">
        <v>2672</v>
      </c>
      <c r="D30" s="266" t="s">
        <v>145</v>
      </c>
      <c r="E30" s="260" t="s">
        <v>148</v>
      </c>
      <c r="F30" s="369">
        <v>1004</v>
      </c>
      <c r="G30" s="231"/>
      <c r="H30" s="245"/>
      <c r="I30" s="229"/>
      <c r="J30" s="229"/>
      <c r="K30" s="229"/>
      <c r="L30" s="232"/>
      <c r="M30" s="230"/>
      <c r="N30" s="237"/>
      <c r="O30" s="237"/>
      <c r="P30" s="237"/>
      <c r="Q30" s="237"/>
      <c r="R30" s="237"/>
      <c r="S30" s="238"/>
      <c r="T30" s="239"/>
      <c r="U30" s="240"/>
    </row>
    <row r="31" spans="1:26" ht="15.75" customHeight="1">
      <c r="A31" s="300">
        <v>27</v>
      </c>
      <c r="B31" s="263">
        <v>1000</v>
      </c>
      <c r="C31" s="368"/>
      <c r="D31" s="262"/>
      <c r="E31" s="260" t="s">
        <v>154</v>
      </c>
      <c r="F31" s="369"/>
      <c r="G31" s="231"/>
      <c r="H31" s="224"/>
      <c r="I31" s="224"/>
      <c r="J31" s="224"/>
      <c r="K31" s="224"/>
      <c r="L31" s="232"/>
      <c r="M31" s="230"/>
      <c r="N31" s="237"/>
      <c r="O31" s="237"/>
      <c r="P31" s="237"/>
      <c r="Q31" s="237"/>
      <c r="R31" s="237"/>
      <c r="S31" s="238"/>
      <c r="T31" s="239"/>
      <c r="U31" s="240"/>
    </row>
    <row r="32" spans="1:26" ht="15.75" customHeight="1">
      <c r="A32" s="300">
        <v>28</v>
      </c>
      <c r="B32" s="263">
        <v>1000</v>
      </c>
      <c r="C32" s="368"/>
      <c r="D32" s="262"/>
      <c r="E32" s="260" t="s">
        <v>157</v>
      </c>
      <c r="F32" s="369"/>
      <c r="G32" s="231"/>
      <c r="H32" s="224"/>
      <c r="I32" s="224"/>
      <c r="J32" s="224"/>
      <c r="K32" s="224"/>
      <c r="L32" s="232"/>
      <c r="M32" s="230"/>
      <c r="N32" s="237"/>
      <c r="O32" s="237"/>
      <c r="P32" s="237"/>
      <c r="Q32" s="237"/>
      <c r="R32" s="237"/>
      <c r="S32" s="238"/>
      <c r="T32" s="239"/>
      <c r="U32" s="240"/>
    </row>
    <row r="33" spans="1:26" ht="15.75" customHeight="1">
      <c r="A33" s="300">
        <v>29</v>
      </c>
      <c r="B33" s="263">
        <v>1000</v>
      </c>
      <c r="C33" s="368"/>
      <c r="D33" s="266" t="s">
        <v>158</v>
      </c>
      <c r="E33" s="260" t="s">
        <v>161</v>
      </c>
      <c r="F33" s="369"/>
      <c r="G33" s="231"/>
      <c r="H33" s="224"/>
      <c r="I33" s="224"/>
      <c r="J33" s="224"/>
      <c r="K33" s="224"/>
      <c r="L33" s="229"/>
      <c r="M33" s="230"/>
      <c r="N33" s="237"/>
      <c r="O33" s="237"/>
      <c r="P33" s="237"/>
      <c r="Q33" s="237"/>
      <c r="R33" s="237"/>
      <c r="S33" s="238"/>
      <c r="T33" s="239"/>
      <c r="U33" s="240"/>
    </row>
    <row r="34" spans="1:26" ht="15.75" customHeight="1">
      <c r="A34" s="300">
        <v>30</v>
      </c>
      <c r="B34" s="263">
        <v>1000</v>
      </c>
      <c r="C34" s="368"/>
      <c r="D34" s="262"/>
      <c r="E34" s="260" t="s">
        <v>164</v>
      </c>
      <c r="F34" s="369"/>
      <c r="G34" s="231"/>
      <c r="H34" s="224"/>
      <c r="I34" s="224"/>
      <c r="J34" s="224"/>
      <c r="K34" s="224"/>
      <c r="L34" s="224"/>
      <c r="M34" s="230"/>
      <c r="N34" s="237"/>
      <c r="O34" s="237"/>
      <c r="P34" s="237"/>
      <c r="Q34" s="237"/>
      <c r="R34" s="237"/>
      <c r="S34" s="238"/>
      <c r="T34" s="239"/>
      <c r="U34" s="240"/>
    </row>
    <row r="35" spans="1:26" ht="15.75" customHeight="1">
      <c r="A35" s="300">
        <v>31</v>
      </c>
      <c r="B35" s="263">
        <v>1000</v>
      </c>
      <c r="C35" s="368"/>
      <c r="D35" s="262"/>
      <c r="E35" s="260" t="s">
        <v>167</v>
      </c>
      <c r="F35" s="369"/>
      <c r="G35" s="231"/>
      <c r="H35" s="224"/>
      <c r="I35" s="224"/>
      <c r="J35" s="224"/>
      <c r="K35" s="224"/>
      <c r="L35" s="224"/>
      <c r="M35" s="230"/>
      <c r="N35" s="237"/>
      <c r="O35" s="237"/>
      <c r="P35" s="237"/>
      <c r="Q35" s="237"/>
      <c r="R35" s="237"/>
      <c r="S35" s="238"/>
      <c r="T35" s="239"/>
      <c r="U35" s="240"/>
    </row>
    <row r="36" spans="1:26" ht="15.75" customHeight="1">
      <c r="A36" s="300">
        <v>32</v>
      </c>
      <c r="B36" s="263">
        <v>1000</v>
      </c>
      <c r="C36" s="368"/>
      <c r="D36" s="262"/>
      <c r="E36" s="260" t="s">
        <v>2131</v>
      </c>
      <c r="F36" s="369"/>
      <c r="G36" s="231"/>
      <c r="H36" s="224"/>
      <c r="I36" s="224"/>
      <c r="J36" s="224"/>
      <c r="K36" s="224"/>
      <c r="L36" s="246"/>
      <c r="M36" s="230"/>
      <c r="N36" s="237"/>
      <c r="O36" s="237"/>
      <c r="P36" s="237"/>
      <c r="Q36" s="237"/>
      <c r="R36" s="237"/>
      <c r="S36" s="238"/>
      <c r="T36" s="239"/>
      <c r="U36" s="240"/>
    </row>
    <row r="37" spans="1:26" ht="15" hidden="1" customHeight="1">
      <c r="A37" s="300">
        <v>33</v>
      </c>
      <c r="B37" s="263">
        <v>1000</v>
      </c>
      <c r="C37" s="368"/>
      <c r="D37" s="272" t="s">
        <v>168</v>
      </c>
      <c r="E37" s="260" t="s">
        <v>171</v>
      </c>
      <c r="F37" s="369"/>
      <c r="G37" s="231"/>
      <c r="H37" s="224"/>
      <c r="I37" s="224"/>
      <c r="J37" s="224"/>
      <c r="K37" s="224"/>
      <c r="L37" s="232"/>
      <c r="M37" s="230"/>
      <c r="N37" s="237"/>
      <c r="O37" s="237"/>
      <c r="P37" s="237"/>
      <c r="Q37" s="237"/>
      <c r="R37" s="237"/>
      <c r="S37" s="238"/>
      <c r="T37" s="239"/>
      <c r="U37" s="240"/>
    </row>
    <row r="38" spans="1:26" ht="15" hidden="1" customHeight="1">
      <c r="A38" s="300">
        <v>34</v>
      </c>
      <c r="B38" s="263">
        <v>1000</v>
      </c>
      <c r="C38" s="368"/>
      <c r="D38" s="273" t="s">
        <v>2111</v>
      </c>
      <c r="E38" s="260" t="s">
        <v>2112</v>
      </c>
      <c r="F38" s="369"/>
      <c r="G38" s="231"/>
      <c r="H38" s="224"/>
      <c r="I38" s="224"/>
      <c r="J38" s="224"/>
      <c r="K38" s="224"/>
      <c r="L38" s="232"/>
      <c r="M38" s="230"/>
      <c r="N38" s="237"/>
      <c r="O38" s="237"/>
      <c r="P38" s="237"/>
      <c r="Q38" s="237"/>
      <c r="R38" s="237"/>
      <c r="S38" s="238"/>
      <c r="T38" s="239"/>
      <c r="U38" s="240"/>
    </row>
    <row r="39" spans="1:26" ht="15.75" customHeight="1">
      <c r="A39" s="300">
        <v>35</v>
      </c>
      <c r="B39" s="263">
        <v>1000</v>
      </c>
      <c r="C39" s="368"/>
      <c r="D39" s="266" t="s">
        <v>206</v>
      </c>
      <c r="E39" s="260" t="s">
        <v>209</v>
      </c>
      <c r="F39" s="369"/>
      <c r="G39" s="231"/>
      <c r="H39" s="224"/>
      <c r="I39" s="224"/>
      <c r="J39" s="224"/>
      <c r="K39" s="224"/>
      <c r="L39" s="232"/>
      <c r="M39" s="230"/>
      <c r="N39" s="237"/>
      <c r="O39" s="237"/>
      <c r="P39" s="237"/>
      <c r="Q39" s="237"/>
      <c r="R39" s="237"/>
      <c r="S39" s="238"/>
      <c r="T39" s="239"/>
      <c r="U39" s="240"/>
    </row>
    <row r="40" spans="1:26" ht="15.75" customHeight="1">
      <c r="A40" s="300">
        <v>36</v>
      </c>
      <c r="B40" s="263">
        <v>1000</v>
      </c>
      <c r="C40" s="369" t="s">
        <v>2673</v>
      </c>
      <c r="D40" s="266" t="s">
        <v>173</v>
      </c>
      <c r="E40" s="260" t="s">
        <v>176</v>
      </c>
      <c r="F40" s="369">
        <v>1005</v>
      </c>
      <c r="G40" s="231"/>
      <c r="H40" s="229"/>
      <c r="I40" s="229"/>
      <c r="J40" s="229"/>
      <c r="K40" s="229"/>
      <c r="L40" s="232"/>
      <c r="M40" s="230"/>
      <c r="N40" s="237"/>
      <c r="O40" s="237"/>
      <c r="P40" s="237"/>
      <c r="Q40" s="237"/>
      <c r="R40" s="237"/>
      <c r="S40" s="238"/>
      <c r="T40" s="239"/>
      <c r="U40" s="240"/>
    </row>
    <row r="41" spans="1:26" ht="15.75" customHeight="1">
      <c r="A41" s="300">
        <v>37</v>
      </c>
      <c r="B41" s="263">
        <v>1000</v>
      </c>
      <c r="C41" s="369"/>
      <c r="D41" s="262"/>
      <c r="E41" s="260" t="s">
        <v>180</v>
      </c>
      <c r="F41" s="369"/>
      <c r="G41" s="231"/>
      <c r="H41" s="224"/>
      <c r="I41" s="224"/>
      <c r="J41" s="224"/>
      <c r="K41" s="224"/>
      <c r="L41" s="232"/>
      <c r="M41" s="230"/>
      <c r="N41" s="237"/>
      <c r="O41" s="237"/>
      <c r="P41" s="237"/>
      <c r="Q41" s="237"/>
      <c r="R41" s="237"/>
      <c r="S41" s="238"/>
      <c r="T41" s="239"/>
      <c r="U41" s="240"/>
    </row>
    <row r="42" spans="1:26" ht="15.75" customHeight="1">
      <c r="A42" s="300">
        <v>38</v>
      </c>
      <c r="B42" s="263">
        <v>1000</v>
      </c>
      <c r="C42" s="369"/>
      <c r="D42" s="262"/>
      <c r="E42" s="260" t="s">
        <v>184</v>
      </c>
      <c r="F42" s="369"/>
      <c r="G42" s="231"/>
      <c r="H42" s="224"/>
      <c r="I42" s="224"/>
      <c r="J42" s="224"/>
      <c r="K42" s="224"/>
      <c r="L42" s="232"/>
      <c r="M42" s="230"/>
      <c r="N42" s="237"/>
      <c r="O42" s="237"/>
      <c r="P42" s="237"/>
      <c r="Q42" s="237"/>
      <c r="R42" s="237"/>
      <c r="S42" s="238"/>
      <c r="T42" s="239"/>
      <c r="U42" s="240"/>
    </row>
    <row r="43" spans="1:26" ht="15.75" customHeight="1">
      <c r="A43" s="300">
        <v>39</v>
      </c>
      <c r="B43" s="263">
        <v>1000</v>
      </c>
      <c r="C43" s="369"/>
      <c r="D43" s="262"/>
      <c r="E43" s="260" t="s">
        <v>188</v>
      </c>
      <c r="F43" s="369"/>
      <c r="G43" s="231"/>
      <c r="H43" s="224"/>
      <c r="I43" s="224"/>
      <c r="J43" s="224"/>
      <c r="K43" s="224"/>
      <c r="L43" s="232"/>
      <c r="M43" s="230"/>
      <c r="N43" s="237"/>
      <c r="O43" s="237"/>
      <c r="P43" s="237"/>
      <c r="Q43" s="237"/>
      <c r="R43" s="237"/>
      <c r="S43" s="238"/>
      <c r="T43" s="239"/>
      <c r="U43" s="240"/>
    </row>
    <row r="44" spans="1:26" ht="15.75" customHeight="1">
      <c r="A44" s="300">
        <v>40</v>
      </c>
      <c r="B44" s="263">
        <v>1000</v>
      </c>
      <c r="C44" s="369"/>
      <c r="D44" s="262"/>
      <c r="E44" s="260" t="s">
        <v>192</v>
      </c>
      <c r="F44" s="369"/>
      <c r="G44" s="231"/>
      <c r="H44" s="224"/>
      <c r="I44" s="224"/>
      <c r="J44" s="224"/>
      <c r="K44" s="224"/>
      <c r="L44" s="232"/>
      <c r="M44" s="230"/>
      <c r="N44" s="237"/>
      <c r="O44" s="237"/>
      <c r="P44" s="237"/>
      <c r="Q44" s="237"/>
      <c r="R44" s="237"/>
      <c r="S44" s="238"/>
      <c r="T44" s="239"/>
      <c r="U44" s="240"/>
    </row>
    <row r="45" spans="1:26" ht="15.75" customHeight="1">
      <c r="A45" s="300">
        <v>41</v>
      </c>
      <c r="B45" s="263">
        <v>1000</v>
      </c>
      <c r="C45" s="369"/>
      <c r="D45" s="262"/>
      <c r="E45" s="260" t="s">
        <v>196</v>
      </c>
      <c r="F45" s="369"/>
      <c r="G45" s="231"/>
      <c r="H45" s="224"/>
      <c r="I45" s="224"/>
      <c r="J45" s="224"/>
      <c r="K45" s="224"/>
      <c r="L45" s="232"/>
      <c r="M45" s="230"/>
      <c r="N45" s="237"/>
      <c r="O45" s="237"/>
      <c r="P45" s="237"/>
      <c r="Q45" s="237"/>
      <c r="R45" s="237"/>
      <c r="S45" s="238"/>
      <c r="T45" s="239"/>
      <c r="U45" s="240"/>
    </row>
    <row r="46" spans="1:26">
      <c r="A46" s="300">
        <v>42</v>
      </c>
      <c r="B46" s="263">
        <v>1000</v>
      </c>
      <c r="C46" s="369"/>
      <c r="D46" s="262"/>
      <c r="E46" s="260" t="s">
        <v>200</v>
      </c>
      <c r="F46" s="369"/>
      <c r="G46" s="231"/>
      <c r="H46" s="224"/>
      <c r="I46" s="224"/>
      <c r="J46" s="224"/>
      <c r="K46" s="224"/>
      <c r="L46" s="232"/>
      <c r="M46" s="230"/>
      <c r="N46" s="237"/>
      <c r="O46" s="237"/>
      <c r="P46" s="237"/>
      <c r="Q46" s="237"/>
      <c r="R46" s="237"/>
      <c r="S46" s="238"/>
      <c r="T46" s="239"/>
      <c r="U46" s="240"/>
    </row>
    <row r="47" spans="1:26">
      <c r="A47" s="300">
        <v>43</v>
      </c>
      <c r="B47" s="263">
        <v>1000</v>
      </c>
      <c r="C47" s="369"/>
      <c r="D47" s="262"/>
      <c r="E47" s="260" t="s">
        <v>204</v>
      </c>
      <c r="F47" s="369"/>
      <c r="G47" s="231"/>
      <c r="H47" s="224"/>
      <c r="I47" s="224"/>
      <c r="J47" s="224"/>
      <c r="K47" s="224"/>
      <c r="L47" s="232"/>
      <c r="M47" s="247"/>
      <c r="N47" s="237"/>
      <c r="O47" s="237"/>
      <c r="P47" s="237"/>
      <c r="Q47" s="237"/>
      <c r="R47" s="248"/>
      <c r="S47" s="238"/>
      <c r="T47" s="239"/>
      <c r="U47" s="240"/>
    </row>
    <row r="48" spans="1:26" ht="15" customHeight="1">
      <c r="A48" s="300">
        <v>44</v>
      </c>
      <c r="B48" s="263"/>
      <c r="C48" s="264"/>
      <c r="D48" s="266"/>
      <c r="E48" s="260"/>
      <c r="F48" s="299"/>
      <c r="G48" s="231"/>
      <c r="H48" s="231"/>
      <c r="I48" s="231"/>
      <c r="J48" s="231"/>
      <c r="K48" s="231"/>
      <c r="L48" s="229"/>
      <c r="M48" s="230"/>
      <c r="N48" s="237"/>
      <c r="O48" s="237"/>
      <c r="P48" s="237"/>
      <c r="Q48" s="237"/>
      <c r="R48" s="237"/>
      <c r="S48" s="238"/>
      <c r="T48" s="239"/>
      <c r="U48" s="240"/>
      <c r="V48" s="230"/>
      <c r="W48" s="225"/>
      <c r="X48" s="225"/>
      <c r="Y48" s="225"/>
      <c r="Z48" s="164"/>
    </row>
    <row r="49" spans="1:26">
      <c r="A49" s="300">
        <v>45</v>
      </c>
      <c r="B49" s="263"/>
      <c r="C49" s="264"/>
      <c r="D49" s="266"/>
      <c r="E49" s="260"/>
      <c r="F49" s="299"/>
      <c r="G49" s="231"/>
      <c r="H49" s="231"/>
      <c r="I49" s="231"/>
      <c r="J49" s="231"/>
      <c r="K49" s="231"/>
      <c r="L49" s="224"/>
      <c r="M49" s="230"/>
      <c r="N49" s="237"/>
      <c r="O49" s="237"/>
      <c r="P49" s="237"/>
      <c r="Q49" s="237"/>
      <c r="R49" s="237"/>
      <c r="S49" s="238"/>
      <c r="T49" s="239"/>
      <c r="U49" s="240"/>
      <c r="V49" s="230"/>
      <c r="W49" s="225"/>
      <c r="X49" s="225"/>
      <c r="Y49" s="225"/>
      <c r="Z49" s="164"/>
    </row>
    <row r="50" spans="1:26" ht="15.75" customHeight="1">
      <c r="A50" s="300">
        <v>46</v>
      </c>
      <c r="B50" s="263">
        <v>1000</v>
      </c>
      <c r="C50" s="369" t="s">
        <v>2679</v>
      </c>
      <c r="D50" s="266" t="s">
        <v>210</v>
      </c>
      <c r="E50" s="260" t="s">
        <v>213</v>
      </c>
      <c r="F50" s="369">
        <v>1006</v>
      </c>
      <c r="G50" s="231"/>
      <c r="H50" s="229"/>
      <c r="I50" s="229"/>
      <c r="J50" s="229"/>
      <c r="K50" s="229"/>
      <c r="L50" s="229"/>
      <c r="M50" s="230"/>
      <c r="N50" s="237"/>
      <c r="O50" s="237"/>
      <c r="P50" s="237"/>
      <c r="Q50" s="237"/>
      <c r="R50" s="237"/>
      <c r="S50" s="238"/>
      <c r="T50" s="239"/>
      <c r="U50" s="240"/>
    </row>
    <row r="51" spans="1:26" ht="15.75" customHeight="1">
      <c r="A51" s="300">
        <v>47</v>
      </c>
      <c r="B51" s="263">
        <v>1000</v>
      </c>
      <c r="C51" s="369"/>
      <c r="D51" s="262"/>
      <c r="E51" s="260" t="s">
        <v>219</v>
      </c>
      <c r="F51" s="369"/>
      <c r="G51" s="231"/>
      <c r="H51" s="224"/>
      <c r="I51" s="224"/>
      <c r="J51" s="224"/>
      <c r="K51" s="224"/>
      <c r="L51" s="224"/>
      <c r="M51" s="230"/>
      <c r="N51" s="237"/>
      <c r="O51" s="237"/>
      <c r="P51" s="237"/>
      <c r="Q51" s="237"/>
      <c r="R51" s="237"/>
      <c r="S51" s="238"/>
      <c r="T51" s="239"/>
      <c r="U51" s="240"/>
    </row>
    <row r="52" spans="1:26" ht="15.75" customHeight="1">
      <c r="A52" s="300">
        <v>48</v>
      </c>
      <c r="B52" s="263">
        <v>1000</v>
      </c>
      <c r="C52" s="369"/>
      <c r="D52" s="266" t="s">
        <v>227</v>
      </c>
      <c r="E52" s="260" t="s">
        <v>230</v>
      </c>
      <c r="F52" s="369">
        <v>1007</v>
      </c>
      <c r="G52" s="231"/>
      <c r="H52" s="229"/>
      <c r="I52" s="229"/>
      <c r="J52" s="229"/>
      <c r="K52" s="229"/>
      <c r="L52" s="232"/>
      <c r="M52" s="230"/>
      <c r="N52" s="237"/>
      <c r="O52" s="237"/>
      <c r="P52" s="237"/>
      <c r="Q52" s="237"/>
      <c r="R52" s="237"/>
      <c r="S52" s="238"/>
      <c r="T52" s="239"/>
      <c r="U52" s="240"/>
    </row>
    <row r="53" spans="1:26" ht="15.75" customHeight="1">
      <c r="A53" s="300">
        <v>49</v>
      </c>
      <c r="B53" s="263">
        <v>1000</v>
      </c>
      <c r="C53" s="369"/>
      <c r="D53" s="262"/>
      <c r="E53" s="260" t="s">
        <v>234</v>
      </c>
      <c r="F53" s="369"/>
      <c r="G53" s="231"/>
      <c r="H53" s="229"/>
      <c r="I53" s="224"/>
      <c r="J53" s="224"/>
      <c r="K53" s="224"/>
      <c r="L53" s="232"/>
      <c r="M53" s="230"/>
      <c r="N53" s="237"/>
      <c r="O53" s="237"/>
      <c r="P53" s="237"/>
      <c r="Q53" s="237"/>
      <c r="R53" s="237"/>
      <c r="S53" s="238"/>
      <c r="T53" s="239"/>
      <c r="U53" s="240"/>
    </row>
    <row r="54" spans="1:26" ht="15.75" customHeight="1">
      <c r="A54" s="300">
        <v>50</v>
      </c>
      <c r="B54" s="263">
        <v>1000</v>
      </c>
      <c r="C54" s="369"/>
      <c r="D54" s="262"/>
      <c r="E54" s="260" t="s">
        <v>239</v>
      </c>
      <c r="F54" s="369"/>
      <c r="G54" s="231"/>
      <c r="H54" s="224"/>
      <c r="I54" s="224"/>
      <c r="J54" s="224"/>
      <c r="K54" s="224"/>
      <c r="L54" s="232"/>
      <c r="M54" s="230"/>
      <c r="N54" s="237"/>
      <c r="O54" s="237"/>
      <c r="P54" s="237"/>
      <c r="Q54" s="237"/>
      <c r="R54" s="237"/>
      <c r="S54" s="238"/>
      <c r="T54" s="239"/>
      <c r="U54" s="240"/>
    </row>
    <row r="55" spans="1:26" ht="15.75" customHeight="1">
      <c r="A55" s="300">
        <v>51</v>
      </c>
      <c r="B55" s="263">
        <v>1000</v>
      </c>
      <c r="C55" s="369"/>
      <c r="D55" s="262"/>
      <c r="E55" s="260" t="s">
        <v>242</v>
      </c>
      <c r="F55" s="369"/>
      <c r="G55" s="231"/>
      <c r="H55" s="224"/>
      <c r="I55" s="224"/>
      <c r="J55" s="224"/>
      <c r="K55" s="224"/>
      <c r="L55" s="232"/>
      <c r="M55" s="230"/>
      <c r="N55" s="237"/>
      <c r="O55" s="237"/>
      <c r="P55" s="237"/>
      <c r="Q55" s="237"/>
      <c r="R55" s="237"/>
      <c r="S55" s="238"/>
      <c r="T55" s="239"/>
      <c r="U55" s="240"/>
    </row>
    <row r="56" spans="1:26" ht="15.75" customHeight="1">
      <c r="A56" s="300">
        <v>52</v>
      </c>
      <c r="B56" s="263">
        <v>1000</v>
      </c>
      <c r="C56" s="369"/>
      <c r="D56" s="262"/>
      <c r="E56" s="260" t="s">
        <v>246</v>
      </c>
      <c r="F56" s="369"/>
      <c r="G56" s="231"/>
      <c r="H56" s="224"/>
      <c r="I56" s="224"/>
      <c r="J56" s="224"/>
      <c r="K56" s="224"/>
      <c r="L56" s="232"/>
      <c r="M56" s="230"/>
      <c r="N56" s="237"/>
      <c r="O56" s="237"/>
      <c r="P56" s="237"/>
      <c r="Q56" s="237"/>
      <c r="R56" s="237"/>
      <c r="S56" s="238"/>
      <c r="T56" s="239"/>
      <c r="U56" s="240"/>
    </row>
    <row r="57" spans="1:26" ht="15.75" customHeight="1">
      <c r="A57" s="300">
        <v>53</v>
      </c>
      <c r="B57" s="263">
        <v>1000</v>
      </c>
      <c r="C57" s="369"/>
      <c r="D57" s="266" t="s">
        <v>247</v>
      </c>
      <c r="E57" s="274" t="s">
        <v>250</v>
      </c>
      <c r="F57" s="386">
        <v>1008</v>
      </c>
      <c r="G57" s="231"/>
      <c r="H57" s="249"/>
      <c r="I57" s="224"/>
      <c r="J57" s="224"/>
      <c r="K57" s="229"/>
      <c r="L57" s="232"/>
      <c r="M57" s="230"/>
      <c r="N57" s="237"/>
      <c r="O57" s="237"/>
      <c r="P57" s="237"/>
      <c r="Q57" s="237"/>
      <c r="R57" s="237"/>
      <c r="S57" s="238"/>
      <c r="T57" s="239"/>
      <c r="U57" s="240"/>
    </row>
    <row r="58" spans="1:26" ht="15.75" customHeight="1">
      <c r="A58" s="300">
        <v>54</v>
      </c>
      <c r="B58" s="263">
        <v>1000</v>
      </c>
      <c r="C58" s="369"/>
      <c r="D58" s="262"/>
      <c r="E58" s="274" t="s">
        <v>255</v>
      </c>
      <c r="F58" s="386"/>
      <c r="G58" s="231"/>
      <c r="H58" s="224"/>
      <c r="I58" s="224"/>
      <c r="J58" s="224"/>
      <c r="K58" s="224"/>
      <c r="L58" s="232"/>
      <c r="M58" s="230"/>
      <c r="N58" s="237"/>
      <c r="O58" s="237"/>
      <c r="P58" s="237"/>
      <c r="Q58" s="237"/>
      <c r="R58" s="237"/>
      <c r="S58" s="238"/>
      <c r="T58" s="239"/>
      <c r="U58" s="240"/>
    </row>
    <row r="59" spans="1:26" ht="15.75" customHeight="1">
      <c r="A59" s="300">
        <v>55</v>
      </c>
      <c r="B59" s="263">
        <v>1000</v>
      </c>
      <c r="C59" s="369"/>
      <c r="D59" s="262"/>
      <c r="E59" s="274" t="s">
        <v>257</v>
      </c>
      <c r="F59" s="386"/>
      <c r="G59" s="231"/>
      <c r="H59" s="224"/>
      <c r="I59" s="224"/>
      <c r="J59" s="224"/>
      <c r="K59" s="224"/>
      <c r="L59" s="232"/>
      <c r="M59" s="230"/>
      <c r="N59" s="237"/>
      <c r="O59" s="237"/>
      <c r="P59" s="237"/>
      <c r="Q59" s="237"/>
      <c r="R59" s="237"/>
      <c r="S59" s="238"/>
      <c r="T59" s="239"/>
      <c r="U59" s="240"/>
    </row>
    <row r="60" spans="1:26" ht="15.75" customHeight="1">
      <c r="A60" s="300">
        <v>56</v>
      </c>
      <c r="B60" s="263">
        <v>1000</v>
      </c>
      <c r="C60" s="369"/>
      <c r="D60" s="266" t="s">
        <v>215</v>
      </c>
      <c r="E60" s="274" t="s">
        <v>261</v>
      </c>
      <c r="F60" s="387">
        <v>1009</v>
      </c>
      <c r="G60" s="231"/>
      <c r="H60" s="229"/>
      <c r="I60" s="229"/>
      <c r="J60" s="245"/>
      <c r="K60" s="229"/>
      <c r="L60" s="232"/>
      <c r="M60" s="230"/>
      <c r="N60" s="237"/>
      <c r="O60" s="237"/>
      <c r="P60" s="237"/>
      <c r="Q60" s="237"/>
      <c r="R60" s="237"/>
      <c r="S60" s="238"/>
      <c r="T60" s="239"/>
      <c r="U60" s="240"/>
    </row>
    <row r="61" spans="1:26" ht="15.75" customHeight="1">
      <c r="A61" s="300">
        <v>57</v>
      </c>
      <c r="B61" s="263">
        <v>1000</v>
      </c>
      <c r="C61" s="369"/>
      <c r="D61" s="262"/>
      <c r="E61" s="274" t="s">
        <v>265</v>
      </c>
      <c r="F61" s="387"/>
      <c r="G61" s="231"/>
      <c r="H61" s="224"/>
      <c r="I61" s="224"/>
      <c r="J61" s="224"/>
      <c r="K61" s="224"/>
      <c r="L61" s="232"/>
      <c r="M61" s="230"/>
      <c r="N61" s="237"/>
      <c r="O61" s="237"/>
      <c r="P61" s="237"/>
      <c r="Q61" s="237"/>
      <c r="R61" s="237"/>
      <c r="S61" s="238"/>
      <c r="T61" s="239"/>
      <c r="U61" s="240"/>
    </row>
    <row r="62" spans="1:26" ht="15.75" customHeight="1">
      <c r="A62" s="300">
        <v>58</v>
      </c>
      <c r="B62" s="263">
        <v>1000</v>
      </c>
      <c r="C62" s="369"/>
      <c r="D62" s="262"/>
      <c r="E62" s="274" t="s">
        <v>269</v>
      </c>
      <c r="F62" s="387"/>
      <c r="G62" s="231"/>
      <c r="H62" s="224"/>
      <c r="I62" s="224"/>
      <c r="J62" s="224"/>
      <c r="K62" s="224"/>
      <c r="L62" s="232"/>
      <c r="M62" s="230"/>
      <c r="N62" s="237"/>
      <c r="O62" s="237"/>
      <c r="P62" s="237"/>
      <c r="Q62" s="237"/>
      <c r="R62" s="237"/>
      <c r="S62" s="238"/>
      <c r="T62" s="239"/>
      <c r="U62" s="240"/>
    </row>
    <row r="63" spans="1:26" ht="15.75" customHeight="1">
      <c r="A63" s="300">
        <v>59</v>
      </c>
      <c r="B63" s="263">
        <v>1000</v>
      </c>
      <c r="C63" s="369"/>
      <c r="D63" s="262"/>
      <c r="E63" s="274" t="s">
        <v>273</v>
      </c>
      <c r="F63" s="387"/>
      <c r="G63" s="231"/>
      <c r="H63" s="224"/>
      <c r="I63" s="224"/>
      <c r="J63" s="224"/>
      <c r="K63" s="224"/>
      <c r="L63" s="232"/>
      <c r="M63" s="230"/>
      <c r="N63" s="237"/>
      <c r="O63" s="237"/>
      <c r="P63" s="237"/>
      <c r="Q63" s="237"/>
      <c r="R63" s="237"/>
      <c r="S63" s="238"/>
      <c r="T63" s="239"/>
      <c r="U63" s="240"/>
    </row>
    <row r="64" spans="1:26" ht="15.75" customHeight="1">
      <c r="A64" s="300">
        <v>60</v>
      </c>
      <c r="B64" s="263">
        <v>1000</v>
      </c>
      <c r="C64" s="369"/>
      <c r="D64" s="262"/>
      <c r="E64" s="260" t="s">
        <v>277</v>
      </c>
      <c r="F64" s="387"/>
      <c r="G64" s="231"/>
      <c r="H64" s="224"/>
      <c r="I64" s="224"/>
      <c r="J64" s="224"/>
      <c r="K64" s="224"/>
      <c r="L64" s="232"/>
      <c r="M64" s="230"/>
      <c r="N64" s="237"/>
      <c r="O64" s="237"/>
      <c r="P64" s="237"/>
      <c r="Q64" s="237"/>
      <c r="R64" s="237"/>
      <c r="S64" s="238"/>
      <c r="T64" s="239"/>
      <c r="U64" s="240"/>
    </row>
    <row r="65" spans="1:26" ht="15.75" customHeight="1">
      <c r="A65" s="300">
        <v>61</v>
      </c>
      <c r="B65" s="263">
        <v>1000</v>
      </c>
      <c r="C65" s="369"/>
      <c r="D65" s="262"/>
      <c r="E65" s="260" t="s">
        <v>281</v>
      </c>
      <c r="F65" s="387"/>
      <c r="G65" s="231"/>
      <c r="H65" s="224"/>
      <c r="I65" s="224"/>
      <c r="J65" s="224"/>
      <c r="K65" s="224"/>
      <c r="L65" s="232"/>
      <c r="M65" s="230"/>
      <c r="N65" s="237"/>
      <c r="O65" s="237"/>
      <c r="P65" s="237"/>
      <c r="Q65" s="237"/>
      <c r="R65" s="237"/>
      <c r="S65" s="238"/>
      <c r="T65" s="239"/>
      <c r="U65" s="240"/>
    </row>
    <row r="66" spans="1:26" ht="15.75" customHeight="1">
      <c r="A66" s="300">
        <v>62</v>
      </c>
      <c r="B66" s="263">
        <v>1000</v>
      </c>
      <c r="C66" s="369"/>
      <c r="D66" s="262"/>
      <c r="E66" s="260" t="s">
        <v>285</v>
      </c>
      <c r="F66" s="387"/>
      <c r="G66" s="231"/>
      <c r="H66" s="224"/>
      <c r="I66" s="224"/>
      <c r="J66" s="224"/>
      <c r="K66" s="224"/>
      <c r="L66" s="232"/>
      <c r="M66" s="230"/>
      <c r="N66" s="237"/>
      <c r="O66" s="237"/>
      <c r="P66" s="237"/>
      <c r="Q66" s="237"/>
      <c r="R66" s="237"/>
      <c r="S66" s="238"/>
      <c r="T66" s="239"/>
      <c r="U66" s="240"/>
    </row>
    <row r="67" spans="1:26" ht="15.75" customHeight="1">
      <c r="A67" s="300">
        <v>63</v>
      </c>
      <c r="B67" s="263">
        <v>1000</v>
      </c>
      <c r="C67" s="369"/>
      <c r="D67" s="262"/>
      <c r="E67" s="260" t="s">
        <v>288</v>
      </c>
      <c r="F67" s="387"/>
      <c r="G67" s="231"/>
      <c r="H67" s="224"/>
      <c r="I67" s="224"/>
      <c r="J67" s="224"/>
      <c r="K67" s="224"/>
      <c r="L67" s="232"/>
      <c r="M67" s="230"/>
      <c r="N67" s="237"/>
      <c r="O67" s="237"/>
      <c r="P67" s="237"/>
      <c r="Q67" s="237"/>
      <c r="R67" s="237"/>
      <c r="S67" s="238"/>
      <c r="T67" s="239"/>
      <c r="U67" s="240"/>
    </row>
    <row r="68" spans="1:26" ht="15.75" customHeight="1">
      <c r="A68" s="300">
        <v>64</v>
      </c>
      <c r="B68" s="263">
        <v>1000</v>
      </c>
      <c r="C68" s="369"/>
      <c r="D68" s="262"/>
      <c r="E68" s="260" t="s">
        <v>292</v>
      </c>
      <c r="F68" s="387"/>
      <c r="G68" s="231"/>
      <c r="H68" s="224"/>
      <c r="I68" s="224"/>
      <c r="J68" s="224"/>
      <c r="K68" s="224"/>
      <c r="L68" s="232"/>
      <c r="M68" s="230"/>
      <c r="N68" s="237"/>
      <c r="O68" s="237"/>
      <c r="P68" s="237"/>
      <c r="Q68" s="237"/>
      <c r="R68" s="237"/>
      <c r="S68" s="238"/>
      <c r="T68" s="239"/>
      <c r="U68" s="240"/>
    </row>
    <row r="69" spans="1:26" ht="15.75" customHeight="1">
      <c r="A69" s="300">
        <v>65</v>
      </c>
      <c r="B69" s="263">
        <v>1000</v>
      </c>
      <c r="C69" s="369"/>
      <c r="D69" s="262"/>
      <c r="E69" s="260" t="s">
        <v>300</v>
      </c>
      <c r="F69" s="387"/>
      <c r="G69" s="231"/>
      <c r="H69" s="224"/>
      <c r="I69" s="224"/>
      <c r="J69" s="224"/>
      <c r="K69" s="224"/>
      <c r="L69" s="232"/>
      <c r="M69" s="230"/>
      <c r="N69" s="237"/>
      <c r="O69" s="237"/>
      <c r="P69" s="237"/>
      <c r="Q69" s="237"/>
      <c r="R69" s="237"/>
      <c r="S69" s="238"/>
      <c r="T69" s="239"/>
      <c r="U69" s="240"/>
    </row>
    <row r="70" spans="1:26" ht="15.75" customHeight="1">
      <c r="A70" s="300">
        <v>66</v>
      </c>
      <c r="B70" s="263">
        <v>1000</v>
      </c>
      <c r="C70" s="369"/>
      <c r="D70" s="262"/>
      <c r="E70" s="260" t="s">
        <v>305</v>
      </c>
      <c r="F70" s="387"/>
      <c r="G70" s="231"/>
      <c r="H70" s="224"/>
      <c r="I70" s="224"/>
      <c r="J70" s="224"/>
      <c r="K70" s="224"/>
      <c r="L70" s="232"/>
      <c r="M70" s="230"/>
      <c r="N70" s="237"/>
      <c r="O70" s="237"/>
      <c r="P70" s="237"/>
      <c r="Q70" s="237"/>
      <c r="R70" s="237"/>
      <c r="S70" s="238"/>
      <c r="T70" s="239"/>
      <c r="U70" s="240"/>
    </row>
    <row r="71" spans="1:26" ht="15.75" hidden="1" customHeight="1">
      <c r="A71" s="300">
        <v>67</v>
      </c>
      <c r="B71" s="263">
        <v>1000</v>
      </c>
      <c r="C71" s="262"/>
      <c r="D71" s="262"/>
      <c r="E71" s="275" t="s">
        <v>296</v>
      </c>
      <c r="F71" s="299"/>
      <c r="G71" s="231"/>
      <c r="H71" s="224"/>
      <c r="I71" s="231"/>
      <c r="J71" s="231"/>
      <c r="K71" s="231"/>
      <c r="L71" s="232"/>
      <c r="M71" s="230"/>
      <c r="N71" s="237"/>
      <c r="O71" s="237"/>
      <c r="P71" s="237"/>
      <c r="Q71" s="237"/>
      <c r="R71" s="237"/>
      <c r="S71" s="238"/>
      <c r="T71" s="239"/>
      <c r="U71" s="240"/>
    </row>
    <row r="72" spans="1:26" ht="15" customHeight="1">
      <c r="A72" s="300">
        <v>68</v>
      </c>
      <c r="B72" s="263">
        <v>1000</v>
      </c>
      <c r="C72" s="366" t="s">
        <v>2717</v>
      </c>
      <c r="D72" s="266" t="s">
        <v>168</v>
      </c>
      <c r="E72" s="275" t="s">
        <v>222</v>
      </c>
      <c r="F72" s="366">
        <v>1014</v>
      </c>
      <c r="G72" s="231"/>
      <c r="H72" s="229"/>
      <c r="I72" s="229"/>
      <c r="J72" s="229"/>
      <c r="K72" s="229"/>
      <c r="L72" s="232"/>
      <c r="M72" s="230"/>
      <c r="N72" s="237"/>
      <c r="O72" s="237"/>
      <c r="P72" s="237"/>
      <c r="Q72" s="237"/>
      <c r="R72" s="237"/>
      <c r="S72" s="238"/>
      <c r="T72" s="239"/>
      <c r="U72" s="240"/>
      <c r="V72" s="230"/>
      <c r="W72" s="225"/>
      <c r="X72" s="225"/>
      <c r="Y72" s="225"/>
      <c r="Z72" s="30"/>
    </row>
    <row r="73" spans="1:26" ht="15.75" customHeight="1">
      <c r="A73" s="300">
        <v>69</v>
      </c>
      <c r="B73" s="263">
        <v>1000</v>
      </c>
      <c r="C73" s="366"/>
      <c r="D73" s="262"/>
      <c r="E73" s="275" t="s">
        <v>226</v>
      </c>
      <c r="F73" s="366"/>
      <c r="G73" s="231"/>
      <c r="H73" s="224"/>
      <c r="I73" s="224"/>
      <c r="J73" s="224"/>
      <c r="K73" s="224"/>
      <c r="L73" s="232"/>
      <c r="M73" s="230"/>
      <c r="N73" s="237"/>
      <c r="O73" s="237"/>
      <c r="P73" s="237"/>
      <c r="Q73" s="237"/>
      <c r="R73" s="237"/>
      <c r="S73" s="238"/>
      <c r="T73" s="239"/>
      <c r="U73" s="240"/>
      <c r="V73" s="230"/>
      <c r="W73" s="225"/>
      <c r="X73" s="225"/>
      <c r="Y73" s="225"/>
      <c r="Z73" s="30"/>
    </row>
    <row r="74" spans="1:26" ht="15.75" customHeight="1">
      <c r="A74" s="300">
        <v>70</v>
      </c>
      <c r="B74" s="263">
        <v>1000</v>
      </c>
      <c r="C74" s="369" t="s">
        <v>2674</v>
      </c>
      <c r="D74" s="262"/>
      <c r="E74" s="275" t="s">
        <v>346</v>
      </c>
      <c r="F74" s="382">
        <v>1012</v>
      </c>
      <c r="G74" s="231"/>
      <c r="H74" s="224"/>
      <c r="I74" s="224"/>
      <c r="J74" s="224"/>
      <c r="K74" s="224"/>
      <c r="L74" s="232"/>
      <c r="M74" s="230"/>
      <c r="N74" s="237"/>
      <c r="O74" s="237"/>
      <c r="P74" s="237"/>
      <c r="Q74" s="237"/>
      <c r="R74" s="237"/>
      <c r="S74" s="238"/>
      <c r="T74" s="239"/>
      <c r="U74" s="240"/>
    </row>
    <row r="75" spans="1:26" ht="15.75" customHeight="1">
      <c r="A75" s="300">
        <v>71</v>
      </c>
      <c r="B75" s="263">
        <v>1000</v>
      </c>
      <c r="C75" s="369"/>
      <c r="D75" s="262"/>
      <c r="E75" s="275" t="s">
        <v>2133</v>
      </c>
      <c r="F75" s="383"/>
      <c r="G75" s="231"/>
      <c r="H75" s="224"/>
      <c r="I75" s="224"/>
      <c r="J75" s="224"/>
      <c r="K75" s="224"/>
      <c r="L75" s="232"/>
      <c r="M75" s="230"/>
      <c r="N75" s="237"/>
      <c r="O75" s="237"/>
      <c r="P75" s="237"/>
      <c r="Q75" s="237"/>
      <c r="R75" s="237"/>
      <c r="S75" s="238"/>
      <c r="T75" s="239"/>
      <c r="U75" s="240"/>
    </row>
    <row r="76" spans="1:26" ht="15.75" customHeight="1">
      <c r="A76" s="300">
        <v>76</v>
      </c>
      <c r="B76" s="263">
        <v>1000</v>
      </c>
      <c r="C76" s="369"/>
      <c r="D76" s="262"/>
      <c r="E76" s="275" t="s">
        <v>310</v>
      </c>
      <c r="F76" s="383"/>
      <c r="G76" s="231"/>
      <c r="H76" s="224"/>
      <c r="I76" s="224"/>
      <c r="J76" s="224"/>
      <c r="K76" s="224"/>
      <c r="L76" s="232"/>
      <c r="M76" s="230"/>
      <c r="N76" s="237"/>
      <c r="O76" s="237"/>
      <c r="P76" s="237"/>
      <c r="Q76" s="237"/>
      <c r="R76" s="237"/>
      <c r="S76" s="238"/>
      <c r="T76" s="239"/>
      <c r="U76" s="240"/>
    </row>
    <row r="77" spans="1:26" ht="15.75" customHeight="1">
      <c r="A77" s="300">
        <v>77</v>
      </c>
      <c r="B77" s="263">
        <v>1000</v>
      </c>
      <c r="C77" s="369"/>
      <c r="D77" s="262"/>
      <c r="E77" s="260" t="s">
        <v>461</v>
      </c>
      <c r="F77" s="383"/>
      <c r="G77" s="231"/>
      <c r="H77" s="224"/>
      <c r="I77" s="224"/>
      <c r="J77" s="224"/>
      <c r="K77" s="224"/>
      <c r="L77" s="232"/>
      <c r="M77" s="230"/>
      <c r="N77" s="237"/>
      <c r="O77" s="237"/>
      <c r="P77" s="237"/>
      <c r="Q77" s="237"/>
      <c r="R77" s="237"/>
      <c r="S77" s="238"/>
      <c r="T77" s="239"/>
      <c r="U77" s="240"/>
    </row>
    <row r="78" spans="1:26" ht="15" hidden="1" customHeight="1">
      <c r="A78" s="300">
        <v>78</v>
      </c>
      <c r="B78" s="263">
        <v>1000</v>
      </c>
      <c r="C78" s="369"/>
      <c r="D78" s="276" t="s">
        <v>2134</v>
      </c>
      <c r="E78" s="277" t="s">
        <v>468</v>
      </c>
      <c r="F78" s="383"/>
      <c r="G78" s="231"/>
      <c r="H78" s="229"/>
      <c r="I78" s="224"/>
      <c r="J78" s="224"/>
      <c r="K78" s="224"/>
      <c r="L78" s="232"/>
      <c r="M78" s="230"/>
      <c r="N78" s="237"/>
      <c r="O78" s="237"/>
      <c r="P78" s="237"/>
      <c r="Q78" s="237"/>
      <c r="R78" s="237"/>
      <c r="S78" s="238"/>
      <c r="T78" s="239"/>
      <c r="U78" s="240"/>
    </row>
    <row r="79" spans="1:26" ht="15" hidden="1" customHeight="1">
      <c r="A79" s="300">
        <v>79</v>
      </c>
      <c r="B79" s="263">
        <v>1000</v>
      </c>
      <c r="C79" s="369"/>
      <c r="D79" s="262"/>
      <c r="E79" s="277" t="s">
        <v>472</v>
      </c>
      <c r="F79" s="383"/>
      <c r="G79" s="231"/>
      <c r="H79" s="229"/>
      <c r="I79" s="224"/>
      <c r="J79" s="224"/>
      <c r="K79" s="224"/>
      <c r="L79" s="232"/>
      <c r="M79" s="230"/>
      <c r="N79" s="237"/>
      <c r="O79" s="237"/>
      <c r="P79" s="237"/>
      <c r="Q79" s="237"/>
      <c r="R79" s="237"/>
      <c r="S79" s="238"/>
      <c r="T79" s="239"/>
      <c r="U79" s="240"/>
    </row>
    <row r="80" spans="1:26" ht="15.75" customHeight="1">
      <c r="A80" s="300">
        <v>77</v>
      </c>
      <c r="B80" s="263">
        <v>1000</v>
      </c>
      <c r="C80" s="369"/>
      <c r="D80" s="278"/>
      <c r="E80" s="260" t="s">
        <v>2135</v>
      </c>
      <c r="F80" s="383"/>
      <c r="G80" s="231"/>
      <c r="H80" s="229"/>
      <c r="I80" s="224"/>
      <c r="J80" s="224"/>
      <c r="K80" s="224"/>
      <c r="L80" s="232"/>
      <c r="M80" s="230"/>
      <c r="N80" s="237"/>
      <c r="O80" s="237"/>
      <c r="P80" s="237"/>
      <c r="Q80" s="237"/>
      <c r="R80" s="237"/>
      <c r="S80" s="238"/>
      <c r="T80" s="239"/>
      <c r="U80" s="240"/>
    </row>
    <row r="81" spans="1:26" ht="15.75" customHeight="1">
      <c r="A81" s="300">
        <v>80</v>
      </c>
      <c r="B81" s="263">
        <v>1000</v>
      </c>
      <c r="C81" s="369"/>
      <c r="D81" s="266" t="s">
        <v>465</v>
      </c>
      <c r="E81" s="260" t="s">
        <v>476</v>
      </c>
      <c r="F81" s="383"/>
      <c r="G81" s="231"/>
      <c r="H81" s="231"/>
      <c r="I81" s="224"/>
      <c r="J81" s="224"/>
      <c r="K81" s="224"/>
      <c r="L81" s="232"/>
      <c r="M81" s="230"/>
      <c r="N81" s="237"/>
      <c r="O81" s="237"/>
      <c r="P81" s="237"/>
      <c r="Q81" s="237"/>
      <c r="R81" s="237"/>
      <c r="S81" s="238"/>
      <c r="T81" s="239"/>
      <c r="U81" s="240"/>
    </row>
    <row r="82" spans="1:26" ht="15.75" customHeight="1">
      <c r="A82" s="300">
        <v>82</v>
      </c>
      <c r="B82" s="263">
        <v>1000</v>
      </c>
      <c r="C82" s="369"/>
      <c r="D82" s="266" t="s">
        <v>356</v>
      </c>
      <c r="E82" s="260" t="s">
        <v>480</v>
      </c>
      <c r="F82" s="383"/>
      <c r="G82" s="231"/>
      <c r="H82" s="229"/>
      <c r="I82" s="224"/>
      <c r="J82" s="224"/>
      <c r="K82" s="224"/>
      <c r="L82" s="232"/>
      <c r="M82" s="230"/>
      <c r="N82" s="237"/>
      <c r="O82" s="237"/>
      <c r="P82" s="237"/>
      <c r="Q82" s="237"/>
      <c r="R82" s="237"/>
      <c r="S82" s="238"/>
      <c r="T82" s="239"/>
      <c r="U82" s="240"/>
    </row>
    <row r="83" spans="1:26" ht="15.75" customHeight="1">
      <c r="A83" s="300">
        <v>83</v>
      </c>
      <c r="B83" s="263">
        <v>1000</v>
      </c>
      <c r="C83" s="369"/>
      <c r="D83" s="266"/>
      <c r="E83" s="260" t="s">
        <v>484</v>
      </c>
      <c r="F83" s="383"/>
      <c r="G83" s="231"/>
      <c r="H83" s="224"/>
      <c r="I83" s="224"/>
      <c r="J83" s="224"/>
      <c r="K83" s="224"/>
      <c r="L83" s="232"/>
      <c r="M83" s="230"/>
      <c r="N83" s="237"/>
      <c r="O83" s="237"/>
      <c r="P83" s="237"/>
      <c r="Q83" s="237"/>
      <c r="R83" s="237"/>
      <c r="S83" s="238"/>
      <c r="T83" s="239"/>
      <c r="U83" s="240"/>
    </row>
    <row r="84" spans="1:26" ht="15.75" customHeight="1">
      <c r="A84" s="300">
        <v>84</v>
      </c>
      <c r="B84" s="263">
        <v>1000</v>
      </c>
      <c r="C84" s="369"/>
      <c r="D84" s="266"/>
      <c r="E84" s="260" t="s">
        <v>487</v>
      </c>
      <c r="F84" s="384"/>
      <c r="G84" s="231"/>
      <c r="H84" s="224"/>
      <c r="I84" s="224"/>
      <c r="J84" s="224"/>
      <c r="K84" s="224"/>
      <c r="L84" s="232"/>
      <c r="M84" s="230"/>
      <c r="N84" s="237"/>
      <c r="O84" s="237"/>
      <c r="P84" s="237"/>
      <c r="Q84" s="237"/>
      <c r="R84" s="237"/>
      <c r="S84" s="238"/>
      <c r="T84" s="239"/>
      <c r="U84" s="240"/>
    </row>
    <row r="85" spans="1:26" ht="30" customHeight="1">
      <c r="A85" s="300">
        <v>85</v>
      </c>
      <c r="B85" s="263">
        <v>1000</v>
      </c>
      <c r="C85" s="369" t="s">
        <v>2673</v>
      </c>
      <c r="D85" s="267" t="s">
        <v>168</v>
      </c>
      <c r="E85" s="267" t="s">
        <v>316</v>
      </c>
      <c r="F85" s="382">
        <v>1013</v>
      </c>
      <c r="G85" s="231"/>
      <c r="H85" s="229"/>
      <c r="I85" s="224"/>
      <c r="J85" s="224"/>
      <c r="K85" s="229"/>
      <c r="L85" s="232"/>
      <c r="M85" s="230"/>
      <c r="N85" s="237"/>
      <c r="O85" s="237"/>
      <c r="P85" s="237"/>
      <c r="Q85" s="237"/>
      <c r="R85" s="237"/>
      <c r="S85" s="238"/>
      <c r="T85" s="239"/>
      <c r="U85" s="240"/>
    </row>
    <row r="86" spans="1:26" ht="15.75" customHeight="1">
      <c r="A86" s="300">
        <v>86</v>
      </c>
      <c r="B86" s="263">
        <v>1000</v>
      </c>
      <c r="C86" s="369"/>
      <c r="D86" s="262"/>
      <c r="E86" s="268" t="s">
        <v>325</v>
      </c>
      <c r="F86" s="383"/>
      <c r="G86" s="231"/>
      <c r="H86" s="224"/>
      <c r="I86" s="224"/>
      <c r="J86" s="224"/>
      <c r="K86" s="224"/>
      <c r="L86" s="232"/>
      <c r="M86" s="230"/>
      <c r="N86" s="237"/>
      <c r="O86" s="237"/>
      <c r="P86" s="237"/>
      <c r="Q86" s="237"/>
      <c r="R86" s="237"/>
      <c r="S86" s="238"/>
      <c r="T86" s="239"/>
      <c r="U86" s="240"/>
    </row>
    <row r="87" spans="1:26" ht="15.75" customHeight="1">
      <c r="A87" s="300">
        <v>87</v>
      </c>
      <c r="B87" s="263">
        <v>1000</v>
      </c>
      <c r="C87" s="369"/>
      <c r="D87" s="262"/>
      <c r="E87" s="268" t="s">
        <v>342</v>
      </c>
      <c r="F87" s="383"/>
      <c r="G87" s="231"/>
      <c r="H87" s="224"/>
      <c r="I87" s="224"/>
      <c r="J87" s="224"/>
      <c r="K87" s="224"/>
      <c r="L87" s="232"/>
      <c r="M87" s="230"/>
      <c r="N87" s="237"/>
      <c r="O87" s="237"/>
      <c r="P87" s="237"/>
      <c r="Q87" s="237"/>
      <c r="R87" s="237"/>
      <c r="S87" s="238"/>
      <c r="T87" s="239"/>
      <c r="U87" s="240"/>
    </row>
    <row r="88" spans="1:26" ht="15.75" customHeight="1">
      <c r="A88" s="300">
        <v>88</v>
      </c>
      <c r="B88" s="263">
        <v>1000</v>
      </c>
      <c r="C88" s="369"/>
      <c r="D88" s="262"/>
      <c r="E88" s="268" t="s">
        <v>1951</v>
      </c>
      <c r="F88" s="383"/>
      <c r="G88" s="231"/>
      <c r="H88" s="224"/>
      <c r="I88" s="224"/>
      <c r="J88" s="224"/>
      <c r="K88" s="224"/>
      <c r="L88" s="232"/>
      <c r="M88" s="230"/>
      <c r="N88" s="237"/>
      <c r="O88" s="237"/>
      <c r="P88" s="237"/>
      <c r="Q88" s="237"/>
      <c r="R88" s="237"/>
      <c r="S88" s="238"/>
      <c r="T88" s="239"/>
      <c r="U88" s="240"/>
    </row>
    <row r="89" spans="1:26" ht="15.75" customHeight="1">
      <c r="A89" s="300">
        <v>89</v>
      </c>
      <c r="B89" s="263">
        <v>1000</v>
      </c>
      <c r="C89" s="369"/>
      <c r="D89" s="267" t="s">
        <v>356</v>
      </c>
      <c r="E89" s="268" t="s">
        <v>2137</v>
      </c>
      <c r="F89" s="383"/>
      <c r="G89" s="231"/>
      <c r="H89" s="231"/>
      <c r="I89" s="224"/>
      <c r="J89" s="224"/>
      <c r="K89" s="224"/>
      <c r="L89" s="232"/>
      <c r="M89" s="230"/>
      <c r="N89" s="237"/>
      <c r="O89" s="237"/>
      <c r="P89" s="237"/>
      <c r="Q89" s="237"/>
      <c r="R89" s="237"/>
      <c r="S89" s="238"/>
      <c r="T89" s="239"/>
      <c r="U89" s="240"/>
    </row>
    <row r="90" spans="1:26" ht="15.75" customHeight="1">
      <c r="A90" s="300">
        <v>90</v>
      </c>
      <c r="B90" s="263">
        <v>1000</v>
      </c>
      <c r="C90" s="369"/>
      <c r="D90" s="267" t="s">
        <v>382</v>
      </c>
      <c r="E90" s="268" t="s">
        <v>385</v>
      </c>
      <c r="F90" s="383"/>
      <c r="G90" s="231"/>
      <c r="H90" s="231"/>
      <c r="I90" s="224"/>
      <c r="J90" s="224"/>
      <c r="K90" s="224"/>
      <c r="L90" s="232"/>
      <c r="M90" s="230"/>
      <c r="N90" s="237"/>
      <c r="O90" s="237"/>
      <c r="P90" s="237"/>
      <c r="Q90" s="237"/>
      <c r="R90" s="237"/>
      <c r="S90" s="238"/>
      <c r="T90" s="239"/>
      <c r="U90" s="240"/>
    </row>
    <row r="91" spans="1:26" ht="15.75" customHeight="1">
      <c r="A91" s="300">
        <v>91</v>
      </c>
      <c r="B91" s="263">
        <v>1000</v>
      </c>
      <c r="C91" s="369"/>
      <c r="D91" s="267" t="s">
        <v>1984</v>
      </c>
      <c r="E91" s="268" t="s">
        <v>380</v>
      </c>
      <c r="F91" s="384"/>
      <c r="G91" s="231"/>
      <c r="H91" s="231"/>
      <c r="I91" s="224"/>
      <c r="J91" s="224"/>
      <c r="K91" s="224"/>
      <c r="L91" s="232"/>
      <c r="M91" s="230"/>
      <c r="N91" s="237"/>
      <c r="O91" s="237"/>
      <c r="P91" s="237"/>
      <c r="Q91" s="237"/>
      <c r="R91" s="237"/>
      <c r="S91" s="238"/>
      <c r="T91" s="239"/>
      <c r="U91" s="240"/>
    </row>
    <row r="92" spans="1:26" ht="33.75" customHeight="1">
      <c r="A92" s="318" t="s">
        <v>2138</v>
      </c>
      <c r="B92" s="262"/>
      <c r="C92" s="262"/>
      <c r="D92" s="262"/>
      <c r="E92" s="262"/>
      <c r="F92" s="262"/>
      <c r="G92" s="224"/>
      <c r="H92" s="224"/>
      <c r="I92" s="224"/>
      <c r="J92" s="224"/>
      <c r="K92" s="224"/>
      <c r="L92" s="224"/>
      <c r="M92" s="224"/>
      <c r="N92" s="237"/>
      <c r="O92" s="237"/>
      <c r="P92" s="237"/>
      <c r="Q92" s="237"/>
      <c r="R92" s="237"/>
      <c r="S92" s="238"/>
      <c r="T92" s="239"/>
      <c r="U92" s="240"/>
      <c r="V92" s="230"/>
      <c r="W92" s="225"/>
      <c r="X92" s="225"/>
      <c r="Y92" s="225"/>
      <c r="Z92" s="69"/>
    </row>
    <row r="93" spans="1:26" ht="29.1" customHeight="1">
      <c r="A93" s="300">
        <v>79</v>
      </c>
      <c r="B93" s="263">
        <v>2000</v>
      </c>
      <c r="C93" s="368" t="s">
        <v>2673</v>
      </c>
      <c r="D93" s="273" t="s">
        <v>2139</v>
      </c>
      <c r="E93" s="279" t="s">
        <v>329</v>
      </c>
      <c r="F93" s="382" t="s">
        <v>2723</v>
      </c>
      <c r="G93" s="231"/>
      <c r="H93" s="229"/>
      <c r="I93" s="224"/>
      <c r="J93" s="224"/>
      <c r="K93" s="231"/>
      <c r="L93" s="232"/>
      <c r="M93" s="230"/>
      <c r="N93" s="237"/>
      <c r="O93" s="237"/>
      <c r="P93" s="237"/>
      <c r="Q93" s="237"/>
      <c r="R93" s="237"/>
      <c r="S93" s="238"/>
      <c r="T93" s="239"/>
      <c r="U93" s="240"/>
    </row>
    <row r="94" spans="1:26" ht="15.75" customHeight="1">
      <c r="A94" s="300">
        <v>81</v>
      </c>
      <c r="B94" s="263">
        <v>2000</v>
      </c>
      <c r="C94" s="368"/>
      <c r="D94" s="262"/>
      <c r="E94" s="279" t="s">
        <v>320</v>
      </c>
      <c r="F94" s="383"/>
      <c r="G94" s="231"/>
      <c r="H94" s="224"/>
      <c r="J94" s="224"/>
      <c r="K94" s="231"/>
      <c r="L94" s="232"/>
      <c r="M94" s="230"/>
      <c r="N94" s="237"/>
      <c r="O94" s="237"/>
      <c r="P94" s="237"/>
      <c r="Q94" s="237"/>
      <c r="R94" s="237"/>
      <c r="S94" s="238"/>
      <c r="T94" s="239"/>
      <c r="U94" s="240"/>
    </row>
    <row r="95" spans="1:26" ht="15.75" customHeight="1">
      <c r="A95" s="300">
        <v>86</v>
      </c>
      <c r="B95" s="263">
        <v>2000</v>
      </c>
      <c r="C95" s="368"/>
      <c r="D95" s="262"/>
      <c r="E95" s="279" t="s">
        <v>333</v>
      </c>
      <c r="F95" s="383"/>
      <c r="G95" s="231"/>
      <c r="H95" s="224"/>
      <c r="J95" s="224"/>
      <c r="K95" s="231"/>
      <c r="L95" s="232"/>
      <c r="M95" s="230"/>
      <c r="N95" s="237"/>
      <c r="O95" s="237"/>
      <c r="P95" s="237"/>
      <c r="Q95" s="237"/>
      <c r="R95" s="237"/>
      <c r="S95" s="238"/>
      <c r="T95" s="239"/>
      <c r="U95" s="240"/>
    </row>
    <row r="96" spans="1:26" ht="17.25" customHeight="1">
      <c r="A96" s="300">
        <v>87</v>
      </c>
      <c r="B96" s="263">
        <v>2000</v>
      </c>
      <c r="C96" s="368"/>
      <c r="D96" s="262"/>
      <c r="E96" s="279" t="s">
        <v>337</v>
      </c>
      <c r="F96" s="383"/>
      <c r="G96" s="231"/>
      <c r="H96" s="224"/>
      <c r="J96" s="224"/>
      <c r="K96" s="231"/>
      <c r="L96" s="232"/>
      <c r="M96" s="230"/>
      <c r="N96" s="237"/>
      <c r="O96" s="237"/>
      <c r="P96" s="237"/>
      <c r="Q96" s="237"/>
      <c r="R96" s="237"/>
      <c r="S96" s="238"/>
      <c r="T96" s="239"/>
      <c r="U96" s="240"/>
    </row>
    <row r="97" spans="1:21" ht="15.75" customHeight="1">
      <c r="A97" s="300">
        <v>96</v>
      </c>
      <c r="B97" s="263">
        <v>2000</v>
      </c>
      <c r="C97" s="368"/>
      <c r="D97" s="262"/>
      <c r="E97" s="279" t="s">
        <v>376</v>
      </c>
      <c r="F97" s="383"/>
      <c r="G97" s="231"/>
      <c r="H97" s="224"/>
      <c r="I97" s="224"/>
      <c r="J97" s="224"/>
      <c r="K97" s="231"/>
      <c r="L97" s="232"/>
      <c r="M97" s="230"/>
      <c r="N97" s="237"/>
      <c r="O97" s="237"/>
      <c r="P97" s="237"/>
      <c r="Q97" s="237"/>
      <c r="R97" s="237"/>
      <c r="S97" s="238"/>
      <c r="T97" s="239"/>
      <c r="U97" s="240"/>
    </row>
    <row r="98" spans="1:21" ht="15.75" customHeight="1">
      <c r="A98" s="300">
        <v>82</v>
      </c>
      <c r="B98" s="263">
        <v>2000</v>
      </c>
      <c r="C98" s="368"/>
      <c r="D98" s="266" t="s">
        <v>2140</v>
      </c>
      <c r="E98" s="275" t="s">
        <v>1416</v>
      </c>
      <c r="F98" s="383"/>
      <c r="G98" s="231"/>
      <c r="H98" s="229"/>
      <c r="I98" s="229"/>
      <c r="J98" s="229"/>
      <c r="K98" s="229"/>
      <c r="L98" s="232"/>
      <c r="M98" s="230"/>
      <c r="N98" s="237"/>
      <c r="O98" s="237"/>
      <c r="P98" s="237"/>
      <c r="Q98" s="237"/>
      <c r="R98" s="237"/>
      <c r="S98" s="238"/>
      <c r="T98" s="239"/>
      <c r="U98" s="240"/>
    </row>
    <row r="99" spans="1:21" ht="15.75" customHeight="1">
      <c r="A99" s="300">
        <v>83</v>
      </c>
      <c r="B99" s="263">
        <v>2000</v>
      </c>
      <c r="C99" s="368"/>
      <c r="D99" s="262"/>
      <c r="E99" s="275" t="s">
        <v>2141</v>
      </c>
      <c r="F99" s="383"/>
      <c r="G99" s="231"/>
      <c r="H99" s="224"/>
      <c r="I99" s="224"/>
      <c r="J99" s="224"/>
      <c r="K99" s="224"/>
      <c r="L99" s="232"/>
      <c r="M99" s="230"/>
      <c r="N99" s="237"/>
      <c r="O99" s="237"/>
      <c r="P99" s="237"/>
      <c r="Q99" s="237"/>
      <c r="R99" s="237"/>
      <c r="S99" s="238"/>
      <c r="T99" s="239"/>
      <c r="U99" s="240"/>
    </row>
    <row r="100" spans="1:21" ht="15.75" customHeight="1">
      <c r="A100" s="300">
        <v>84</v>
      </c>
      <c r="B100" s="263"/>
      <c r="C100" s="368"/>
      <c r="D100" s="262"/>
      <c r="E100" s="275" t="s">
        <v>1424</v>
      </c>
      <c r="F100" s="383"/>
      <c r="G100" s="231"/>
      <c r="H100" s="224"/>
      <c r="I100" s="224"/>
      <c r="J100" s="224"/>
      <c r="K100" s="224"/>
      <c r="L100" s="232"/>
      <c r="M100" s="230"/>
      <c r="N100" s="237"/>
      <c r="O100" s="237"/>
      <c r="P100" s="237"/>
      <c r="Q100" s="237"/>
      <c r="R100" s="237"/>
      <c r="S100" s="238"/>
      <c r="T100" s="239"/>
      <c r="U100" s="240"/>
    </row>
    <row r="101" spans="1:21" ht="15.75" customHeight="1">
      <c r="A101" s="300">
        <v>88</v>
      </c>
      <c r="B101" s="263">
        <v>2000</v>
      </c>
      <c r="C101" s="368"/>
      <c r="D101" s="280" t="s">
        <v>2142</v>
      </c>
      <c r="E101" s="275" t="s">
        <v>1404</v>
      </c>
      <c r="F101" s="383"/>
      <c r="G101" s="231"/>
      <c r="H101" s="224"/>
      <c r="I101" s="224"/>
      <c r="J101" s="224"/>
      <c r="K101" s="224"/>
      <c r="L101" s="232"/>
      <c r="M101" s="230"/>
      <c r="N101" s="237"/>
      <c r="O101" s="237"/>
      <c r="P101" s="237"/>
      <c r="Q101" s="237"/>
      <c r="R101" s="237"/>
      <c r="S101" s="238"/>
      <c r="T101" s="239"/>
      <c r="U101" s="240"/>
    </row>
    <row r="102" spans="1:21" ht="15.75" customHeight="1">
      <c r="A102" s="300"/>
      <c r="B102" s="263"/>
      <c r="C102" s="368"/>
      <c r="D102" s="266" t="s">
        <v>2143</v>
      </c>
      <c r="E102" s="275" t="s">
        <v>1392</v>
      </c>
      <c r="F102" s="383"/>
      <c r="G102" s="231"/>
      <c r="H102" s="224"/>
      <c r="I102" s="224"/>
      <c r="J102" s="224"/>
      <c r="K102" s="224"/>
      <c r="L102" s="232"/>
      <c r="M102" s="230"/>
      <c r="N102" s="237"/>
      <c r="O102" s="237"/>
      <c r="P102" s="237"/>
      <c r="Q102" s="237"/>
      <c r="R102" s="237"/>
      <c r="S102" s="238"/>
      <c r="T102" s="239"/>
      <c r="U102" s="240"/>
    </row>
    <row r="103" spans="1:21" ht="15.75" customHeight="1">
      <c r="A103" s="300">
        <v>90</v>
      </c>
      <c r="B103" s="263">
        <v>2000</v>
      </c>
      <c r="C103" s="368"/>
      <c r="D103" s="262"/>
      <c r="E103" s="275" t="s">
        <v>1420</v>
      </c>
      <c r="F103" s="383"/>
      <c r="G103" s="231"/>
      <c r="H103" s="224"/>
      <c r="I103" s="224"/>
      <c r="J103" s="224"/>
      <c r="K103" s="224"/>
      <c r="L103" s="232"/>
      <c r="M103" s="230"/>
      <c r="N103" s="237"/>
      <c r="O103" s="237"/>
      <c r="P103" s="237"/>
      <c r="Q103" s="237"/>
      <c r="R103" s="237"/>
      <c r="S103" s="238"/>
      <c r="T103" s="239"/>
      <c r="U103" s="240"/>
    </row>
    <row r="104" spans="1:21" ht="15.75" customHeight="1">
      <c r="A104" s="300">
        <v>91</v>
      </c>
      <c r="B104" s="263">
        <v>2000</v>
      </c>
      <c r="C104" s="368"/>
      <c r="D104" s="262"/>
      <c r="E104" s="275" t="s">
        <v>1412</v>
      </c>
      <c r="F104" s="383"/>
      <c r="G104" s="231"/>
      <c r="H104" s="224"/>
      <c r="I104" s="224"/>
      <c r="J104" s="224"/>
      <c r="K104" s="224"/>
      <c r="L104" s="232"/>
      <c r="M104" s="230"/>
      <c r="N104" s="237"/>
      <c r="O104" s="237"/>
      <c r="P104" s="237"/>
      <c r="Q104" s="237"/>
      <c r="R104" s="237"/>
      <c r="S104" s="238"/>
      <c r="T104" s="239"/>
      <c r="U104" s="240"/>
    </row>
    <row r="105" spans="1:21" ht="15.75" customHeight="1">
      <c r="A105" s="300">
        <v>92</v>
      </c>
      <c r="B105" s="263">
        <v>2000</v>
      </c>
      <c r="C105" s="368"/>
      <c r="D105" s="280" t="s">
        <v>352</v>
      </c>
      <c r="E105" s="281" t="s">
        <v>355</v>
      </c>
      <c r="F105" s="384"/>
      <c r="G105" s="231"/>
      <c r="H105" s="224"/>
      <c r="I105" s="224"/>
      <c r="J105" s="224"/>
      <c r="K105" s="224"/>
      <c r="L105" s="232"/>
      <c r="M105" s="230"/>
      <c r="N105" s="237"/>
      <c r="O105" s="237"/>
      <c r="P105" s="237"/>
      <c r="Q105" s="237"/>
      <c r="R105" s="237"/>
      <c r="S105" s="238"/>
      <c r="T105" s="239"/>
      <c r="U105" s="240"/>
    </row>
    <row r="106" spans="1:21" ht="15.75" customHeight="1">
      <c r="A106" s="300">
        <v>94</v>
      </c>
      <c r="B106" s="263">
        <v>2000</v>
      </c>
      <c r="C106" s="368"/>
      <c r="D106" s="266" t="s">
        <v>356</v>
      </c>
      <c r="E106" s="281" t="s">
        <v>359</v>
      </c>
      <c r="F106" s="382">
        <v>2016</v>
      </c>
      <c r="G106" s="231"/>
      <c r="H106" s="229"/>
      <c r="I106" s="224"/>
      <c r="J106" s="224"/>
      <c r="K106" s="229"/>
      <c r="L106" s="232"/>
      <c r="M106" s="230"/>
      <c r="N106" s="237"/>
      <c r="O106" s="237"/>
      <c r="P106" s="237"/>
      <c r="Q106" s="237"/>
      <c r="R106" s="237"/>
      <c r="S106" s="238"/>
      <c r="T106" s="239"/>
      <c r="U106" s="240"/>
    </row>
    <row r="107" spans="1:21" ht="15.75" customHeight="1">
      <c r="A107" s="300">
        <v>95</v>
      </c>
      <c r="B107" s="263">
        <v>2000</v>
      </c>
      <c r="C107" s="368"/>
      <c r="D107" s="262"/>
      <c r="E107" s="281" t="s">
        <v>367</v>
      </c>
      <c r="F107" s="383"/>
      <c r="G107" s="231"/>
      <c r="H107" s="224"/>
      <c r="I107" s="224"/>
      <c r="J107" s="224"/>
      <c r="K107" s="224"/>
      <c r="L107" s="232"/>
      <c r="M107" s="230"/>
      <c r="N107" s="237"/>
      <c r="O107" s="237"/>
      <c r="P107" s="237"/>
      <c r="Q107" s="237"/>
      <c r="R107" s="237"/>
      <c r="S107" s="238"/>
      <c r="T107" s="239"/>
      <c r="U107" s="240"/>
    </row>
    <row r="108" spans="1:21" ht="15.75" customHeight="1">
      <c r="A108" s="300">
        <v>95</v>
      </c>
      <c r="B108" s="263">
        <v>2000</v>
      </c>
      <c r="C108" s="368"/>
      <c r="D108" s="262"/>
      <c r="E108" s="281" t="s">
        <v>371</v>
      </c>
      <c r="F108" s="383"/>
      <c r="G108" s="231"/>
      <c r="H108" s="224"/>
      <c r="I108" s="224"/>
      <c r="J108" s="224"/>
      <c r="K108" s="224"/>
      <c r="L108" s="232"/>
      <c r="M108" s="230"/>
      <c r="N108" s="237"/>
      <c r="O108" s="237"/>
      <c r="P108" s="237"/>
      <c r="Q108" s="237"/>
      <c r="R108" s="237"/>
      <c r="S108" s="238"/>
      <c r="T108" s="239"/>
      <c r="U108" s="240"/>
    </row>
    <row r="109" spans="1:21" ht="15.75" customHeight="1">
      <c r="A109" s="300">
        <v>98</v>
      </c>
      <c r="B109" s="263">
        <v>2000</v>
      </c>
      <c r="C109" s="368"/>
      <c r="D109" s="262"/>
      <c r="E109" s="281" t="s">
        <v>2144</v>
      </c>
      <c r="F109" s="384"/>
      <c r="G109" s="231"/>
      <c r="H109" s="224"/>
      <c r="I109" s="224"/>
      <c r="J109" s="224"/>
      <c r="K109" s="224"/>
      <c r="L109" s="232"/>
      <c r="M109" s="230"/>
      <c r="N109" s="237"/>
      <c r="O109" s="237"/>
      <c r="P109" s="237"/>
      <c r="Q109" s="237"/>
      <c r="R109" s="237"/>
      <c r="S109" s="238"/>
      <c r="T109" s="239"/>
      <c r="U109" s="240"/>
    </row>
    <row r="110" spans="1:21" ht="15.75" customHeight="1">
      <c r="A110" s="300">
        <v>100</v>
      </c>
      <c r="B110" s="263">
        <v>2000</v>
      </c>
      <c r="C110" s="369" t="s">
        <v>2675</v>
      </c>
      <c r="D110" s="266" t="s">
        <v>2145</v>
      </c>
      <c r="E110" s="260" t="s">
        <v>2146</v>
      </c>
      <c r="F110" s="388">
        <v>2025</v>
      </c>
      <c r="G110" s="231"/>
      <c r="H110" s="231"/>
      <c r="I110" s="229"/>
      <c r="J110" s="229"/>
      <c r="K110" s="229"/>
      <c r="L110" s="232"/>
      <c r="M110" s="230"/>
      <c r="N110" s="237"/>
      <c r="O110" s="237"/>
      <c r="P110" s="237"/>
      <c r="Q110" s="237"/>
      <c r="R110" s="237"/>
      <c r="S110" s="238"/>
      <c r="T110" s="239"/>
      <c r="U110" s="240"/>
    </row>
    <row r="111" spans="1:21" ht="15.75" customHeight="1">
      <c r="A111" s="300">
        <v>101</v>
      </c>
      <c r="B111" s="263">
        <v>2000</v>
      </c>
      <c r="C111" s="369"/>
      <c r="D111" s="262"/>
      <c r="E111" s="260" t="s">
        <v>2147</v>
      </c>
      <c r="F111" s="389"/>
      <c r="G111" s="231"/>
      <c r="H111" s="231"/>
      <c r="I111" s="224"/>
      <c r="J111" s="224"/>
      <c r="K111" s="224"/>
      <c r="L111" s="232"/>
      <c r="M111" s="230"/>
      <c r="N111" s="237"/>
      <c r="O111" s="237"/>
      <c r="P111" s="237"/>
      <c r="Q111" s="237"/>
      <c r="R111" s="237"/>
      <c r="S111" s="238"/>
      <c r="T111" s="239"/>
      <c r="U111" s="240"/>
    </row>
    <row r="112" spans="1:21" ht="15.75" customHeight="1">
      <c r="A112" s="300">
        <v>102</v>
      </c>
      <c r="B112" s="263">
        <v>2000</v>
      </c>
      <c r="C112" s="369"/>
      <c r="D112" s="262"/>
      <c r="E112" s="260" t="s">
        <v>2148</v>
      </c>
      <c r="F112" s="390"/>
      <c r="G112" s="231"/>
      <c r="H112" s="231"/>
      <c r="I112" s="224"/>
      <c r="J112" s="224"/>
      <c r="K112" s="224"/>
      <c r="L112" s="232"/>
      <c r="M112" s="230"/>
      <c r="N112" s="237"/>
      <c r="O112" s="237"/>
      <c r="P112" s="237"/>
      <c r="Q112" s="237"/>
      <c r="R112" s="237"/>
      <c r="S112" s="238"/>
      <c r="T112" s="239"/>
      <c r="U112" s="240"/>
    </row>
    <row r="113" spans="1:21" ht="15" customHeight="1">
      <c r="A113" s="300">
        <v>103</v>
      </c>
      <c r="B113" s="263">
        <v>2000</v>
      </c>
      <c r="C113" s="369"/>
      <c r="D113" s="265" t="s">
        <v>386</v>
      </c>
      <c r="E113" s="260" t="s">
        <v>389</v>
      </c>
      <c r="F113" s="388" t="s">
        <v>2724</v>
      </c>
      <c r="G113" s="231"/>
      <c r="H113" s="229"/>
      <c r="I113" s="229"/>
      <c r="J113" s="229"/>
      <c r="K113" s="229"/>
      <c r="L113" s="232"/>
      <c r="M113" s="230"/>
      <c r="N113" s="237"/>
      <c r="O113" s="237"/>
      <c r="P113" s="237"/>
      <c r="Q113" s="237"/>
      <c r="R113" s="237"/>
      <c r="S113" s="238"/>
      <c r="T113" s="239"/>
      <c r="U113" s="240"/>
    </row>
    <row r="114" spans="1:21" ht="15.75" customHeight="1">
      <c r="A114" s="300">
        <v>104</v>
      </c>
      <c r="B114" s="263">
        <v>2000</v>
      </c>
      <c r="C114" s="369"/>
      <c r="D114" s="262"/>
      <c r="E114" s="260" t="s">
        <v>395</v>
      </c>
      <c r="F114" s="389"/>
      <c r="G114" s="231"/>
      <c r="H114" s="224"/>
      <c r="I114" s="224"/>
      <c r="J114" s="224"/>
      <c r="K114" s="224"/>
      <c r="L114" s="232"/>
      <c r="M114" s="230"/>
      <c r="N114" s="237"/>
      <c r="O114" s="237"/>
      <c r="P114" s="237"/>
      <c r="Q114" s="237"/>
      <c r="R114" s="237"/>
      <c r="S114" s="238"/>
      <c r="T114" s="239"/>
      <c r="U114" s="240"/>
    </row>
    <row r="115" spans="1:21" ht="15.75" customHeight="1">
      <c r="A115" s="300">
        <v>105</v>
      </c>
      <c r="B115" s="263">
        <v>2000</v>
      </c>
      <c r="C115" s="369"/>
      <c r="D115" s="262"/>
      <c r="E115" s="260" t="s">
        <v>399</v>
      </c>
      <c r="F115" s="389"/>
      <c r="G115" s="231"/>
      <c r="H115" s="224"/>
      <c r="I115" s="224"/>
      <c r="J115" s="224"/>
      <c r="K115" s="224"/>
      <c r="L115" s="232"/>
      <c r="M115" s="230"/>
      <c r="N115" s="237"/>
      <c r="O115" s="237"/>
      <c r="P115" s="237"/>
      <c r="Q115" s="237"/>
      <c r="R115" s="237"/>
      <c r="S115" s="238"/>
      <c r="T115" s="239"/>
      <c r="U115" s="240"/>
    </row>
    <row r="116" spans="1:21" ht="15.75" customHeight="1">
      <c r="A116" s="300">
        <v>106</v>
      </c>
      <c r="B116" s="263">
        <v>2000</v>
      </c>
      <c r="C116" s="369"/>
      <c r="D116" s="262"/>
      <c r="E116" s="260" t="s">
        <v>403</v>
      </c>
      <c r="F116" s="389"/>
      <c r="G116" s="231"/>
      <c r="H116" s="224"/>
      <c r="I116" s="224"/>
      <c r="J116" s="224"/>
      <c r="K116" s="224"/>
      <c r="L116" s="232"/>
      <c r="M116" s="230"/>
      <c r="N116" s="237"/>
      <c r="O116" s="237"/>
      <c r="P116" s="237"/>
      <c r="Q116" s="237"/>
      <c r="R116" s="237"/>
      <c r="S116" s="238"/>
      <c r="T116" s="239"/>
      <c r="U116" s="240"/>
    </row>
    <row r="117" spans="1:21" ht="15.75" customHeight="1">
      <c r="A117" s="300">
        <v>107</v>
      </c>
      <c r="B117" s="263">
        <v>2000</v>
      </c>
      <c r="C117" s="369"/>
      <c r="D117" s="262"/>
      <c r="E117" s="260" t="s">
        <v>407</v>
      </c>
      <c r="F117" s="389"/>
      <c r="G117" s="231"/>
      <c r="H117" s="224"/>
      <c r="I117" s="224"/>
      <c r="J117" s="224"/>
      <c r="K117" s="224"/>
      <c r="L117" s="232"/>
      <c r="M117" s="230"/>
      <c r="N117" s="237"/>
      <c r="O117" s="237"/>
      <c r="P117" s="237"/>
      <c r="Q117" s="237"/>
      <c r="R117" s="237"/>
      <c r="S117" s="238"/>
      <c r="T117" s="239"/>
      <c r="U117" s="240"/>
    </row>
    <row r="118" spans="1:21" ht="15.75" customHeight="1">
      <c r="A118" s="300">
        <v>108</v>
      </c>
      <c r="B118" s="263">
        <v>2000</v>
      </c>
      <c r="C118" s="369"/>
      <c r="D118" s="262"/>
      <c r="E118" s="260" t="s">
        <v>411</v>
      </c>
      <c r="F118" s="389"/>
      <c r="G118" s="231"/>
      <c r="H118" s="224"/>
      <c r="I118" s="224"/>
      <c r="J118" s="224"/>
      <c r="K118" s="224"/>
      <c r="L118" s="232"/>
      <c r="M118" s="230"/>
      <c r="N118" s="237"/>
      <c r="O118" s="237"/>
      <c r="P118" s="237"/>
      <c r="Q118" s="237"/>
      <c r="R118" s="237"/>
      <c r="S118" s="238"/>
      <c r="T118" s="239"/>
      <c r="U118" s="240"/>
    </row>
    <row r="119" spans="1:21" ht="15.75" customHeight="1">
      <c r="A119" s="300">
        <v>109</v>
      </c>
      <c r="B119" s="263">
        <v>2000</v>
      </c>
      <c r="C119" s="369"/>
      <c r="D119" s="262"/>
      <c r="E119" s="260" t="s">
        <v>415</v>
      </c>
      <c r="F119" s="389"/>
      <c r="G119" s="231"/>
      <c r="H119" s="224"/>
      <c r="I119" s="224"/>
      <c r="J119" s="224"/>
      <c r="K119" s="224"/>
      <c r="L119" s="232"/>
      <c r="M119" s="230"/>
      <c r="N119" s="237"/>
      <c r="O119" s="237"/>
      <c r="P119" s="237"/>
      <c r="Q119" s="237"/>
      <c r="R119" s="237"/>
      <c r="S119" s="238"/>
      <c r="T119" s="239"/>
      <c r="U119" s="240"/>
    </row>
    <row r="120" spans="1:21" ht="15.75" customHeight="1">
      <c r="A120" s="300">
        <v>110</v>
      </c>
      <c r="B120" s="263">
        <v>2000</v>
      </c>
      <c r="C120" s="369"/>
      <c r="D120" s="262"/>
      <c r="E120" s="260" t="s">
        <v>419</v>
      </c>
      <c r="F120" s="389"/>
      <c r="G120" s="231"/>
      <c r="H120" s="224"/>
      <c r="I120" s="224"/>
      <c r="J120" s="224"/>
      <c r="K120" s="224"/>
      <c r="L120" s="232"/>
      <c r="M120" s="230"/>
      <c r="N120" s="237"/>
      <c r="O120" s="237"/>
      <c r="P120" s="237"/>
      <c r="Q120" s="237"/>
      <c r="R120" s="237"/>
      <c r="S120" s="238"/>
      <c r="T120" s="239"/>
      <c r="U120" s="240"/>
    </row>
    <row r="121" spans="1:21" ht="15" hidden="1" customHeight="1">
      <c r="A121" s="300">
        <v>111</v>
      </c>
      <c r="B121" s="263">
        <v>2000</v>
      </c>
      <c r="C121" s="369"/>
      <c r="D121" s="262"/>
      <c r="E121" s="279" t="s">
        <v>2149</v>
      </c>
      <c r="F121" s="389"/>
      <c r="G121" s="231"/>
      <c r="H121" s="224"/>
      <c r="I121" s="224"/>
      <c r="J121" s="224"/>
      <c r="K121" s="224"/>
      <c r="L121" s="232"/>
      <c r="M121" s="230"/>
      <c r="N121" s="237"/>
      <c r="O121" s="237"/>
      <c r="P121" s="237"/>
      <c r="Q121" s="237"/>
      <c r="R121" s="237"/>
      <c r="S121" s="238"/>
      <c r="T121" s="239"/>
      <c r="U121" s="240"/>
    </row>
    <row r="122" spans="1:21" ht="15.75" customHeight="1">
      <c r="A122" s="300">
        <v>112</v>
      </c>
      <c r="B122" s="263">
        <v>2000</v>
      </c>
      <c r="C122" s="369"/>
      <c r="D122" s="262"/>
      <c r="E122" s="260" t="s">
        <v>2150</v>
      </c>
      <c r="F122" s="390"/>
      <c r="G122" s="231"/>
      <c r="H122" s="224"/>
      <c r="I122" s="224"/>
      <c r="J122" s="224"/>
      <c r="K122" s="224"/>
      <c r="L122" s="232"/>
      <c r="M122" s="230"/>
      <c r="N122" s="237"/>
      <c r="O122" s="237"/>
      <c r="P122" s="237"/>
      <c r="Q122" s="237"/>
      <c r="R122" s="237"/>
      <c r="S122" s="238"/>
      <c r="T122" s="239"/>
      <c r="U122" s="240"/>
    </row>
    <row r="123" spans="1:21" ht="15.75" customHeight="1">
      <c r="A123" s="300">
        <v>113</v>
      </c>
      <c r="B123" s="263">
        <v>2000</v>
      </c>
      <c r="C123" s="369"/>
      <c r="D123" s="265"/>
      <c r="E123" s="282" t="s">
        <v>2151</v>
      </c>
      <c r="F123" s="388">
        <v>2004</v>
      </c>
      <c r="G123" s="250"/>
      <c r="H123" s="229"/>
      <c r="I123" s="224"/>
      <c r="J123" s="224"/>
      <c r="K123" s="229"/>
      <c r="L123" s="232"/>
      <c r="M123" s="230"/>
      <c r="N123" s="237"/>
      <c r="O123" s="237"/>
      <c r="P123" s="237"/>
      <c r="Q123" s="237"/>
      <c r="R123" s="237"/>
      <c r="S123" s="238"/>
      <c r="T123" s="239"/>
      <c r="U123" s="240"/>
    </row>
    <row r="124" spans="1:21" ht="15.75" customHeight="1">
      <c r="A124" s="300">
        <v>114</v>
      </c>
      <c r="B124" s="263">
        <v>2000</v>
      </c>
      <c r="C124" s="369"/>
      <c r="D124" s="266" t="s">
        <v>356</v>
      </c>
      <c r="E124" s="260" t="s">
        <v>422</v>
      </c>
      <c r="F124" s="389"/>
      <c r="G124" s="231"/>
      <c r="H124" s="224"/>
      <c r="I124" s="224"/>
      <c r="J124" s="224"/>
      <c r="K124" s="224"/>
      <c r="L124" s="232"/>
      <c r="M124" s="230"/>
      <c r="N124" s="237"/>
      <c r="O124" s="237"/>
      <c r="P124" s="237"/>
      <c r="Q124" s="237"/>
      <c r="R124" s="237"/>
      <c r="S124" s="238"/>
      <c r="T124" s="239"/>
      <c r="U124" s="240"/>
    </row>
    <row r="125" spans="1:21" ht="15.75" customHeight="1">
      <c r="A125" s="300">
        <v>115</v>
      </c>
      <c r="B125" s="263">
        <v>2000</v>
      </c>
      <c r="C125" s="369"/>
      <c r="D125" s="266"/>
      <c r="E125" s="260" t="s">
        <v>434</v>
      </c>
      <c r="F125" s="389"/>
      <c r="G125" s="231"/>
      <c r="H125" s="224"/>
      <c r="I125" s="224"/>
      <c r="J125" s="224"/>
      <c r="K125" s="224"/>
      <c r="L125" s="232"/>
      <c r="M125" s="230"/>
      <c r="N125" s="237"/>
      <c r="O125" s="237"/>
      <c r="P125" s="237"/>
      <c r="Q125" s="237"/>
      <c r="R125" s="237"/>
      <c r="S125" s="238"/>
      <c r="T125" s="239"/>
      <c r="U125" s="240"/>
    </row>
    <row r="126" spans="1:21" ht="15.75" customHeight="1">
      <c r="A126" s="300">
        <v>116</v>
      </c>
      <c r="B126" s="263">
        <v>2000</v>
      </c>
      <c r="C126" s="369"/>
      <c r="D126" s="266"/>
      <c r="E126" s="282" t="s">
        <v>2152</v>
      </c>
      <c r="F126" s="389"/>
      <c r="G126" s="250"/>
      <c r="H126" s="224"/>
      <c r="I126" s="224"/>
      <c r="J126" s="224"/>
      <c r="K126" s="224"/>
      <c r="L126" s="232"/>
      <c r="M126" s="230"/>
      <c r="N126" s="237"/>
      <c r="O126" s="237"/>
      <c r="P126" s="237"/>
      <c r="Q126" s="237"/>
      <c r="R126" s="237"/>
      <c r="S126" s="238"/>
      <c r="T126" s="239"/>
      <c r="U126" s="240"/>
    </row>
    <row r="127" spans="1:21" ht="15.75" customHeight="1">
      <c r="A127" s="300">
        <v>117</v>
      </c>
      <c r="B127" s="263">
        <v>2000</v>
      </c>
      <c r="C127" s="369"/>
      <c r="D127" s="266"/>
      <c r="E127" s="260" t="s">
        <v>426</v>
      </c>
      <c r="F127" s="389"/>
      <c r="G127" s="231"/>
      <c r="H127" s="224"/>
      <c r="I127" s="224"/>
      <c r="J127" s="224"/>
      <c r="K127" s="224"/>
      <c r="L127" s="232"/>
      <c r="M127" s="230"/>
      <c r="N127" s="237"/>
      <c r="O127" s="237"/>
      <c r="P127" s="237"/>
      <c r="Q127" s="237"/>
      <c r="R127" s="237"/>
      <c r="S127" s="238"/>
      <c r="T127" s="239"/>
      <c r="U127" s="240"/>
    </row>
    <row r="128" spans="1:21" ht="15.75" customHeight="1">
      <c r="A128" s="300">
        <v>118</v>
      </c>
      <c r="B128" s="263">
        <v>2000</v>
      </c>
      <c r="C128" s="369"/>
      <c r="D128" s="266"/>
      <c r="E128" s="260" t="s">
        <v>442</v>
      </c>
      <c r="F128" s="321" t="s">
        <v>2725</v>
      </c>
      <c r="G128" s="231"/>
      <c r="H128" s="224"/>
      <c r="I128" s="224"/>
      <c r="J128" s="224"/>
      <c r="K128" s="224"/>
      <c r="L128" s="232"/>
      <c r="M128" s="230"/>
      <c r="N128" s="237"/>
      <c r="O128" s="237"/>
      <c r="P128" s="237"/>
      <c r="Q128" s="237"/>
      <c r="R128" s="237"/>
      <c r="S128" s="238"/>
      <c r="T128" s="239"/>
      <c r="U128" s="240"/>
    </row>
    <row r="129" spans="1:21" ht="15.75" customHeight="1">
      <c r="A129" s="300">
        <v>119</v>
      </c>
      <c r="B129" s="263">
        <v>2000</v>
      </c>
      <c r="C129" s="369"/>
      <c r="D129" s="266"/>
      <c r="E129" s="260" t="s">
        <v>430</v>
      </c>
      <c r="F129" s="389">
        <v>2004</v>
      </c>
      <c r="G129" s="231"/>
      <c r="H129" s="224"/>
      <c r="I129" s="224"/>
      <c r="J129" s="224"/>
      <c r="K129" s="224"/>
      <c r="L129" s="232"/>
      <c r="M129" s="230"/>
      <c r="N129" s="237"/>
      <c r="O129" s="237"/>
      <c r="P129" s="237"/>
      <c r="Q129" s="237"/>
      <c r="R129" s="237"/>
      <c r="S129" s="238"/>
      <c r="T129" s="239"/>
      <c r="U129" s="240"/>
    </row>
    <row r="130" spans="1:21" ht="15.75" customHeight="1">
      <c r="A130" s="300">
        <v>120</v>
      </c>
      <c r="B130" s="263">
        <v>2000</v>
      </c>
      <c r="C130" s="369"/>
      <c r="D130" s="266"/>
      <c r="E130" s="282" t="s">
        <v>2153</v>
      </c>
      <c r="F130" s="389"/>
      <c r="G130" s="250"/>
      <c r="H130" s="224"/>
      <c r="I130" s="224"/>
      <c r="J130" s="224"/>
      <c r="K130" s="224"/>
      <c r="L130" s="232"/>
      <c r="M130" s="230"/>
      <c r="N130" s="237"/>
      <c r="O130" s="237"/>
      <c r="P130" s="237"/>
      <c r="Q130" s="237"/>
      <c r="R130" s="237"/>
      <c r="S130" s="238"/>
      <c r="T130" s="239"/>
      <c r="U130" s="240"/>
    </row>
    <row r="131" spans="1:21" ht="15.75" customHeight="1">
      <c r="A131" s="300">
        <v>121</v>
      </c>
      <c r="B131" s="263">
        <v>2000</v>
      </c>
      <c r="C131" s="369"/>
      <c r="D131" s="266"/>
      <c r="E131" s="260" t="s">
        <v>437</v>
      </c>
      <c r="F131" s="389"/>
      <c r="G131" s="231"/>
      <c r="H131" s="224"/>
      <c r="I131" s="224"/>
      <c r="J131" s="224"/>
      <c r="K131" s="224"/>
      <c r="L131" s="232"/>
      <c r="M131" s="230"/>
      <c r="N131" s="237"/>
      <c r="O131" s="237"/>
      <c r="P131" s="237"/>
      <c r="Q131" s="237"/>
      <c r="R131" s="237"/>
      <c r="S131" s="238"/>
      <c r="T131" s="239"/>
      <c r="U131" s="240"/>
    </row>
    <row r="132" spans="1:21" ht="15.75" customHeight="1">
      <c r="A132" s="300">
        <v>122</v>
      </c>
      <c r="B132" s="263">
        <v>2000</v>
      </c>
      <c r="C132" s="369"/>
      <c r="D132" s="266"/>
      <c r="E132" s="260" t="s">
        <v>448</v>
      </c>
      <c r="F132" s="321" t="s">
        <v>2726</v>
      </c>
      <c r="G132" s="231"/>
      <c r="H132" s="224"/>
      <c r="I132" s="224"/>
      <c r="J132" s="224"/>
      <c r="K132" s="224"/>
      <c r="L132" s="232"/>
      <c r="M132" s="230"/>
      <c r="N132" s="237"/>
      <c r="O132" s="237"/>
      <c r="P132" s="237"/>
      <c r="Q132" s="237"/>
      <c r="R132" s="237"/>
      <c r="S132" s="238"/>
      <c r="T132" s="239"/>
      <c r="U132" s="240"/>
    </row>
    <row r="133" spans="1:21" ht="15.75" customHeight="1">
      <c r="A133" s="300">
        <v>123</v>
      </c>
      <c r="B133" s="263">
        <v>2000</v>
      </c>
      <c r="C133" s="369"/>
      <c r="D133" s="266"/>
      <c r="E133" s="260" t="s">
        <v>441</v>
      </c>
      <c r="F133" s="389">
        <v>2004</v>
      </c>
      <c r="G133" s="231"/>
      <c r="H133" s="224"/>
      <c r="I133" s="224"/>
      <c r="J133" s="224"/>
      <c r="K133" s="224"/>
      <c r="L133" s="232"/>
      <c r="M133" s="230"/>
      <c r="N133" s="237"/>
      <c r="O133" s="237"/>
      <c r="P133" s="237"/>
      <c r="Q133" s="237"/>
      <c r="R133" s="237"/>
      <c r="S133" s="238"/>
      <c r="T133" s="239"/>
      <c r="U133" s="240"/>
    </row>
    <row r="134" spans="1:21" ht="15.75" customHeight="1">
      <c r="A134" s="300">
        <v>124</v>
      </c>
      <c r="B134" s="263">
        <v>2000</v>
      </c>
      <c r="C134" s="369"/>
      <c r="D134" s="266"/>
      <c r="E134" s="260" t="s">
        <v>444</v>
      </c>
      <c r="F134" s="389"/>
      <c r="G134" s="231"/>
      <c r="H134" s="224"/>
      <c r="I134" s="224"/>
      <c r="J134" s="224"/>
      <c r="K134" s="224"/>
      <c r="L134" s="232"/>
      <c r="M134" s="230"/>
      <c r="N134" s="237"/>
      <c r="O134" s="237"/>
      <c r="P134" s="237"/>
      <c r="Q134" s="237"/>
      <c r="R134" s="237"/>
      <c r="S134" s="238"/>
      <c r="T134" s="239"/>
      <c r="U134" s="240"/>
    </row>
    <row r="135" spans="1:21" ht="15.75" customHeight="1">
      <c r="A135" s="300">
        <v>125</v>
      </c>
      <c r="B135" s="263">
        <v>2000</v>
      </c>
      <c r="C135" s="369"/>
      <c r="D135" s="266"/>
      <c r="E135" s="260" t="s">
        <v>446</v>
      </c>
      <c r="F135" s="390"/>
      <c r="G135" s="231"/>
      <c r="H135" s="224"/>
      <c r="I135" s="224"/>
      <c r="J135" s="224"/>
      <c r="K135" s="224"/>
      <c r="L135" s="232"/>
      <c r="M135" s="230"/>
      <c r="N135" s="237"/>
      <c r="O135" s="237"/>
      <c r="P135" s="237"/>
      <c r="Q135" s="237"/>
      <c r="R135" s="237"/>
      <c r="S135" s="238"/>
      <c r="T135" s="239"/>
      <c r="U135" s="240"/>
    </row>
    <row r="136" spans="1:21" ht="15.75" customHeight="1">
      <c r="A136" s="300">
        <v>126</v>
      </c>
      <c r="B136" s="263">
        <v>2000</v>
      </c>
      <c r="C136" s="369" t="s">
        <v>2676</v>
      </c>
      <c r="D136" s="266" t="s">
        <v>1956</v>
      </c>
      <c r="E136" s="260" t="s">
        <v>453</v>
      </c>
      <c r="F136" s="388">
        <v>2014</v>
      </c>
      <c r="G136" s="231"/>
      <c r="H136" s="229"/>
      <c r="I136" s="229"/>
      <c r="J136" s="229"/>
      <c r="K136" s="229"/>
      <c r="L136" s="232"/>
      <c r="M136" s="230"/>
      <c r="N136" s="237"/>
      <c r="O136" s="237"/>
      <c r="P136" s="237"/>
      <c r="Q136" s="237"/>
      <c r="R136" s="237"/>
      <c r="S136" s="238"/>
      <c r="T136" s="239"/>
      <c r="U136" s="240"/>
    </row>
    <row r="137" spans="1:21" ht="15.75" customHeight="1">
      <c r="A137" s="300">
        <v>127</v>
      </c>
      <c r="B137" s="263">
        <v>2000</v>
      </c>
      <c r="C137" s="369"/>
      <c r="D137" s="266"/>
      <c r="E137" s="260" t="s">
        <v>1958</v>
      </c>
      <c r="F137" s="389"/>
      <c r="G137" s="231"/>
      <c r="H137" s="224"/>
      <c r="I137" s="224"/>
      <c r="J137" s="224"/>
      <c r="K137" s="224"/>
      <c r="L137" s="232"/>
      <c r="M137" s="230"/>
      <c r="N137" s="237"/>
      <c r="O137" s="237"/>
      <c r="P137" s="237"/>
      <c r="Q137" s="237"/>
      <c r="R137" s="237"/>
      <c r="S137" s="238"/>
      <c r="T137" s="239"/>
      <c r="U137" s="240"/>
    </row>
    <row r="138" spans="1:21" ht="15.75" customHeight="1">
      <c r="A138" s="300">
        <v>128</v>
      </c>
      <c r="B138" s="263">
        <v>2000</v>
      </c>
      <c r="C138" s="369"/>
      <c r="D138" s="260" t="s">
        <v>450</v>
      </c>
      <c r="E138" s="260" t="s">
        <v>457</v>
      </c>
      <c r="F138" s="390"/>
      <c r="G138" s="231"/>
      <c r="H138" s="231"/>
      <c r="I138" s="224"/>
      <c r="J138" s="224"/>
      <c r="K138" s="224"/>
      <c r="L138" s="232"/>
      <c r="M138" s="230"/>
      <c r="N138" s="237"/>
      <c r="O138" s="237"/>
      <c r="P138" s="237"/>
      <c r="Q138" s="237"/>
      <c r="R138" s="237"/>
      <c r="S138" s="238"/>
      <c r="T138" s="239"/>
      <c r="U138" s="240"/>
    </row>
    <row r="139" spans="1:21" ht="15.75" customHeight="1">
      <c r="A139" s="300">
        <v>129</v>
      </c>
      <c r="B139" s="263">
        <v>2000</v>
      </c>
      <c r="C139" s="368" t="s">
        <v>2677</v>
      </c>
      <c r="D139" s="266" t="s">
        <v>489</v>
      </c>
      <c r="E139" s="260" t="s">
        <v>492</v>
      </c>
      <c r="F139" s="388">
        <v>2009</v>
      </c>
      <c r="G139" s="231"/>
      <c r="H139" s="229"/>
      <c r="I139" s="229"/>
      <c r="J139" s="229"/>
      <c r="K139" s="229"/>
      <c r="L139" s="232"/>
      <c r="M139" s="230"/>
      <c r="N139" s="237"/>
      <c r="O139" s="237"/>
      <c r="P139" s="237"/>
      <c r="Q139" s="237"/>
      <c r="R139" s="237"/>
      <c r="S139" s="238"/>
      <c r="T139" s="239"/>
      <c r="U139" s="240"/>
    </row>
    <row r="140" spans="1:21" ht="15.75" customHeight="1">
      <c r="A140" s="300">
        <v>130</v>
      </c>
      <c r="B140" s="263">
        <v>2000</v>
      </c>
      <c r="C140" s="368"/>
      <c r="D140" s="266"/>
      <c r="E140" s="260" t="s">
        <v>498</v>
      </c>
      <c r="F140" s="389"/>
      <c r="G140" s="231"/>
      <c r="H140" s="224"/>
      <c r="I140" s="224"/>
      <c r="J140" s="224"/>
      <c r="K140" s="224"/>
      <c r="L140" s="232"/>
      <c r="M140" s="230"/>
      <c r="N140" s="237"/>
      <c r="O140" s="237"/>
      <c r="P140" s="237"/>
      <c r="Q140" s="237"/>
      <c r="R140" s="237"/>
      <c r="S140" s="238"/>
      <c r="T140" s="239"/>
      <c r="U140" s="240"/>
    </row>
    <row r="141" spans="1:21" ht="15.75" customHeight="1">
      <c r="A141" s="300">
        <v>131</v>
      </c>
      <c r="B141" s="263">
        <v>2000</v>
      </c>
      <c r="C141" s="368"/>
      <c r="D141" s="266"/>
      <c r="E141" s="260" t="s">
        <v>502</v>
      </c>
      <c r="F141" s="389"/>
      <c r="G141" s="231"/>
      <c r="H141" s="224"/>
      <c r="I141" s="224"/>
      <c r="J141" s="224"/>
      <c r="K141" s="224"/>
      <c r="L141" s="232"/>
      <c r="M141" s="230"/>
      <c r="N141" s="237"/>
      <c r="O141" s="237"/>
      <c r="P141" s="237"/>
      <c r="Q141" s="237"/>
      <c r="R141" s="237"/>
      <c r="S141" s="238"/>
      <c r="T141" s="239"/>
      <c r="U141" s="240"/>
    </row>
    <row r="142" spans="1:21" ht="15.75" customHeight="1">
      <c r="A142" s="300">
        <v>132</v>
      </c>
      <c r="B142" s="263">
        <v>2000</v>
      </c>
      <c r="C142" s="368"/>
      <c r="D142" s="266"/>
      <c r="E142" s="260" t="s">
        <v>506</v>
      </c>
      <c r="F142" s="389"/>
      <c r="G142" s="231"/>
      <c r="H142" s="224"/>
      <c r="I142" s="224"/>
      <c r="J142" s="224"/>
      <c r="K142" s="224"/>
      <c r="L142" s="232"/>
      <c r="M142" s="230"/>
      <c r="N142" s="237"/>
      <c r="O142" s="237"/>
      <c r="P142" s="237"/>
      <c r="Q142" s="237"/>
      <c r="R142" s="237"/>
      <c r="S142" s="238"/>
      <c r="T142" s="239"/>
      <c r="U142" s="240"/>
    </row>
    <row r="143" spans="1:21" ht="15.75" customHeight="1">
      <c r="A143" s="300">
        <v>133</v>
      </c>
      <c r="B143" s="263">
        <v>2000</v>
      </c>
      <c r="C143" s="368"/>
      <c r="D143" s="266"/>
      <c r="E143" s="260" t="s">
        <v>510</v>
      </c>
      <c r="F143" s="389"/>
      <c r="G143" s="231"/>
      <c r="H143" s="224"/>
      <c r="I143" s="224"/>
      <c r="J143" s="224"/>
      <c r="K143" s="224"/>
      <c r="L143" s="232"/>
      <c r="M143" s="230"/>
      <c r="N143" s="237"/>
      <c r="O143" s="237"/>
      <c r="P143" s="237"/>
      <c r="Q143" s="237"/>
      <c r="R143" s="237"/>
      <c r="S143" s="238"/>
      <c r="T143" s="239"/>
      <c r="U143" s="240"/>
    </row>
    <row r="144" spans="1:21" ht="15.75" customHeight="1">
      <c r="A144" s="300">
        <v>134</v>
      </c>
      <c r="B144" s="263">
        <v>2000</v>
      </c>
      <c r="C144" s="368"/>
      <c r="D144" s="266"/>
      <c r="E144" s="260" t="s">
        <v>514</v>
      </c>
      <c r="F144" s="389"/>
      <c r="G144" s="231"/>
      <c r="H144" s="224"/>
      <c r="I144" s="224"/>
      <c r="J144" s="224"/>
      <c r="K144" s="224"/>
      <c r="L144" s="232"/>
      <c r="M144" s="230"/>
      <c r="N144" s="237"/>
      <c r="O144" s="237"/>
      <c r="P144" s="237"/>
      <c r="Q144" s="237"/>
      <c r="R144" s="237"/>
      <c r="S144" s="238"/>
      <c r="T144" s="239"/>
      <c r="U144" s="240"/>
    </row>
    <row r="145" spans="1:25" ht="15.75" customHeight="1">
      <c r="A145" s="300">
        <v>135</v>
      </c>
      <c r="B145" s="263">
        <v>2000</v>
      </c>
      <c r="C145" s="368"/>
      <c r="D145" s="266"/>
      <c r="E145" s="260" t="s">
        <v>518</v>
      </c>
      <c r="F145" s="389"/>
      <c r="G145" s="231"/>
      <c r="H145" s="224"/>
      <c r="I145" s="224"/>
      <c r="J145" s="224"/>
      <c r="K145" s="224"/>
      <c r="L145" s="232"/>
      <c r="M145" s="230"/>
      <c r="N145" s="237"/>
      <c r="O145" s="237"/>
      <c r="P145" s="237"/>
      <c r="Q145" s="237"/>
      <c r="R145" s="237"/>
      <c r="S145" s="238"/>
      <c r="T145" s="239"/>
      <c r="U145" s="240"/>
    </row>
    <row r="146" spans="1:25" ht="15.75" customHeight="1">
      <c r="A146" s="300">
        <v>136</v>
      </c>
      <c r="B146" s="263">
        <v>2000</v>
      </c>
      <c r="C146" s="368"/>
      <c r="D146" s="266"/>
      <c r="E146" s="260" t="s">
        <v>522</v>
      </c>
      <c r="F146" s="390"/>
      <c r="G146" s="231"/>
      <c r="H146" s="224"/>
      <c r="I146" s="224"/>
      <c r="J146" s="224"/>
      <c r="K146" s="224"/>
      <c r="L146" s="232"/>
      <c r="M146" s="230"/>
      <c r="N146" s="237"/>
      <c r="O146" s="237"/>
      <c r="P146" s="237"/>
      <c r="Q146" s="237"/>
      <c r="R146" s="237"/>
      <c r="S146" s="238"/>
      <c r="T146" s="239"/>
      <c r="U146" s="240"/>
    </row>
    <row r="147" spans="1:25" ht="15.75" customHeight="1">
      <c r="A147" s="300">
        <v>137</v>
      </c>
      <c r="B147" s="263">
        <v>2000</v>
      </c>
      <c r="C147" s="368"/>
      <c r="D147" s="266" t="s">
        <v>524</v>
      </c>
      <c r="E147" s="260" t="s">
        <v>527</v>
      </c>
      <c r="F147" s="388">
        <v>2010</v>
      </c>
      <c r="G147" s="231"/>
      <c r="H147" s="229"/>
      <c r="I147" s="224"/>
      <c r="J147" s="224"/>
      <c r="K147" s="229"/>
      <c r="L147" s="232"/>
      <c r="M147" s="230"/>
      <c r="N147" s="237"/>
      <c r="O147" s="237"/>
      <c r="P147" s="237"/>
      <c r="Q147" s="237"/>
      <c r="R147" s="237"/>
      <c r="S147" s="238"/>
      <c r="T147" s="239"/>
      <c r="U147" s="240"/>
    </row>
    <row r="148" spans="1:25" ht="15.75" customHeight="1">
      <c r="A148" s="300">
        <v>138</v>
      </c>
      <c r="B148" s="263">
        <v>2000</v>
      </c>
      <c r="C148" s="368"/>
      <c r="D148" s="266"/>
      <c r="E148" s="260" t="s">
        <v>532</v>
      </c>
      <c r="F148" s="389"/>
      <c r="G148" s="231"/>
      <c r="H148" s="224"/>
      <c r="I148" s="224"/>
      <c r="J148" s="224"/>
      <c r="K148" s="224"/>
      <c r="L148" s="232"/>
      <c r="M148" s="230"/>
      <c r="N148" s="237"/>
      <c r="O148" s="237"/>
      <c r="P148" s="237"/>
      <c r="Q148" s="237"/>
      <c r="R148" s="237"/>
      <c r="S148" s="238"/>
      <c r="T148" s="239"/>
      <c r="U148" s="240"/>
    </row>
    <row r="149" spans="1:25" ht="15.75" customHeight="1">
      <c r="A149" s="300">
        <v>139</v>
      </c>
      <c r="B149" s="263">
        <v>2000</v>
      </c>
      <c r="C149" s="368"/>
      <c r="D149" s="266"/>
      <c r="E149" s="260" t="s">
        <v>536</v>
      </c>
      <c r="F149" s="389"/>
      <c r="G149" s="231"/>
      <c r="H149" s="224"/>
      <c r="I149" s="224"/>
      <c r="J149" s="224"/>
      <c r="K149" s="224"/>
      <c r="L149" s="232"/>
      <c r="M149" s="230"/>
      <c r="N149" s="237"/>
      <c r="O149" s="237"/>
      <c r="P149" s="237"/>
      <c r="Q149" s="237"/>
      <c r="R149" s="237"/>
      <c r="S149" s="238"/>
      <c r="T149" s="239"/>
      <c r="U149" s="240"/>
    </row>
    <row r="150" spans="1:25" ht="15.75" customHeight="1">
      <c r="A150" s="300">
        <v>140</v>
      </c>
      <c r="B150" s="263">
        <v>2000</v>
      </c>
      <c r="C150" s="368"/>
      <c r="D150" s="266"/>
      <c r="E150" s="260" t="s">
        <v>544</v>
      </c>
      <c r="F150" s="389"/>
      <c r="G150" s="231"/>
      <c r="H150" s="224"/>
      <c r="I150" s="224"/>
      <c r="J150" s="224"/>
      <c r="K150" s="224"/>
      <c r="L150" s="232"/>
      <c r="M150" s="230"/>
      <c r="N150" s="237"/>
      <c r="O150" s="237"/>
      <c r="P150" s="237"/>
      <c r="Q150" s="237"/>
      <c r="R150" s="237"/>
      <c r="S150" s="238"/>
      <c r="T150" s="239"/>
      <c r="U150" s="240"/>
    </row>
    <row r="151" spans="1:25" ht="15.75" customHeight="1">
      <c r="A151" s="300">
        <v>141</v>
      </c>
      <c r="B151" s="263">
        <v>2000</v>
      </c>
      <c r="C151" s="368"/>
      <c r="D151" s="266"/>
      <c r="E151" s="282" t="s">
        <v>2154</v>
      </c>
      <c r="F151" s="389"/>
      <c r="G151" s="250"/>
      <c r="H151" s="224"/>
      <c r="I151" s="224"/>
      <c r="J151" s="224"/>
      <c r="K151" s="224"/>
      <c r="L151" s="232"/>
      <c r="M151" s="230"/>
      <c r="N151" s="237"/>
      <c r="O151" s="237"/>
      <c r="P151" s="237"/>
      <c r="Q151" s="237"/>
      <c r="R151" s="237"/>
      <c r="S151" s="238"/>
      <c r="T151" s="239"/>
      <c r="U151" s="240"/>
    </row>
    <row r="152" spans="1:25" ht="15.75" customHeight="1">
      <c r="A152" s="300">
        <v>142</v>
      </c>
      <c r="B152" s="263">
        <v>2000</v>
      </c>
      <c r="C152" s="368"/>
      <c r="D152" s="266"/>
      <c r="E152" s="260" t="s">
        <v>540</v>
      </c>
      <c r="F152" s="389"/>
      <c r="G152" s="231"/>
      <c r="H152" s="224"/>
      <c r="I152" s="224"/>
      <c r="J152" s="224"/>
      <c r="K152" s="224"/>
      <c r="L152" s="232"/>
      <c r="M152" s="230"/>
      <c r="N152" s="237"/>
      <c r="O152" s="237"/>
      <c r="P152" s="237"/>
      <c r="Q152" s="237"/>
      <c r="R152" s="237"/>
      <c r="S152" s="238"/>
      <c r="T152" s="239"/>
      <c r="U152" s="240"/>
    </row>
    <row r="153" spans="1:25" ht="15.75" customHeight="1">
      <c r="A153" s="300">
        <v>143</v>
      </c>
      <c r="B153" s="263">
        <v>2000</v>
      </c>
      <c r="C153" s="368"/>
      <c r="D153" s="266"/>
      <c r="E153" s="260" t="s">
        <v>548</v>
      </c>
      <c r="F153" s="389"/>
      <c r="G153" s="231"/>
      <c r="H153" s="224"/>
      <c r="I153" s="224"/>
      <c r="J153" s="224"/>
      <c r="K153" s="224"/>
      <c r="L153" s="232"/>
      <c r="M153" s="230"/>
      <c r="N153" s="237"/>
      <c r="O153" s="237"/>
      <c r="P153" s="237"/>
      <c r="Q153" s="237"/>
      <c r="R153" s="237"/>
      <c r="S153" s="238"/>
      <c r="T153" s="239"/>
      <c r="U153" s="240"/>
    </row>
    <row r="154" spans="1:25" ht="15.75" customHeight="1">
      <c r="A154" s="300">
        <v>144</v>
      </c>
      <c r="B154" s="263">
        <v>2000</v>
      </c>
      <c r="C154" s="368"/>
      <c r="D154" s="266"/>
      <c r="E154" s="260" t="s">
        <v>552</v>
      </c>
      <c r="F154" s="389"/>
      <c r="G154" s="231"/>
      <c r="H154" s="224"/>
      <c r="I154" s="224"/>
      <c r="J154" s="224"/>
      <c r="K154" s="224"/>
      <c r="L154" s="232"/>
      <c r="M154" s="230"/>
      <c r="N154" s="237"/>
      <c r="O154" s="237"/>
      <c r="P154" s="237"/>
      <c r="Q154" s="237"/>
      <c r="R154" s="237"/>
      <c r="S154" s="238"/>
      <c r="T154" s="239"/>
      <c r="U154" s="240"/>
    </row>
    <row r="155" spans="1:25" ht="15.75" customHeight="1">
      <c r="A155" s="300">
        <v>145</v>
      </c>
      <c r="B155" s="263">
        <v>2000</v>
      </c>
      <c r="C155" s="368"/>
      <c r="D155" s="266"/>
      <c r="E155" s="260" t="s">
        <v>556</v>
      </c>
      <c r="F155" s="389"/>
      <c r="G155" s="231"/>
      <c r="H155" s="224"/>
      <c r="I155" s="224"/>
      <c r="J155" s="224"/>
      <c r="K155" s="224"/>
      <c r="L155" s="232"/>
      <c r="M155" s="230"/>
      <c r="N155" s="237"/>
      <c r="O155" s="237"/>
      <c r="P155" s="237"/>
      <c r="Q155" s="237"/>
      <c r="R155" s="237"/>
      <c r="S155" s="238"/>
      <c r="T155" s="239"/>
      <c r="U155" s="240"/>
    </row>
    <row r="156" spans="1:25" ht="15.75" customHeight="1">
      <c r="A156" s="300">
        <v>146</v>
      </c>
      <c r="B156" s="263">
        <v>2000</v>
      </c>
      <c r="C156" s="368"/>
      <c r="D156" s="266"/>
      <c r="E156" s="260" t="s">
        <v>560</v>
      </c>
      <c r="F156" s="390"/>
      <c r="G156" s="231"/>
      <c r="H156" s="224"/>
      <c r="I156" s="224"/>
      <c r="J156" s="224"/>
      <c r="K156" s="224"/>
      <c r="L156" s="232"/>
      <c r="M156" s="230"/>
      <c r="N156" s="237"/>
      <c r="O156" s="237"/>
      <c r="P156" s="237"/>
      <c r="Q156" s="237"/>
      <c r="R156" s="237"/>
      <c r="S156" s="238"/>
      <c r="T156" s="239"/>
      <c r="U156" s="240"/>
      <c r="X156" s="7"/>
      <c r="Y156" s="7"/>
    </row>
    <row r="157" spans="1:25" ht="15.75" customHeight="1">
      <c r="A157" s="300">
        <v>147</v>
      </c>
      <c r="B157" s="263">
        <v>2000</v>
      </c>
      <c r="C157" s="368"/>
      <c r="D157" s="266" t="s">
        <v>566</v>
      </c>
      <c r="E157" s="283" t="s">
        <v>564</v>
      </c>
      <c r="F157" s="391">
        <v>2011</v>
      </c>
      <c r="G157" s="251"/>
      <c r="H157" s="229"/>
      <c r="I157" s="229"/>
      <c r="J157" s="229"/>
      <c r="K157" s="229"/>
      <c r="L157" s="232"/>
      <c r="M157" s="232"/>
      <c r="N157" s="237"/>
      <c r="O157" s="237"/>
      <c r="P157" s="237"/>
      <c r="Q157" s="237"/>
      <c r="R157" s="237"/>
      <c r="S157" s="238"/>
      <c r="T157" s="239"/>
      <c r="U157" s="240"/>
      <c r="X157" s="7"/>
      <c r="Y157" s="7"/>
    </row>
    <row r="158" spans="1:25" ht="15.75" customHeight="1">
      <c r="A158" s="300">
        <v>148</v>
      </c>
      <c r="B158" s="263">
        <v>2000</v>
      </c>
      <c r="C158" s="368"/>
      <c r="D158" s="266"/>
      <c r="E158" s="284" t="s">
        <v>2155</v>
      </c>
      <c r="F158" s="392"/>
      <c r="G158" s="224"/>
      <c r="H158" s="224"/>
      <c r="I158" s="224"/>
      <c r="J158" s="224"/>
      <c r="K158" s="224"/>
      <c r="L158" s="232"/>
      <c r="M158" s="232"/>
      <c r="N158" s="237"/>
      <c r="O158" s="237"/>
      <c r="P158" s="237"/>
      <c r="Q158" s="237"/>
      <c r="R158" s="237"/>
      <c r="S158" s="238"/>
      <c r="T158" s="239"/>
      <c r="U158" s="240"/>
      <c r="X158" s="7"/>
      <c r="Y158" s="7"/>
    </row>
    <row r="159" spans="1:25" ht="15.75" customHeight="1">
      <c r="A159" s="300">
        <v>149</v>
      </c>
      <c r="B159" s="263">
        <v>2000</v>
      </c>
      <c r="C159" s="368"/>
      <c r="D159" s="266"/>
      <c r="E159" s="284" t="s">
        <v>2156</v>
      </c>
      <c r="F159" s="392"/>
      <c r="G159" s="224"/>
      <c r="H159" s="224"/>
      <c r="I159" s="224"/>
      <c r="J159" s="224"/>
      <c r="K159" s="224"/>
      <c r="L159" s="232"/>
      <c r="M159" s="232"/>
      <c r="N159" s="237"/>
      <c r="O159" s="237"/>
      <c r="P159" s="237"/>
      <c r="Q159" s="237"/>
      <c r="R159" s="237"/>
      <c r="S159" s="238"/>
      <c r="T159" s="239"/>
      <c r="U159" s="240"/>
      <c r="X159" s="7"/>
      <c r="Y159" s="7"/>
    </row>
    <row r="160" spans="1:25" ht="15.75" customHeight="1">
      <c r="A160" s="300">
        <v>150</v>
      </c>
      <c r="B160" s="263">
        <v>2000</v>
      </c>
      <c r="C160" s="368"/>
      <c r="D160" s="266"/>
      <c r="E160" s="284" t="s">
        <v>2157</v>
      </c>
      <c r="F160" s="392"/>
      <c r="G160" s="224"/>
      <c r="H160" s="224"/>
      <c r="I160" s="224"/>
      <c r="J160" s="224"/>
      <c r="K160" s="224"/>
      <c r="L160" s="232"/>
      <c r="M160" s="232"/>
      <c r="N160" s="237"/>
      <c r="O160" s="237"/>
      <c r="P160" s="237"/>
      <c r="Q160" s="237"/>
      <c r="R160" s="237"/>
      <c r="S160" s="238"/>
      <c r="T160" s="239"/>
      <c r="U160" s="240"/>
      <c r="X160" s="7"/>
      <c r="Y160" s="7"/>
    </row>
    <row r="161" spans="1:26" ht="15.75" customHeight="1">
      <c r="A161" s="300">
        <v>151</v>
      </c>
      <c r="B161" s="263">
        <v>2000</v>
      </c>
      <c r="C161" s="368"/>
      <c r="D161" s="266"/>
      <c r="E161" s="284" t="s">
        <v>2158</v>
      </c>
      <c r="F161" s="392"/>
      <c r="G161" s="224"/>
      <c r="H161" s="224"/>
      <c r="I161" s="224"/>
      <c r="J161" s="224"/>
      <c r="K161" s="224"/>
      <c r="L161" s="232"/>
      <c r="M161" s="232"/>
      <c r="N161" s="237"/>
      <c r="O161" s="237"/>
      <c r="P161" s="237"/>
      <c r="Q161" s="237"/>
      <c r="R161" s="237"/>
      <c r="S161" s="238"/>
      <c r="T161" s="239"/>
      <c r="U161" s="240"/>
      <c r="X161" s="7"/>
      <c r="Y161" s="7"/>
    </row>
    <row r="162" spans="1:26" ht="15.75" customHeight="1">
      <c r="A162" s="300">
        <v>152</v>
      </c>
      <c r="B162" s="263">
        <v>2000</v>
      </c>
      <c r="C162" s="368"/>
      <c r="D162" s="266"/>
      <c r="E162" s="285" t="s">
        <v>569</v>
      </c>
      <c r="F162" s="392"/>
      <c r="G162" s="251"/>
      <c r="H162" s="229"/>
      <c r="I162" s="224"/>
      <c r="J162" s="224"/>
      <c r="K162" s="224"/>
      <c r="L162" s="232"/>
      <c r="M162" s="232"/>
      <c r="N162" s="237"/>
      <c r="O162" s="237"/>
      <c r="P162" s="237"/>
      <c r="Q162" s="237"/>
      <c r="R162" s="237"/>
      <c r="S162" s="238"/>
      <c r="T162" s="239"/>
      <c r="U162" s="240"/>
      <c r="X162" s="7"/>
      <c r="Y162" s="7"/>
    </row>
    <row r="163" spans="1:26" ht="15.75" customHeight="1">
      <c r="A163" s="300">
        <v>153</v>
      </c>
      <c r="B163" s="263">
        <v>2000</v>
      </c>
      <c r="C163" s="368"/>
      <c r="D163" s="266"/>
      <c r="E163" s="274" t="s">
        <v>2159</v>
      </c>
      <c r="F163" s="392"/>
      <c r="G163" s="224"/>
      <c r="H163" s="224"/>
      <c r="I163" s="224"/>
      <c r="J163" s="224"/>
      <c r="K163" s="224"/>
      <c r="L163" s="232"/>
      <c r="M163" s="232"/>
      <c r="N163" s="237"/>
      <c r="O163" s="237"/>
      <c r="P163" s="237"/>
      <c r="Q163" s="237"/>
      <c r="R163" s="237"/>
      <c r="S163" s="238"/>
      <c r="T163" s="239"/>
      <c r="U163" s="240"/>
      <c r="X163" s="7"/>
      <c r="Y163" s="7"/>
    </row>
    <row r="164" spans="1:26" ht="15.75" customHeight="1">
      <c r="A164" s="300">
        <v>154</v>
      </c>
      <c r="B164" s="263">
        <v>2000</v>
      </c>
      <c r="C164" s="368"/>
      <c r="D164" s="266"/>
      <c r="E164" s="274" t="s">
        <v>2160</v>
      </c>
      <c r="F164" s="392"/>
      <c r="G164" s="224"/>
      <c r="H164" s="224"/>
      <c r="I164" s="224"/>
      <c r="J164" s="224"/>
      <c r="K164" s="224"/>
      <c r="L164" s="232"/>
      <c r="M164" s="232"/>
      <c r="N164" s="237"/>
      <c r="O164" s="237"/>
      <c r="P164" s="237"/>
      <c r="Q164" s="237"/>
      <c r="R164" s="237"/>
      <c r="S164" s="238"/>
      <c r="T164" s="239"/>
      <c r="U164" s="240"/>
      <c r="X164" s="7"/>
      <c r="Y164" s="7"/>
    </row>
    <row r="165" spans="1:26" ht="15.75" customHeight="1">
      <c r="A165" s="300">
        <v>155</v>
      </c>
      <c r="B165" s="263">
        <v>2000</v>
      </c>
      <c r="C165" s="368"/>
      <c r="D165" s="266"/>
      <c r="E165" s="285" t="s">
        <v>574</v>
      </c>
      <c r="F165" s="392"/>
      <c r="G165" s="251"/>
      <c r="H165" s="224"/>
      <c r="I165" s="224"/>
      <c r="J165" s="224"/>
      <c r="K165" s="224"/>
      <c r="L165" s="232"/>
      <c r="M165" s="232"/>
      <c r="N165" s="237"/>
      <c r="O165" s="237"/>
      <c r="P165" s="237"/>
      <c r="Q165" s="237"/>
      <c r="R165" s="237"/>
      <c r="S165" s="238"/>
      <c r="T165" s="239"/>
      <c r="U165" s="240"/>
      <c r="X165" s="7"/>
      <c r="Y165" s="7"/>
    </row>
    <row r="166" spans="1:26" ht="18.75" hidden="1" customHeight="1">
      <c r="A166" s="300">
        <v>156</v>
      </c>
      <c r="B166" s="263">
        <v>2000</v>
      </c>
      <c r="C166" s="368"/>
      <c r="D166" s="266"/>
      <c r="E166" s="286" t="s">
        <v>579</v>
      </c>
      <c r="F166" s="392"/>
      <c r="G166" s="224"/>
      <c r="H166" s="224"/>
      <c r="I166" s="224"/>
      <c r="J166" s="224"/>
      <c r="K166" s="224"/>
      <c r="L166" s="232"/>
      <c r="M166" s="252"/>
      <c r="N166" s="237"/>
      <c r="O166" s="237"/>
      <c r="P166" s="237"/>
      <c r="Q166" s="237"/>
      <c r="R166" s="237"/>
      <c r="S166" s="238"/>
      <c r="T166" s="239"/>
      <c r="U166" s="240"/>
      <c r="X166" s="7"/>
      <c r="Y166" s="7"/>
    </row>
    <row r="167" spans="1:26" ht="18.75" customHeight="1">
      <c r="A167" s="300">
        <v>157</v>
      </c>
      <c r="B167" s="263">
        <v>2000</v>
      </c>
      <c r="C167" s="368"/>
      <c r="D167" s="266"/>
      <c r="E167" s="274" t="s">
        <v>2161</v>
      </c>
      <c r="F167" s="392"/>
      <c r="G167" s="224"/>
      <c r="H167" s="224"/>
      <c r="I167" s="224"/>
      <c r="J167" s="224"/>
      <c r="K167" s="224"/>
      <c r="L167" s="232"/>
      <c r="M167" s="252"/>
      <c r="N167" s="237"/>
      <c r="O167" s="237"/>
      <c r="P167" s="237"/>
      <c r="Q167" s="237"/>
      <c r="R167" s="237"/>
      <c r="S167" s="238"/>
      <c r="T167" s="239"/>
      <c r="U167" s="240"/>
      <c r="V167" s="230"/>
      <c r="W167" s="225"/>
      <c r="X167" s="7"/>
      <c r="Y167" s="7"/>
      <c r="Z167" s="30"/>
    </row>
    <row r="168" spans="1:26" ht="18.75" customHeight="1">
      <c r="A168" s="300">
        <v>158</v>
      </c>
      <c r="B168" s="263">
        <v>2000</v>
      </c>
      <c r="C168" s="368"/>
      <c r="D168" s="266"/>
      <c r="E168" s="274" t="s">
        <v>2162</v>
      </c>
      <c r="F168" s="392"/>
      <c r="G168" s="224"/>
      <c r="H168" s="224"/>
      <c r="I168" s="224"/>
      <c r="J168" s="224"/>
      <c r="K168" s="224"/>
      <c r="L168" s="232"/>
      <c r="M168" s="252"/>
      <c r="N168" s="237"/>
      <c r="O168" s="237"/>
      <c r="P168" s="237"/>
      <c r="Q168" s="237"/>
      <c r="R168" s="237"/>
      <c r="S168" s="238"/>
      <c r="T168" s="239"/>
      <c r="U168" s="240"/>
      <c r="V168" s="230"/>
      <c r="W168" s="225"/>
      <c r="X168" s="7"/>
      <c r="Y168" s="7"/>
      <c r="Z168" s="30"/>
    </row>
    <row r="169" spans="1:26" ht="15.75" customHeight="1">
      <c r="A169" s="300">
        <v>159</v>
      </c>
      <c r="B169" s="263">
        <v>2000</v>
      </c>
      <c r="C169" s="368"/>
      <c r="D169" s="266"/>
      <c r="E169" s="282" t="s">
        <v>2163</v>
      </c>
      <c r="F169" s="392"/>
      <c r="G169" s="250"/>
      <c r="H169" s="229"/>
      <c r="I169" s="224"/>
      <c r="J169" s="224"/>
      <c r="K169" s="224"/>
      <c r="L169" s="232"/>
      <c r="M169" s="232"/>
      <c r="N169" s="237"/>
      <c r="O169" s="237"/>
      <c r="P169" s="237"/>
      <c r="Q169" s="237"/>
      <c r="R169" s="237"/>
      <c r="S169" s="238"/>
      <c r="T169" s="239"/>
      <c r="U169" s="240"/>
      <c r="X169" s="7"/>
      <c r="Y169" s="7"/>
    </row>
    <row r="170" spans="1:26" ht="15.75" customHeight="1">
      <c r="A170" s="300">
        <v>160</v>
      </c>
      <c r="B170" s="263">
        <v>2000</v>
      </c>
      <c r="C170" s="368"/>
      <c r="D170" s="266"/>
      <c r="E170" s="274" t="s">
        <v>581</v>
      </c>
      <c r="F170" s="392"/>
      <c r="G170" s="231"/>
      <c r="H170" s="224"/>
      <c r="I170" s="224"/>
      <c r="J170" s="224"/>
      <c r="K170" s="224"/>
      <c r="L170" s="232"/>
      <c r="M170" s="231"/>
      <c r="N170" s="237"/>
      <c r="O170" s="237"/>
      <c r="P170" s="237"/>
      <c r="Q170" s="237"/>
      <c r="R170" s="237"/>
      <c r="S170" s="238"/>
      <c r="T170" s="239"/>
      <c r="U170" s="240"/>
      <c r="X170" s="7"/>
      <c r="Y170" s="7"/>
    </row>
    <row r="171" spans="1:26" ht="15.75" customHeight="1">
      <c r="A171" s="300">
        <v>161</v>
      </c>
      <c r="B171" s="263">
        <v>2000</v>
      </c>
      <c r="C171" s="368"/>
      <c r="D171" s="266"/>
      <c r="E171" s="274" t="s">
        <v>582</v>
      </c>
      <c r="F171" s="392"/>
      <c r="G171" s="231"/>
      <c r="H171" s="224"/>
      <c r="I171" s="224"/>
      <c r="J171" s="224"/>
      <c r="K171" s="224"/>
      <c r="L171" s="232"/>
      <c r="M171" s="231"/>
      <c r="N171" s="237"/>
      <c r="O171" s="237"/>
      <c r="P171" s="237"/>
      <c r="Q171" s="237"/>
      <c r="R171" s="237"/>
      <c r="S171" s="238"/>
      <c r="T171" s="239"/>
      <c r="U171" s="240"/>
      <c r="X171" s="7"/>
      <c r="Y171" s="7"/>
    </row>
    <row r="172" spans="1:26" ht="15.75" customHeight="1">
      <c r="A172" s="300">
        <v>162</v>
      </c>
      <c r="B172" s="263">
        <v>2000</v>
      </c>
      <c r="C172" s="368"/>
      <c r="D172" s="266"/>
      <c r="E172" s="274" t="s">
        <v>583</v>
      </c>
      <c r="F172" s="392"/>
      <c r="G172" s="231"/>
      <c r="H172" s="224"/>
      <c r="I172" s="224"/>
      <c r="J172" s="224"/>
      <c r="K172" s="224"/>
      <c r="L172" s="232"/>
      <c r="M172" s="231"/>
      <c r="N172" s="237"/>
      <c r="O172" s="237"/>
      <c r="P172" s="237"/>
      <c r="Q172" s="237"/>
      <c r="R172" s="237"/>
      <c r="S172" s="238"/>
      <c r="T172" s="239"/>
      <c r="U172" s="240"/>
      <c r="X172" s="7"/>
      <c r="Y172" s="7"/>
    </row>
    <row r="173" spans="1:26" ht="15.75" customHeight="1">
      <c r="A173" s="300">
        <v>163</v>
      </c>
      <c r="B173" s="263">
        <v>2000</v>
      </c>
      <c r="C173" s="368"/>
      <c r="D173" s="266"/>
      <c r="E173" s="274" t="s">
        <v>584</v>
      </c>
      <c r="F173" s="393"/>
      <c r="G173" s="231"/>
      <c r="H173" s="224"/>
      <c r="I173" s="224"/>
      <c r="J173" s="224"/>
      <c r="K173" s="224"/>
      <c r="L173" s="232"/>
      <c r="M173" s="231"/>
      <c r="N173" s="237"/>
      <c r="O173" s="237"/>
      <c r="P173" s="237"/>
      <c r="Q173" s="237"/>
      <c r="R173" s="237"/>
      <c r="S173" s="238"/>
      <c r="T173" s="239"/>
      <c r="U173" s="240"/>
      <c r="X173" s="7"/>
      <c r="Y173" s="7"/>
    </row>
    <row r="174" spans="1:26" ht="18.75" hidden="1" customHeight="1">
      <c r="A174" s="300">
        <v>164</v>
      </c>
      <c r="B174" s="263">
        <v>2000</v>
      </c>
      <c r="C174" s="368"/>
      <c r="D174" s="278" t="s">
        <v>2164</v>
      </c>
      <c r="E174" s="286" t="s">
        <v>588</v>
      </c>
      <c r="F174" s="299"/>
      <c r="G174" s="231"/>
      <c r="H174" s="231"/>
      <c r="I174" s="224"/>
      <c r="J174" s="224"/>
      <c r="K174" s="231"/>
      <c r="L174" s="232"/>
      <c r="M174" s="252"/>
      <c r="N174" s="237"/>
      <c r="O174" s="237"/>
      <c r="P174" s="237"/>
      <c r="Q174" s="237"/>
      <c r="R174" s="237"/>
      <c r="S174" s="238"/>
      <c r="T174" s="239"/>
      <c r="U174" s="240"/>
      <c r="X174" s="7"/>
      <c r="Y174" s="7"/>
    </row>
    <row r="175" spans="1:26" ht="15.75" customHeight="1">
      <c r="A175" s="300">
        <v>165</v>
      </c>
      <c r="B175" s="263">
        <v>2000</v>
      </c>
      <c r="C175" s="368"/>
      <c r="D175" s="266" t="s">
        <v>2164</v>
      </c>
      <c r="E175" s="282" t="s">
        <v>2165</v>
      </c>
      <c r="F175" s="388" t="s">
        <v>2721</v>
      </c>
      <c r="G175" s="250"/>
      <c r="H175" s="229"/>
      <c r="I175" s="224"/>
      <c r="J175" s="224"/>
      <c r="K175" s="229"/>
      <c r="L175" s="232"/>
      <c r="M175" s="232"/>
      <c r="N175" s="237"/>
      <c r="O175" s="237"/>
      <c r="P175" s="237"/>
      <c r="Q175" s="237"/>
      <c r="R175" s="237"/>
      <c r="S175" s="238"/>
      <c r="T175" s="239"/>
      <c r="U175" s="240"/>
      <c r="X175" s="7"/>
      <c r="Y175" s="7"/>
    </row>
    <row r="176" spans="1:26" ht="15.75" customHeight="1">
      <c r="A176" s="300">
        <v>166</v>
      </c>
      <c r="B176" s="263">
        <v>2000</v>
      </c>
      <c r="C176" s="368"/>
      <c r="D176" s="262"/>
      <c r="E176" s="274" t="s">
        <v>602</v>
      </c>
      <c r="F176" s="389"/>
      <c r="G176" s="231"/>
      <c r="H176" s="224"/>
      <c r="I176" s="224"/>
      <c r="J176" s="224"/>
      <c r="K176" s="224"/>
      <c r="L176" s="232"/>
      <c r="M176" s="231"/>
      <c r="N176" s="237"/>
      <c r="O176" s="237"/>
      <c r="P176" s="237"/>
      <c r="Q176" s="237"/>
      <c r="R176" s="237"/>
      <c r="S176" s="238"/>
      <c r="T176" s="239"/>
      <c r="U176" s="240"/>
    </row>
    <row r="177" spans="1:21" ht="12.75" customHeight="1">
      <c r="A177" s="300">
        <v>167</v>
      </c>
      <c r="B177" s="263">
        <v>2000</v>
      </c>
      <c r="C177" s="368"/>
      <c r="D177" s="262"/>
      <c r="E177" s="274" t="s">
        <v>603</v>
      </c>
      <c r="F177" s="390"/>
      <c r="G177" s="231"/>
      <c r="H177" s="224"/>
      <c r="I177" s="224"/>
      <c r="J177" s="224"/>
      <c r="K177" s="224"/>
      <c r="L177" s="232"/>
      <c r="M177" s="231"/>
      <c r="N177" s="237"/>
      <c r="O177" s="237"/>
      <c r="P177" s="237"/>
      <c r="Q177" s="237"/>
      <c r="R177" s="237"/>
      <c r="S177" s="238"/>
      <c r="T177" s="239"/>
      <c r="U177" s="240"/>
    </row>
    <row r="178" spans="1:21" ht="15.75" customHeight="1">
      <c r="A178" s="300">
        <v>168</v>
      </c>
      <c r="B178" s="263">
        <v>2000</v>
      </c>
      <c r="C178" s="368"/>
      <c r="D178" s="266" t="s">
        <v>595</v>
      </c>
      <c r="E178" s="274" t="s">
        <v>610</v>
      </c>
      <c r="F178" s="300">
        <v>2013</v>
      </c>
      <c r="G178" s="231"/>
      <c r="H178" s="231"/>
      <c r="I178" s="224"/>
      <c r="J178" s="224"/>
      <c r="K178" s="231"/>
      <c r="L178" s="232"/>
      <c r="M178" s="230"/>
      <c r="N178" s="237"/>
      <c r="O178" s="237"/>
      <c r="P178" s="237"/>
      <c r="Q178" s="237"/>
      <c r="R178" s="237"/>
      <c r="S178" s="238"/>
      <c r="T178" s="239"/>
      <c r="U178" s="240"/>
    </row>
    <row r="179" spans="1:21" ht="15.75" customHeight="1">
      <c r="A179" s="300">
        <v>169</v>
      </c>
      <c r="B179" s="263">
        <v>2000</v>
      </c>
      <c r="C179" s="368"/>
      <c r="D179" s="280" t="s">
        <v>2166</v>
      </c>
      <c r="E179" s="283" t="s">
        <v>2167</v>
      </c>
      <c r="F179" s="391">
        <v>2011</v>
      </c>
      <c r="G179" s="235"/>
      <c r="H179" s="229"/>
      <c r="I179" s="229"/>
      <c r="J179" s="229"/>
      <c r="K179" s="229"/>
      <c r="L179" s="232"/>
      <c r="M179" s="230"/>
      <c r="N179" s="237"/>
      <c r="O179" s="237"/>
      <c r="P179" s="237"/>
      <c r="Q179" s="237"/>
      <c r="R179" s="237"/>
      <c r="S179" s="238"/>
      <c r="T179" s="239"/>
      <c r="U179" s="240"/>
    </row>
    <row r="180" spans="1:21" ht="15.75" customHeight="1">
      <c r="A180" s="300">
        <v>170</v>
      </c>
      <c r="B180" s="263">
        <v>2000</v>
      </c>
      <c r="C180" s="368"/>
      <c r="D180" s="280"/>
      <c r="E180" s="284" t="s">
        <v>2168</v>
      </c>
      <c r="F180" s="392"/>
      <c r="G180" s="224"/>
      <c r="H180" s="224"/>
      <c r="I180" s="224"/>
      <c r="J180" s="224"/>
      <c r="K180" s="224"/>
      <c r="L180" s="232"/>
      <c r="M180" s="230"/>
      <c r="N180" s="237"/>
      <c r="O180" s="237"/>
      <c r="P180" s="237"/>
      <c r="Q180" s="237"/>
      <c r="R180" s="237"/>
      <c r="S180" s="238"/>
      <c r="T180" s="239"/>
      <c r="U180" s="240"/>
    </row>
    <row r="181" spans="1:21" ht="15.75" customHeight="1">
      <c r="A181" s="300">
        <v>171</v>
      </c>
      <c r="B181" s="263">
        <v>2000</v>
      </c>
      <c r="C181" s="368"/>
      <c r="D181" s="280"/>
      <c r="E181" s="284" t="s">
        <v>2169</v>
      </c>
      <c r="F181" s="392"/>
      <c r="G181" s="224"/>
      <c r="H181" s="224"/>
      <c r="I181" s="224"/>
      <c r="J181" s="224"/>
      <c r="K181" s="224"/>
      <c r="L181" s="232"/>
      <c r="M181" s="230"/>
      <c r="N181" s="237"/>
      <c r="O181" s="237"/>
      <c r="P181" s="237"/>
      <c r="Q181" s="237"/>
      <c r="R181" s="237"/>
      <c r="S181" s="238"/>
      <c r="T181" s="239"/>
      <c r="U181" s="240"/>
    </row>
    <row r="182" spans="1:21" ht="15.75" customHeight="1">
      <c r="A182" s="300">
        <v>172</v>
      </c>
      <c r="B182" s="263">
        <v>2000</v>
      </c>
      <c r="C182" s="368"/>
      <c r="D182" s="280"/>
      <c r="E182" s="284" t="s">
        <v>2170</v>
      </c>
      <c r="F182" s="393"/>
      <c r="G182" s="224"/>
      <c r="H182" s="224"/>
      <c r="I182" s="224"/>
      <c r="J182" s="224"/>
      <c r="K182" s="224"/>
      <c r="L182" s="232"/>
      <c r="M182" s="230"/>
      <c r="N182" s="237"/>
      <c r="O182" s="237"/>
      <c r="P182" s="237"/>
      <c r="Q182" s="237"/>
      <c r="R182" s="237"/>
      <c r="S182" s="238"/>
      <c r="T182" s="239"/>
      <c r="U182" s="240"/>
    </row>
    <row r="183" spans="1:21" ht="15.75" customHeight="1">
      <c r="A183" s="300">
        <v>173</v>
      </c>
      <c r="B183" s="263">
        <v>2000</v>
      </c>
      <c r="C183" s="368"/>
      <c r="D183" s="266" t="s">
        <v>2171</v>
      </c>
      <c r="E183" s="282" t="s">
        <v>2172</v>
      </c>
      <c r="F183" s="388" t="s">
        <v>2720</v>
      </c>
      <c r="G183" s="251"/>
      <c r="H183" s="229"/>
      <c r="I183" s="229"/>
      <c r="J183" s="229"/>
      <c r="K183" s="229"/>
      <c r="L183" s="232"/>
      <c r="M183" s="231"/>
      <c r="N183" s="237"/>
      <c r="O183" s="237"/>
      <c r="P183" s="237"/>
      <c r="Q183" s="237"/>
      <c r="R183" s="237"/>
      <c r="S183" s="238"/>
      <c r="T183" s="239"/>
      <c r="U183" s="240"/>
    </row>
    <row r="184" spans="1:21" ht="15.75" customHeight="1">
      <c r="A184" s="300">
        <v>174</v>
      </c>
      <c r="B184" s="263">
        <v>2000</v>
      </c>
      <c r="C184" s="368"/>
      <c r="D184" s="262"/>
      <c r="E184" s="274" t="s">
        <v>604</v>
      </c>
      <c r="F184" s="389"/>
      <c r="G184" s="224"/>
      <c r="H184" s="224"/>
      <c r="I184" s="224"/>
      <c r="J184" s="224"/>
      <c r="K184" s="224"/>
      <c r="L184" s="232"/>
      <c r="M184" s="231"/>
      <c r="N184" s="237"/>
      <c r="O184" s="237"/>
      <c r="P184" s="237"/>
      <c r="Q184" s="237"/>
      <c r="R184" s="237"/>
      <c r="S184" s="238"/>
      <c r="T184" s="239"/>
      <c r="U184" s="240"/>
    </row>
    <row r="185" spans="1:21" ht="15.75" customHeight="1">
      <c r="A185" s="300">
        <v>175</v>
      </c>
      <c r="B185" s="263">
        <v>2000</v>
      </c>
      <c r="C185" s="368"/>
      <c r="D185" s="262"/>
      <c r="E185" s="274" t="s">
        <v>605</v>
      </c>
      <c r="F185" s="389"/>
      <c r="G185" s="224"/>
      <c r="H185" s="224"/>
      <c r="I185" s="224"/>
      <c r="J185" s="224"/>
      <c r="K185" s="224"/>
      <c r="L185" s="232"/>
      <c r="M185" s="231"/>
      <c r="N185" s="237"/>
      <c r="O185" s="237"/>
      <c r="P185" s="237"/>
      <c r="Q185" s="237"/>
      <c r="R185" s="237"/>
      <c r="S185" s="238"/>
      <c r="T185" s="239"/>
      <c r="U185" s="240"/>
    </row>
    <row r="186" spans="1:21" ht="15.75" customHeight="1">
      <c r="A186" s="300">
        <v>176</v>
      </c>
      <c r="B186" s="263">
        <v>2000</v>
      </c>
      <c r="C186" s="368"/>
      <c r="D186" s="262"/>
      <c r="E186" s="274" t="s">
        <v>606</v>
      </c>
      <c r="F186" s="389"/>
      <c r="G186" s="224"/>
      <c r="H186" s="224"/>
      <c r="I186" s="224"/>
      <c r="J186" s="224"/>
      <c r="K186" s="224"/>
      <c r="L186" s="232"/>
      <c r="M186" s="231"/>
      <c r="N186" s="237"/>
      <c r="O186" s="237"/>
      <c r="P186" s="237"/>
      <c r="Q186" s="237"/>
      <c r="R186" s="237"/>
      <c r="S186" s="238"/>
      <c r="T186" s="239"/>
      <c r="U186" s="240"/>
    </row>
    <row r="187" spans="1:21" ht="15.75" customHeight="1">
      <c r="A187" s="300">
        <v>177</v>
      </c>
      <c r="B187" s="263">
        <v>2000</v>
      </c>
      <c r="C187" s="368"/>
      <c r="D187" s="262"/>
      <c r="E187" s="274" t="s">
        <v>607</v>
      </c>
      <c r="F187" s="389"/>
      <c r="G187" s="224"/>
      <c r="H187" s="224"/>
      <c r="I187" s="224"/>
      <c r="J187" s="224"/>
      <c r="K187" s="224"/>
      <c r="L187" s="232"/>
      <c r="M187" s="231"/>
      <c r="N187" s="237"/>
      <c r="O187" s="237"/>
      <c r="P187" s="237"/>
      <c r="Q187" s="237"/>
      <c r="R187" s="237"/>
      <c r="S187" s="238"/>
      <c r="T187" s="239"/>
      <c r="U187" s="240"/>
    </row>
    <row r="188" spans="1:21" ht="15.75" customHeight="1">
      <c r="A188" s="300">
        <v>178</v>
      </c>
      <c r="B188" s="263">
        <v>2000</v>
      </c>
      <c r="C188" s="368"/>
      <c r="D188" s="262"/>
      <c r="E188" s="274" t="s">
        <v>608</v>
      </c>
      <c r="F188" s="389"/>
      <c r="G188" s="224"/>
      <c r="H188" s="224"/>
      <c r="I188" s="224"/>
      <c r="J188" s="224"/>
      <c r="K188" s="224"/>
      <c r="L188" s="232"/>
      <c r="M188" s="231"/>
      <c r="N188" s="237"/>
      <c r="O188" s="237"/>
      <c r="P188" s="237"/>
      <c r="Q188" s="237"/>
      <c r="R188" s="237"/>
      <c r="S188" s="238"/>
      <c r="T188" s="239"/>
      <c r="U188" s="240"/>
    </row>
    <row r="189" spans="1:21" ht="15.75" customHeight="1">
      <c r="A189" s="300">
        <v>179</v>
      </c>
      <c r="B189" s="263">
        <v>2000</v>
      </c>
      <c r="C189" s="368"/>
      <c r="D189" s="262"/>
      <c r="E189" s="274" t="s">
        <v>609</v>
      </c>
      <c r="F189" s="390"/>
      <c r="G189" s="224"/>
      <c r="H189" s="224"/>
      <c r="I189" s="224"/>
      <c r="J189" s="224"/>
      <c r="K189" s="224"/>
      <c r="L189" s="232"/>
      <c r="M189" s="231"/>
      <c r="N189" s="237"/>
      <c r="O189" s="237"/>
      <c r="P189" s="237"/>
      <c r="Q189" s="237"/>
      <c r="R189" s="237"/>
      <c r="S189" s="238"/>
      <c r="T189" s="239"/>
      <c r="U189" s="240"/>
    </row>
    <row r="190" spans="1:21" ht="29.1" customHeight="1">
      <c r="A190" s="300">
        <v>180</v>
      </c>
      <c r="B190" s="263">
        <v>2000</v>
      </c>
      <c r="C190" s="368" t="s">
        <v>2678</v>
      </c>
      <c r="D190" s="266" t="s">
        <v>614</v>
      </c>
      <c r="E190" s="260" t="s">
        <v>617</v>
      </c>
      <c r="F190" s="388">
        <v>2019</v>
      </c>
      <c r="G190" s="231"/>
      <c r="H190" s="231"/>
      <c r="I190" s="229"/>
      <c r="J190" s="229"/>
      <c r="K190" s="229"/>
      <c r="L190" s="232"/>
      <c r="M190" s="230"/>
      <c r="N190" s="237"/>
      <c r="O190" s="237"/>
      <c r="P190" s="237"/>
      <c r="Q190" s="237"/>
      <c r="R190" s="237"/>
      <c r="S190" s="238"/>
      <c r="T190" s="239"/>
      <c r="U190" s="240"/>
    </row>
    <row r="191" spans="1:21" ht="15.75" customHeight="1">
      <c r="A191" s="300">
        <v>181</v>
      </c>
      <c r="B191" s="263">
        <v>2000</v>
      </c>
      <c r="C191" s="368"/>
      <c r="D191" s="266"/>
      <c r="E191" s="260" t="s">
        <v>623</v>
      </c>
      <c r="F191" s="389"/>
      <c r="G191" s="231"/>
      <c r="H191" s="229"/>
      <c r="I191" s="224"/>
      <c r="J191" s="224"/>
      <c r="K191" s="224"/>
      <c r="L191" s="232"/>
      <c r="M191" s="230"/>
      <c r="N191" s="237"/>
      <c r="O191" s="237"/>
      <c r="P191" s="237"/>
      <c r="Q191" s="237"/>
      <c r="R191" s="237"/>
      <c r="S191" s="238"/>
      <c r="T191" s="239"/>
      <c r="U191" s="240"/>
    </row>
    <row r="192" spans="1:21" ht="15.75" customHeight="1">
      <c r="A192" s="300">
        <v>182</v>
      </c>
      <c r="B192" s="263">
        <v>2000</v>
      </c>
      <c r="C192" s="368"/>
      <c r="D192" s="266"/>
      <c r="E192" s="260" t="s">
        <v>2173</v>
      </c>
      <c r="F192" s="389"/>
      <c r="G192" s="231"/>
      <c r="H192" s="224"/>
      <c r="I192" s="224"/>
      <c r="J192" s="224"/>
      <c r="K192" s="224"/>
      <c r="L192" s="232"/>
      <c r="M192" s="230"/>
      <c r="N192" s="237"/>
      <c r="O192" s="237"/>
      <c r="P192" s="237"/>
      <c r="Q192" s="237"/>
      <c r="R192" s="237"/>
      <c r="S192" s="238"/>
      <c r="T192" s="239"/>
      <c r="U192" s="240"/>
    </row>
    <row r="193" spans="1:21" ht="15.75" customHeight="1">
      <c r="A193" s="300">
        <v>183</v>
      </c>
      <c r="B193" s="263">
        <v>2000</v>
      </c>
      <c r="C193" s="368"/>
      <c r="D193" s="266"/>
      <c r="E193" s="268" t="s">
        <v>2174</v>
      </c>
      <c r="F193" s="389"/>
      <c r="G193" s="231"/>
      <c r="H193" s="224"/>
      <c r="I193" s="224"/>
      <c r="J193" s="224"/>
      <c r="K193" s="224"/>
      <c r="L193" s="232"/>
      <c r="M193" s="230"/>
      <c r="N193" s="237"/>
      <c r="O193" s="237"/>
      <c r="P193" s="237"/>
      <c r="Q193" s="237"/>
      <c r="R193" s="237"/>
      <c r="S193" s="238"/>
      <c r="T193" s="239"/>
      <c r="U193" s="240"/>
    </row>
    <row r="194" spans="1:21" ht="15.75" customHeight="1">
      <c r="A194" s="300">
        <v>184</v>
      </c>
      <c r="B194" s="263">
        <v>2000</v>
      </c>
      <c r="C194" s="368"/>
      <c r="D194" s="266" t="s">
        <v>625</v>
      </c>
      <c r="E194" s="260" t="s">
        <v>628</v>
      </c>
      <c r="F194" s="389"/>
      <c r="G194" s="231"/>
      <c r="H194" s="229"/>
      <c r="I194" s="224"/>
      <c r="J194" s="224"/>
      <c r="K194" s="224"/>
      <c r="L194" s="232"/>
      <c r="M194" s="230"/>
      <c r="N194" s="237"/>
      <c r="O194" s="237"/>
      <c r="P194" s="237"/>
      <c r="Q194" s="237"/>
      <c r="R194" s="237"/>
      <c r="S194" s="238"/>
      <c r="T194" s="239"/>
      <c r="U194" s="240"/>
    </row>
    <row r="195" spans="1:21" ht="15.75" customHeight="1">
      <c r="A195" s="300">
        <v>185</v>
      </c>
      <c r="B195" s="263">
        <v>2000</v>
      </c>
      <c r="C195" s="368"/>
      <c r="D195" s="266"/>
      <c r="E195" s="260" t="s">
        <v>632</v>
      </c>
      <c r="F195" s="389"/>
      <c r="G195" s="231"/>
      <c r="H195" s="224"/>
      <c r="I195" s="224"/>
      <c r="J195" s="224"/>
      <c r="K195" s="224"/>
      <c r="L195" s="232"/>
      <c r="M195" s="230"/>
      <c r="N195" s="237"/>
      <c r="O195" s="237"/>
      <c r="P195" s="237"/>
      <c r="Q195" s="237"/>
      <c r="R195" s="237"/>
      <c r="S195" s="238"/>
      <c r="T195" s="239"/>
      <c r="U195" s="240"/>
    </row>
    <row r="196" spans="1:21" ht="15.75" customHeight="1">
      <c r="A196" s="300">
        <v>186</v>
      </c>
      <c r="B196" s="263">
        <v>2000</v>
      </c>
      <c r="C196" s="368"/>
      <c r="D196" s="266"/>
      <c r="E196" s="260" t="s">
        <v>636</v>
      </c>
      <c r="F196" s="389"/>
      <c r="G196" s="231"/>
      <c r="H196" s="224"/>
      <c r="I196" s="224"/>
      <c r="J196" s="224"/>
      <c r="K196" s="224"/>
      <c r="L196" s="232"/>
      <c r="M196" s="230"/>
      <c r="N196" s="237"/>
      <c r="O196" s="237"/>
      <c r="P196" s="237"/>
      <c r="Q196" s="237"/>
      <c r="R196" s="237"/>
      <c r="S196" s="238"/>
      <c r="T196" s="239"/>
      <c r="U196" s="240"/>
    </row>
    <row r="197" spans="1:21" ht="15.75" customHeight="1">
      <c r="A197" s="300">
        <v>187</v>
      </c>
      <c r="B197" s="263">
        <v>2000</v>
      </c>
      <c r="C197" s="368"/>
      <c r="D197" s="266"/>
      <c r="E197" s="260" t="s">
        <v>640</v>
      </c>
      <c r="F197" s="389"/>
      <c r="G197" s="231"/>
      <c r="H197" s="224"/>
      <c r="I197" s="224"/>
      <c r="J197" s="224"/>
      <c r="K197" s="224"/>
      <c r="L197" s="232"/>
      <c r="M197" s="230"/>
      <c r="N197" s="237"/>
      <c r="O197" s="237"/>
      <c r="P197" s="237"/>
      <c r="Q197" s="237"/>
      <c r="R197" s="237"/>
      <c r="S197" s="238"/>
      <c r="T197" s="239"/>
      <c r="U197" s="240"/>
    </row>
    <row r="198" spans="1:21" ht="15.75" customHeight="1">
      <c r="A198" s="300">
        <v>188</v>
      </c>
      <c r="B198" s="263">
        <v>2000</v>
      </c>
      <c r="C198" s="368"/>
      <c r="D198" s="266"/>
      <c r="E198" s="260" t="s">
        <v>2175</v>
      </c>
      <c r="F198" s="389"/>
      <c r="G198" s="231"/>
      <c r="H198" s="224"/>
      <c r="I198" s="224"/>
      <c r="J198" s="224"/>
      <c r="K198" s="224"/>
      <c r="L198" s="232"/>
      <c r="M198" s="230"/>
      <c r="N198" s="237"/>
      <c r="O198" s="237"/>
      <c r="P198" s="237"/>
      <c r="Q198" s="237"/>
      <c r="R198" s="237"/>
      <c r="S198" s="238"/>
      <c r="T198" s="239"/>
      <c r="U198" s="240"/>
    </row>
    <row r="199" spans="1:21" ht="15.75" customHeight="1">
      <c r="A199" s="300">
        <v>189</v>
      </c>
      <c r="B199" s="263">
        <v>2000</v>
      </c>
      <c r="C199" s="368"/>
      <c r="D199" s="266" t="s">
        <v>642</v>
      </c>
      <c r="E199" s="260" t="s">
        <v>645</v>
      </c>
      <c r="F199" s="389"/>
      <c r="G199" s="231"/>
      <c r="H199" s="229"/>
      <c r="I199" s="224"/>
      <c r="J199" s="224"/>
      <c r="K199" s="224"/>
      <c r="L199" s="232"/>
      <c r="M199" s="230"/>
      <c r="N199" s="237"/>
      <c r="O199" s="237"/>
      <c r="P199" s="237"/>
      <c r="Q199" s="237"/>
      <c r="R199" s="237"/>
      <c r="S199" s="238"/>
      <c r="T199" s="239"/>
      <c r="U199" s="240"/>
    </row>
    <row r="200" spans="1:21" ht="15.75" customHeight="1">
      <c r="A200" s="300">
        <v>190</v>
      </c>
      <c r="B200" s="263">
        <v>2000</v>
      </c>
      <c r="C200" s="368"/>
      <c r="D200" s="266"/>
      <c r="E200" s="260" t="s">
        <v>649</v>
      </c>
      <c r="F200" s="390"/>
      <c r="G200" s="231"/>
      <c r="H200" s="224"/>
      <c r="I200" s="224"/>
      <c r="J200" s="224"/>
      <c r="K200" s="224"/>
      <c r="L200" s="232"/>
      <c r="M200" s="230"/>
      <c r="N200" s="237"/>
      <c r="O200" s="237"/>
      <c r="P200" s="237"/>
      <c r="Q200" s="237"/>
      <c r="R200" s="237"/>
      <c r="S200" s="238"/>
      <c r="T200" s="239"/>
      <c r="U200" s="240"/>
    </row>
    <row r="201" spans="1:21">
      <c r="A201" s="300">
        <v>191</v>
      </c>
      <c r="B201" s="263">
        <v>2000</v>
      </c>
      <c r="C201" s="368" t="s">
        <v>2682</v>
      </c>
      <c r="D201" s="265" t="s">
        <v>651</v>
      </c>
      <c r="E201" s="287" t="s">
        <v>654</v>
      </c>
      <c r="F201" s="388">
        <v>2001</v>
      </c>
      <c r="G201" s="231"/>
      <c r="H201" s="229"/>
      <c r="I201" s="229"/>
      <c r="J201" s="229"/>
      <c r="K201" s="229"/>
      <c r="L201" s="232"/>
      <c r="M201" s="230"/>
      <c r="N201" s="237"/>
      <c r="O201" s="237"/>
      <c r="P201" s="237"/>
      <c r="Q201" s="237"/>
      <c r="R201" s="237"/>
      <c r="S201" s="238"/>
      <c r="T201" s="239"/>
      <c r="U201" s="240"/>
    </row>
    <row r="202" spans="1:21" ht="15.75" customHeight="1">
      <c r="A202" s="300">
        <v>192</v>
      </c>
      <c r="B202" s="263">
        <v>2000</v>
      </c>
      <c r="C202" s="368"/>
      <c r="D202" s="265"/>
      <c r="E202" s="287" t="s">
        <v>660</v>
      </c>
      <c r="F202" s="389"/>
      <c r="G202" s="231"/>
      <c r="H202" s="224"/>
      <c r="I202" s="224"/>
      <c r="J202" s="224"/>
      <c r="K202" s="224"/>
      <c r="L202" s="232"/>
      <c r="M202" s="230"/>
      <c r="N202" s="237"/>
      <c r="O202" s="237"/>
      <c r="P202" s="237"/>
      <c r="Q202" s="237"/>
      <c r="R202" s="237"/>
      <c r="S202" s="238"/>
      <c r="T202" s="239"/>
      <c r="U202" s="240"/>
    </row>
    <row r="203" spans="1:21" ht="15.75" customHeight="1">
      <c r="A203" s="300">
        <v>193</v>
      </c>
      <c r="B203" s="263">
        <v>2000</v>
      </c>
      <c r="C203" s="368"/>
      <c r="D203" s="265"/>
      <c r="E203" s="287" t="s">
        <v>664</v>
      </c>
      <c r="F203" s="389"/>
      <c r="G203" s="231"/>
      <c r="H203" s="224"/>
      <c r="I203" s="224"/>
      <c r="J203" s="224"/>
      <c r="K203" s="224"/>
      <c r="L203" s="232"/>
      <c r="M203" s="230"/>
      <c r="N203" s="237"/>
      <c r="O203" s="237"/>
      <c r="P203" s="237"/>
      <c r="Q203" s="237"/>
      <c r="R203" s="237"/>
      <c r="S203" s="238"/>
      <c r="T203" s="239"/>
      <c r="U203" s="240"/>
    </row>
    <row r="204" spans="1:21" ht="15.75" customHeight="1">
      <c r="A204" s="300">
        <v>194</v>
      </c>
      <c r="B204" s="263">
        <v>2000</v>
      </c>
      <c r="C204" s="368"/>
      <c r="D204" s="265"/>
      <c r="E204" s="287" t="s">
        <v>668</v>
      </c>
      <c r="F204" s="389"/>
      <c r="G204" s="231"/>
      <c r="H204" s="224"/>
      <c r="I204" s="224"/>
      <c r="J204" s="224"/>
      <c r="K204" s="224"/>
      <c r="L204" s="232"/>
      <c r="M204" s="230"/>
      <c r="N204" s="237"/>
      <c r="O204" s="237"/>
      <c r="P204" s="237"/>
      <c r="Q204" s="237"/>
      <c r="R204" s="237"/>
      <c r="S204" s="238"/>
      <c r="T204" s="239"/>
      <c r="U204" s="240"/>
    </row>
    <row r="205" spans="1:21" ht="15.75" customHeight="1">
      <c r="A205" s="300">
        <v>195</v>
      </c>
      <c r="B205" s="263">
        <v>2000</v>
      </c>
      <c r="C205" s="368"/>
      <c r="D205" s="265"/>
      <c r="E205" s="287" t="s">
        <v>672</v>
      </c>
      <c r="F205" s="389"/>
      <c r="G205" s="231"/>
      <c r="H205" s="224"/>
      <c r="I205" s="224"/>
      <c r="J205" s="224"/>
      <c r="K205" s="224"/>
      <c r="L205" s="232"/>
      <c r="M205" s="230"/>
      <c r="N205" s="237"/>
      <c r="O205" s="237"/>
      <c r="P205" s="237"/>
      <c r="Q205" s="237"/>
      <c r="R205" s="237"/>
      <c r="S205" s="238"/>
      <c r="T205" s="239"/>
      <c r="U205" s="240"/>
    </row>
    <row r="206" spans="1:21" ht="15.75" customHeight="1">
      <c r="A206" s="300">
        <v>196</v>
      </c>
      <c r="B206" s="263">
        <v>2000</v>
      </c>
      <c r="C206" s="368"/>
      <c r="D206" s="265"/>
      <c r="E206" s="287" t="s">
        <v>676</v>
      </c>
      <c r="F206" s="389"/>
      <c r="G206" s="231"/>
      <c r="H206" s="224"/>
      <c r="I206" s="224"/>
      <c r="J206" s="224"/>
      <c r="K206" s="224"/>
      <c r="L206" s="232"/>
      <c r="M206" s="230"/>
      <c r="N206" s="237"/>
      <c r="O206" s="237"/>
      <c r="P206" s="237"/>
      <c r="Q206" s="237"/>
      <c r="R206" s="237"/>
      <c r="S206" s="238"/>
      <c r="T206" s="239"/>
      <c r="U206" s="240"/>
    </row>
    <row r="207" spans="1:21" ht="15.75" customHeight="1">
      <c r="A207" s="300">
        <v>197</v>
      </c>
      <c r="B207" s="263">
        <v>2000</v>
      </c>
      <c r="C207" s="368"/>
      <c r="D207" s="265"/>
      <c r="E207" s="287" t="s">
        <v>680</v>
      </c>
      <c r="F207" s="389"/>
      <c r="G207" s="231"/>
      <c r="H207" s="224"/>
      <c r="I207" s="224"/>
      <c r="J207" s="224"/>
      <c r="K207" s="224"/>
      <c r="L207" s="232"/>
      <c r="M207" s="230"/>
      <c r="N207" s="237"/>
      <c r="O207" s="237"/>
      <c r="P207" s="237"/>
      <c r="Q207" s="237"/>
      <c r="R207" s="237"/>
      <c r="S207" s="238"/>
      <c r="T207" s="239"/>
      <c r="U207" s="240"/>
    </row>
    <row r="208" spans="1:21" ht="15.75" customHeight="1">
      <c r="A208" s="300">
        <v>198</v>
      </c>
      <c r="B208" s="263">
        <v>2000</v>
      </c>
      <c r="C208" s="368"/>
      <c r="D208" s="265"/>
      <c r="E208" s="287" t="s">
        <v>684</v>
      </c>
      <c r="F208" s="389"/>
      <c r="G208" s="231"/>
      <c r="H208" s="224"/>
      <c r="I208" s="224"/>
      <c r="J208" s="224"/>
      <c r="K208" s="224"/>
      <c r="L208" s="232"/>
      <c r="M208" s="230"/>
      <c r="N208" s="237"/>
      <c r="O208" s="237"/>
      <c r="P208" s="237"/>
      <c r="Q208" s="237"/>
      <c r="R208" s="237"/>
      <c r="S208" s="238"/>
      <c r="T208" s="239"/>
      <c r="U208" s="240"/>
    </row>
    <row r="209" spans="1:21" ht="15.75" customHeight="1">
      <c r="A209" s="300">
        <v>199</v>
      </c>
      <c r="B209" s="263">
        <v>2000</v>
      </c>
      <c r="C209" s="368"/>
      <c r="D209" s="265"/>
      <c r="E209" s="287" t="s">
        <v>688</v>
      </c>
      <c r="F209" s="389"/>
      <c r="G209" s="231"/>
      <c r="H209" s="224"/>
      <c r="I209" s="224"/>
      <c r="J209" s="224"/>
      <c r="K209" s="224"/>
      <c r="L209" s="232"/>
      <c r="M209" s="230"/>
      <c r="N209" s="237"/>
      <c r="O209" s="237"/>
      <c r="P209" s="237"/>
      <c r="Q209" s="237"/>
      <c r="R209" s="237"/>
      <c r="S209" s="238"/>
      <c r="T209" s="239"/>
      <c r="U209" s="240"/>
    </row>
    <row r="210" spans="1:21" ht="15.75" customHeight="1">
      <c r="A210" s="300">
        <v>200</v>
      </c>
      <c r="B210" s="263">
        <v>2000</v>
      </c>
      <c r="C210" s="368"/>
      <c r="D210" s="265"/>
      <c r="E210" s="287" t="s">
        <v>691</v>
      </c>
      <c r="F210" s="389"/>
      <c r="G210" s="231"/>
      <c r="H210" s="224"/>
      <c r="I210" s="224"/>
      <c r="J210" s="224"/>
      <c r="K210" s="224"/>
      <c r="L210" s="232"/>
      <c r="M210" s="230"/>
      <c r="N210" s="237"/>
      <c r="O210" s="237"/>
      <c r="P210" s="237"/>
      <c r="Q210" s="237"/>
      <c r="R210" s="237"/>
      <c r="S210" s="238"/>
      <c r="T210" s="239"/>
      <c r="U210" s="240"/>
    </row>
    <row r="211" spans="1:21" ht="15.75" customHeight="1">
      <c r="A211" s="300">
        <v>201</v>
      </c>
      <c r="B211" s="263">
        <v>2000</v>
      </c>
      <c r="C211" s="368"/>
      <c r="D211" s="265"/>
      <c r="E211" s="287" t="s">
        <v>694</v>
      </c>
      <c r="F211" s="389"/>
      <c r="G211" s="231"/>
      <c r="H211" s="229"/>
      <c r="I211" s="224"/>
      <c r="J211" s="224"/>
      <c r="K211" s="224"/>
      <c r="L211" s="232"/>
      <c r="M211" s="230"/>
      <c r="N211" s="237"/>
      <c r="O211" s="237"/>
      <c r="P211" s="237"/>
      <c r="Q211" s="237"/>
      <c r="R211" s="237"/>
      <c r="S211" s="238"/>
      <c r="T211" s="239"/>
      <c r="U211" s="240"/>
    </row>
    <row r="212" spans="1:21" ht="15.75" customHeight="1">
      <c r="A212" s="300">
        <v>202</v>
      </c>
      <c r="B212" s="263">
        <v>2000</v>
      </c>
      <c r="C212" s="368"/>
      <c r="D212" s="265"/>
      <c r="E212" s="287" t="s">
        <v>698</v>
      </c>
      <c r="F212" s="389"/>
      <c r="G212" s="231"/>
      <c r="H212" s="224"/>
      <c r="I212" s="224"/>
      <c r="J212" s="224"/>
      <c r="K212" s="224"/>
      <c r="L212" s="232"/>
      <c r="M212" s="230"/>
      <c r="N212" s="237"/>
      <c r="O212" s="237"/>
      <c r="P212" s="237"/>
      <c r="Q212" s="237"/>
      <c r="R212" s="237"/>
      <c r="S212" s="238"/>
      <c r="T212" s="239"/>
      <c r="U212" s="240"/>
    </row>
    <row r="213" spans="1:21" ht="15.75" customHeight="1">
      <c r="A213" s="300">
        <v>203</v>
      </c>
      <c r="B213" s="263">
        <v>2000</v>
      </c>
      <c r="C213" s="368"/>
      <c r="D213" s="265"/>
      <c r="E213" s="287" t="s">
        <v>702</v>
      </c>
      <c r="F213" s="389"/>
      <c r="G213" s="231"/>
      <c r="H213" s="224"/>
      <c r="I213" s="224"/>
      <c r="J213" s="224"/>
      <c r="K213" s="224"/>
      <c r="L213" s="232"/>
      <c r="M213" s="230"/>
      <c r="N213" s="237"/>
      <c r="O213" s="237"/>
      <c r="P213" s="237"/>
      <c r="Q213" s="237"/>
      <c r="R213" s="237"/>
      <c r="S213" s="238"/>
      <c r="T213" s="239"/>
      <c r="U213" s="240"/>
    </row>
    <row r="214" spans="1:21" ht="15.75" customHeight="1">
      <c r="A214" s="300">
        <v>204</v>
      </c>
      <c r="B214" s="263">
        <v>2000</v>
      </c>
      <c r="C214" s="368"/>
      <c r="D214" s="265"/>
      <c r="E214" s="287" t="s">
        <v>706</v>
      </c>
      <c r="F214" s="389"/>
      <c r="G214" s="231"/>
      <c r="H214" s="224"/>
      <c r="I214" s="224"/>
      <c r="J214" s="224"/>
      <c r="K214" s="224"/>
      <c r="L214" s="232"/>
      <c r="M214" s="230"/>
      <c r="N214" s="237"/>
      <c r="O214" s="237"/>
      <c r="P214" s="237"/>
      <c r="Q214" s="237"/>
      <c r="R214" s="237"/>
      <c r="S214" s="238"/>
      <c r="T214" s="239"/>
      <c r="U214" s="240"/>
    </row>
    <row r="215" spans="1:21" ht="15.75" customHeight="1">
      <c r="A215" s="300">
        <v>205</v>
      </c>
      <c r="B215" s="263">
        <v>2000</v>
      </c>
      <c r="C215" s="368"/>
      <c r="D215" s="265"/>
      <c r="E215" s="287" t="s">
        <v>710</v>
      </c>
      <c r="F215" s="389"/>
      <c r="G215" s="231"/>
      <c r="H215" s="224"/>
      <c r="I215" s="224"/>
      <c r="J215" s="224"/>
      <c r="K215" s="224"/>
      <c r="L215" s="232"/>
      <c r="M215" s="230"/>
      <c r="N215" s="237"/>
      <c r="O215" s="237"/>
      <c r="P215" s="237"/>
      <c r="Q215" s="237"/>
      <c r="R215" s="237"/>
      <c r="S215" s="238"/>
      <c r="T215" s="239"/>
      <c r="U215" s="240"/>
    </row>
    <row r="216" spans="1:21" ht="15.75" customHeight="1">
      <c r="A216" s="300">
        <v>206</v>
      </c>
      <c r="B216" s="263">
        <v>2000</v>
      </c>
      <c r="C216" s="368"/>
      <c r="D216" s="265"/>
      <c r="E216" s="287" t="s">
        <v>714</v>
      </c>
      <c r="F216" s="389"/>
      <c r="G216" s="231"/>
      <c r="H216" s="224"/>
      <c r="I216" s="224"/>
      <c r="J216" s="224"/>
      <c r="K216" s="224"/>
      <c r="L216" s="232"/>
      <c r="M216" s="230"/>
      <c r="N216" s="237"/>
      <c r="O216" s="237"/>
      <c r="P216" s="237"/>
      <c r="Q216" s="237"/>
      <c r="R216" s="237"/>
      <c r="S216" s="238"/>
      <c r="T216" s="239"/>
      <c r="U216" s="240"/>
    </row>
    <row r="217" spans="1:21" ht="15.75" customHeight="1">
      <c r="A217" s="300">
        <v>207</v>
      </c>
      <c r="B217" s="263">
        <v>2000</v>
      </c>
      <c r="C217" s="368"/>
      <c r="D217" s="265"/>
      <c r="E217" s="287" t="s">
        <v>718</v>
      </c>
      <c r="F217" s="389"/>
      <c r="G217" s="231"/>
      <c r="H217" s="224"/>
      <c r="I217" s="224"/>
      <c r="J217" s="224"/>
      <c r="K217" s="224"/>
      <c r="L217" s="232"/>
      <c r="M217" s="230"/>
      <c r="N217" s="237"/>
      <c r="O217" s="237"/>
      <c r="P217" s="237"/>
      <c r="Q217" s="237"/>
      <c r="R217" s="237"/>
      <c r="S217" s="238"/>
      <c r="T217" s="239"/>
      <c r="U217" s="240"/>
    </row>
    <row r="218" spans="1:21" ht="15.75" customHeight="1">
      <c r="A218" s="300">
        <v>208</v>
      </c>
      <c r="B218" s="263">
        <v>2000</v>
      </c>
      <c r="C218" s="368"/>
      <c r="D218" s="265"/>
      <c r="E218" s="287" t="s">
        <v>722</v>
      </c>
      <c r="F218" s="389"/>
      <c r="G218" s="231"/>
      <c r="H218" s="224"/>
      <c r="I218" s="224"/>
      <c r="J218" s="224"/>
      <c r="K218" s="224"/>
      <c r="L218" s="232"/>
      <c r="M218" s="230"/>
      <c r="N218" s="237"/>
      <c r="O218" s="237"/>
      <c r="P218" s="237"/>
      <c r="Q218" s="237"/>
      <c r="R218" s="237"/>
      <c r="S218" s="238"/>
      <c r="T218" s="239"/>
      <c r="U218" s="240"/>
    </row>
    <row r="219" spans="1:21" ht="15.75" customHeight="1">
      <c r="A219" s="300">
        <v>209</v>
      </c>
      <c r="B219" s="263">
        <v>2000</v>
      </c>
      <c r="C219" s="368"/>
      <c r="D219" s="265"/>
      <c r="E219" s="287" t="s">
        <v>726</v>
      </c>
      <c r="F219" s="389"/>
      <c r="G219" s="231"/>
      <c r="H219" s="224"/>
      <c r="I219" s="224"/>
      <c r="J219" s="224"/>
      <c r="K219" s="224"/>
      <c r="L219" s="232"/>
      <c r="M219" s="230"/>
      <c r="N219" s="237"/>
      <c r="O219" s="237"/>
      <c r="P219" s="237"/>
      <c r="Q219" s="237"/>
      <c r="R219" s="237"/>
      <c r="S219" s="238"/>
      <c r="T219" s="239"/>
      <c r="U219" s="240"/>
    </row>
    <row r="220" spans="1:21" ht="15.75" customHeight="1">
      <c r="A220" s="300">
        <v>210</v>
      </c>
      <c r="B220" s="263">
        <v>2000</v>
      </c>
      <c r="C220" s="368"/>
      <c r="D220" s="265"/>
      <c r="E220" s="287" t="s">
        <v>730</v>
      </c>
      <c r="F220" s="389"/>
      <c r="G220" s="231"/>
      <c r="H220" s="224"/>
      <c r="I220" s="224"/>
      <c r="J220" s="224"/>
      <c r="K220" s="224"/>
      <c r="L220" s="232"/>
      <c r="M220" s="230"/>
      <c r="N220" s="237"/>
      <c r="O220" s="237"/>
      <c r="P220" s="237"/>
      <c r="Q220" s="237"/>
      <c r="R220" s="237"/>
      <c r="S220" s="238"/>
      <c r="T220" s="239"/>
      <c r="U220" s="240"/>
    </row>
    <row r="221" spans="1:21" ht="15.75" customHeight="1">
      <c r="A221" s="300">
        <v>211</v>
      </c>
      <c r="B221" s="263">
        <v>2000</v>
      </c>
      <c r="C221" s="368"/>
      <c r="D221" s="265"/>
      <c r="E221" s="287" t="s">
        <v>734</v>
      </c>
      <c r="F221" s="389"/>
      <c r="G221" s="231"/>
      <c r="H221" s="224"/>
      <c r="I221" s="224"/>
      <c r="J221" s="224"/>
      <c r="K221" s="224"/>
      <c r="L221" s="232"/>
      <c r="M221" s="230"/>
      <c r="N221" s="237"/>
      <c r="O221" s="237"/>
      <c r="P221" s="237"/>
      <c r="Q221" s="237"/>
      <c r="R221" s="237"/>
      <c r="S221" s="238"/>
      <c r="T221" s="239"/>
      <c r="U221" s="240"/>
    </row>
    <row r="222" spans="1:21" ht="15.75" customHeight="1">
      <c r="A222" s="300">
        <v>212</v>
      </c>
      <c r="B222" s="263">
        <v>2000</v>
      </c>
      <c r="C222" s="368"/>
      <c r="D222" s="265"/>
      <c r="E222" s="287" t="s">
        <v>737</v>
      </c>
      <c r="F222" s="389"/>
      <c r="G222" s="231"/>
      <c r="H222" s="224"/>
      <c r="I222" s="224"/>
      <c r="J222" s="224"/>
      <c r="K222" s="224"/>
      <c r="L222" s="232"/>
      <c r="M222" s="230"/>
      <c r="N222" s="237"/>
      <c r="O222" s="237"/>
      <c r="P222" s="237"/>
      <c r="Q222" s="237"/>
      <c r="R222" s="237"/>
      <c r="S222" s="238"/>
      <c r="T222" s="239"/>
      <c r="U222" s="240"/>
    </row>
    <row r="223" spans="1:21" ht="15.75" customHeight="1">
      <c r="A223" s="300">
        <v>213</v>
      </c>
      <c r="B223" s="263">
        <v>2000</v>
      </c>
      <c r="C223" s="368"/>
      <c r="D223" s="265"/>
      <c r="E223" s="287" t="s">
        <v>740</v>
      </c>
      <c r="F223" s="389"/>
      <c r="G223" s="231"/>
      <c r="H223" s="224"/>
      <c r="I223" s="224"/>
      <c r="J223" s="224"/>
      <c r="K223" s="224"/>
      <c r="L223" s="232"/>
      <c r="M223" s="230"/>
      <c r="N223" s="237"/>
      <c r="O223" s="237"/>
      <c r="P223" s="237"/>
      <c r="Q223" s="237"/>
      <c r="R223" s="237"/>
      <c r="S223" s="238"/>
      <c r="T223" s="239"/>
      <c r="U223" s="240"/>
    </row>
    <row r="224" spans="1:21" ht="15.75" customHeight="1">
      <c r="A224" s="300">
        <v>214</v>
      </c>
      <c r="B224" s="263">
        <v>2000</v>
      </c>
      <c r="C224" s="368"/>
      <c r="D224" s="265"/>
      <c r="E224" s="287" t="s">
        <v>2115</v>
      </c>
      <c r="F224" s="389"/>
      <c r="G224" s="231"/>
      <c r="H224" s="224"/>
      <c r="I224" s="224"/>
      <c r="J224" s="224"/>
      <c r="K224" s="224"/>
      <c r="L224" s="232"/>
      <c r="M224" s="230"/>
      <c r="N224" s="237"/>
      <c r="O224" s="237"/>
      <c r="P224" s="237"/>
      <c r="Q224" s="237"/>
      <c r="R224" s="237"/>
      <c r="S224" s="238"/>
      <c r="T224" s="239"/>
      <c r="U224" s="240"/>
    </row>
    <row r="225" spans="1:23" ht="15.75" customHeight="1">
      <c r="A225" s="300">
        <v>215</v>
      </c>
      <c r="B225" s="263">
        <v>2000</v>
      </c>
      <c r="C225" s="368"/>
      <c r="D225" s="265"/>
      <c r="E225" s="287" t="s">
        <v>744</v>
      </c>
      <c r="F225" s="390"/>
      <c r="G225" s="231"/>
      <c r="H225" s="224"/>
      <c r="I225" s="224"/>
      <c r="J225" s="224"/>
      <c r="K225" s="224"/>
      <c r="L225" s="232"/>
      <c r="M225" s="230"/>
      <c r="N225" s="237"/>
      <c r="O225" s="237"/>
      <c r="P225" s="237"/>
      <c r="Q225" s="237"/>
      <c r="R225" s="237"/>
      <c r="S225" s="238"/>
      <c r="T225" s="239"/>
      <c r="U225" s="240"/>
    </row>
    <row r="226" spans="1:23" ht="15.75" customHeight="1">
      <c r="A226" s="300">
        <v>216</v>
      </c>
      <c r="B226" s="263">
        <v>2000</v>
      </c>
      <c r="C226" s="369" t="s">
        <v>2682</v>
      </c>
      <c r="D226" s="266" t="s">
        <v>1966</v>
      </c>
      <c r="E226" s="287" t="s">
        <v>747</v>
      </c>
      <c r="F226" s="388">
        <v>2005</v>
      </c>
      <c r="G226" s="231"/>
      <c r="H226" s="229"/>
      <c r="I226" s="229"/>
      <c r="J226" s="229"/>
      <c r="K226" s="229"/>
      <c r="L226" s="232"/>
      <c r="M226" s="230"/>
      <c r="N226" s="237"/>
      <c r="O226" s="237"/>
      <c r="P226" s="237"/>
      <c r="Q226" s="237"/>
      <c r="R226" s="237"/>
      <c r="S226" s="238"/>
      <c r="T226" s="239"/>
      <c r="U226" s="240"/>
    </row>
    <row r="227" spans="1:23" ht="15.75" customHeight="1">
      <c r="A227" s="300">
        <v>217</v>
      </c>
      <c r="B227" s="263">
        <v>2000</v>
      </c>
      <c r="C227" s="369"/>
      <c r="D227" s="266"/>
      <c r="E227" s="287" t="s">
        <v>754</v>
      </c>
      <c r="F227" s="389"/>
      <c r="G227" s="231"/>
      <c r="H227" s="224"/>
      <c r="I227" s="224"/>
      <c r="J227" s="224"/>
      <c r="K227" s="224"/>
      <c r="L227" s="232"/>
      <c r="M227" s="230"/>
      <c r="N227" s="237"/>
      <c r="O227" s="237"/>
      <c r="P227" s="237"/>
      <c r="Q227" s="237"/>
      <c r="R227" s="237"/>
      <c r="S227" s="238"/>
      <c r="T227" s="239"/>
      <c r="U227" s="240"/>
    </row>
    <row r="228" spans="1:23" ht="15.75" customHeight="1">
      <c r="A228" s="300">
        <v>218</v>
      </c>
      <c r="B228" s="263">
        <v>2000</v>
      </c>
      <c r="C228" s="369"/>
      <c r="D228" s="266"/>
      <c r="E228" s="287" t="s">
        <v>758</v>
      </c>
      <c r="F228" s="389"/>
      <c r="G228" s="231"/>
      <c r="H228" s="224"/>
      <c r="I228" s="224"/>
      <c r="J228" s="224"/>
      <c r="K228" s="224"/>
      <c r="L228" s="232"/>
      <c r="M228" s="230"/>
      <c r="N228" s="237"/>
      <c r="O228" s="237"/>
      <c r="P228" s="237"/>
      <c r="Q228" s="237"/>
      <c r="R228" s="237"/>
      <c r="S228" s="238"/>
      <c r="T228" s="239"/>
      <c r="U228" s="240"/>
    </row>
    <row r="229" spans="1:23" ht="15.75" customHeight="1">
      <c r="A229" s="300">
        <v>219</v>
      </c>
      <c r="B229" s="263">
        <v>2000</v>
      </c>
      <c r="C229" s="369"/>
      <c r="D229" s="266"/>
      <c r="E229" s="287" t="s">
        <v>763</v>
      </c>
      <c r="F229" s="389"/>
      <c r="G229" s="231"/>
      <c r="H229" s="224"/>
      <c r="I229" s="224"/>
      <c r="J229" s="224"/>
      <c r="K229" s="224"/>
      <c r="L229" s="232"/>
      <c r="M229" s="230"/>
      <c r="N229" s="237"/>
      <c r="O229" s="237"/>
      <c r="P229" s="237"/>
      <c r="Q229" s="237"/>
      <c r="R229" s="237"/>
      <c r="S229" s="238"/>
      <c r="T229" s="239"/>
      <c r="U229" s="240"/>
    </row>
    <row r="230" spans="1:23" ht="15.75" customHeight="1">
      <c r="A230" s="300">
        <v>220</v>
      </c>
      <c r="B230" s="263">
        <v>2000</v>
      </c>
      <c r="C230" s="369"/>
      <c r="D230" s="266"/>
      <c r="E230" s="287" t="s">
        <v>767</v>
      </c>
      <c r="F230" s="389"/>
      <c r="G230" s="231"/>
      <c r="H230" s="224"/>
      <c r="I230" s="224"/>
      <c r="J230" s="224"/>
      <c r="K230" s="224"/>
      <c r="L230" s="232"/>
      <c r="M230" s="230"/>
      <c r="N230" s="237"/>
      <c r="O230" s="237"/>
      <c r="P230" s="237"/>
      <c r="Q230" s="237"/>
      <c r="R230" s="237"/>
      <c r="S230" s="238"/>
      <c r="T230" s="239"/>
      <c r="U230" s="240"/>
    </row>
    <row r="231" spans="1:23" ht="15.75" customHeight="1">
      <c r="A231" s="300">
        <v>221</v>
      </c>
      <c r="B231" s="263">
        <v>2000</v>
      </c>
      <c r="C231" s="369"/>
      <c r="D231" s="266"/>
      <c r="E231" s="287" t="s">
        <v>771</v>
      </c>
      <c r="F231" s="389"/>
      <c r="G231" s="231"/>
      <c r="H231" s="224"/>
      <c r="I231" s="224"/>
      <c r="J231" s="224"/>
      <c r="K231" s="224"/>
      <c r="L231" s="232"/>
      <c r="M231" s="230"/>
      <c r="N231" s="237"/>
      <c r="O231" s="237"/>
      <c r="P231" s="237"/>
      <c r="Q231" s="237"/>
      <c r="R231" s="237"/>
      <c r="S231" s="238"/>
      <c r="T231" s="239"/>
      <c r="U231" s="240"/>
    </row>
    <row r="232" spans="1:23">
      <c r="A232" s="300">
        <v>222</v>
      </c>
      <c r="B232" s="263">
        <v>2000</v>
      </c>
      <c r="C232" s="369"/>
      <c r="D232" s="266"/>
      <c r="E232" s="287" t="s">
        <v>774</v>
      </c>
      <c r="F232" s="390"/>
      <c r="G232" s="231"/>
      <c r="H232" s="224"/>
      <c r="I232" s="224"/>
      <c r="J232" s="224"/>
      <c r="K232" s="224"/>
      <c r="L232" s="232"/>
      <c r="M232" s="230"/>
      <c r="N232" s="237"/>
      <c r="O232" s="237"/>
      <c r="P232" s="237"/>
      <c r="Q232" s="237"/>
      <c r="R232" s="237"/>
      <c r="S232" s="238"/>
      <c r="T232" s="239"/>
      <c r="U232" s="240"/>
    </row>
    <row r="233" spans="1:23" ht="29.1" customHeight="1">
      <c r="A233" s="300">
        <v>223</v>
      </c>
      <c r="B233" s="263">
        <v>2000</v>
      </c>
      <c r="C233" s="368" t="s">
        <v>2682</v>
      </c>
      <c r="D233" s="266" t="s">
        <v>1967</v>
      </c>
      <c r="E233" s="288" t="s">
        <v>786</v>
      </c>
      <c r="F233" s="394">
        <v>2002</v>
      </c>
      <c r="G233" s="251"/>
      <c r="H233" s="229"/>
      <c r="I233" s="229"/>
      <c r="J233" s="229"/>
      <c r="K233" s="229"/>
      <c r="L233" s="229"/>
      <c r="M233" s="253"/>
      <c r="N233" s="237"/>
      <c r="O233" s="237"/>
      <c r="P233" s="237"/>
      <c r="Q233" s="237"/>
      <c r="R233" s="237"/>
      <c r="S233" s="238"/>
      <c r="T233" s="239"/>
      <c r="U233" s="240"/>
    </row>
    <row r="234" spans="1:23" ht="15" customHeight="1">
      <c r="A234" s="300">
        <v>224</v>
      </c>
      <c r="B234" s="263">
        <v>2000</v>
      </c>
      <c r="C234" s="368"/>
      <c r="D234" s="266"/>
      <c r="E234" s="289" t="s">
        <v>2177</v>
      </c>
      <c r="F234" s="395"/>
      <c r="G234" s="224"/>
      <c r="H234" s="224"/>
      <c r="I234" s="224"/>
      <c r="J234" s="224"/>
      <c r="K234" s="224"/>
      <c r="L234" s="224"/>
      <c r="M234" s="253"/>
      <c r="N234" s="237"/>
      <c r="O234" s="237"/>
      <c r="P234" s="237"/>
      <c r="Q234" s="237"/>
      <c r="R234" s="237"/>
      <c r="S234" s="238"/>
      <c r="T234" s="239"/>
      <c r="U234" s="240"/>
    </row>
    <row r="235" spans="1:23" ht="15" customHeight="1">
      <c r="A235" s="300">
        <v>225</v>
      </c>
      <c r="B235" s="263">
        <v>2000</v>
      </c>
      <c r="C235" s="368"/>
      <c r="D235" s="266"/>
      <c r="E235" s="289" t="s">
        <v>2178</v>
      </c>
      <c r="F235" s="395"/>
      <c r="G235" s="224"/>
      <c r="H235" s="224"/>
      <c r="I235" s="224"/>
      <c r="J235" s="224"/>
      <c r="K235" s="224"/>
      <c r="L235" s="224"/>
      <c r="M235" s="253"/>
      <c r="N235" s="237"/>
      <c r="O235" s="237"/>
      <c r="P235" s="237"/>
      <c r="Q235" s="237"/>
      <c r="R235" s="237"/>
      <c r="S235" s="238"/>
      <c r="T235" s="239"/>
      <c r="U235" s="240"/>
    </row>
    <row r="236" spans="1:23" ht="15" customHeight="1">
      <c r="A236" s="300">
        <v>226</v>
      </c>
      <c r="B236" s="263">
        <v>2000</v>
      </c>
      <c r="C236" s="368"/>
      <c r="D236" s="266"/>
      <c r="E236" s="289" t="s">
        <v>2179</v>
      </c>
      <c r="F236" s="395"/>
      <c r="G236" s="224"/>
      <c r="H236" s="224"/>
      <c r="I236" s="224"/>
      <c r="J236" s="224"/>
      <c r="K236" s="224"/>
      <c r="L236" s="224"/>
      <c r="M236" s="253"/>
      <c r="N236" s="237"/>
      <c r="O236" s="237"/>
      <c r="P236" s="237"/>
      <c r="Q236" s="237"/>
      <c r="R236" s="237"/>
      <c r="S236" s="238"/>
      <c r="T236" s="239"/>
      <c r="U236" s="240"/>
    </row>
    <row r="237" spans="1:23" ht="15" customHeight="1">
      <c r="A237" s="300">
        <v>227</v>
      </c>
      <c r="B237" s="263">
        <v>2000</v>
      </c>
      <c r="C237" s="368"/>
      <c r="D237" s="266"/>
      <c r="E237" s="289" t="s">
        <v>2180</v>
      </c>
      <c r="F237" s="395"/>
      <c r="G237" s="224"/>
      <c r="H237" s="224"/>
      <c r="I237" s="224"/>
      <c r="J237" s="224"/>
      <c r="K237" s="224"/>
      <c r="L237" s="224"/>
      <c r="M237" s="253"/>
      <c r="N237" s="237"/>
      <c r="O237" s="237"/>
      <c r="P237" s="237"/>
      <c r="Q237" s="237"/>
      <c r="R237" s="237"/>
      <c r="S237" s="238"/>
      <c r="T237" s="239"/>
      <c r="U237" s="240"/>
    </row>
    <row r="238" spans="1:23" ht="15.75" customHeight="1">
      <c r="A238" s="300">
        <v>228</v>
      </c>
      <c r="B238" s="263">
        <v>2000</v>
      </c>
      <c r="C238" s="368"/>
      <c r="D238" s="266"/>
      <c r="E238" s="290" t="s">
        <v>1837</v>
      </c>
      <c r="F238" s="395"/>
      <c r="G238" s="235"/>
      <c r="H238" s="224"/>
      <c r="I238" s="224"/>
      <c r="J238" s="224"/>
      <c r="K238" s="224"/>
      <c r="L238" s="224"/>
      <c r="M238" s="255"/>
      <c r="N238" s="237"/>
      <c r="O238" s="237"/>
      <c r="P238" s="237"/>
      <c r="Q238" s="237"/>
      <c r="R238" s="237"/>
      <c r="S238" s="238"/>
      <c r="T238" s="239"/>
      <c r="U238" s="240"/>
      <c r="W238" s="226"/>
    </row>
    <row r="239" spans="1:23" ht="15.75" customHeight="1">
      <c r="A239" s="300">
        <v>229</v>
      </c>
      <c r="B239" s="263">
        <v>2000</v>
      </c>
      <c r="C239" s="368"/>
      <c r="D239" s="266"/>
      <c r="E239" s="289" t="s">
        <v>2181</v>
      </c>
      <c r="F239" s="395"/>
      <c r="G239" s="224"/>
      <c r="H239" s="224"/>
      <c r="I239" s="224"/>
      <c r="J239" s="224"/>
      <c r="K239" s="224"/>
      <c r="L239" s="224"/>
      <c r="M239" s="255"/>
      <c r="N239" s="237"/>
      <c r="O239" s="237"/>
      <c r="P239" s="237"/>
      <c r="Q239" s="237"/>
      <c r="R239" s="237"/>
      <c r="S239" s="238"/>
      <c r="T239" s="239"/>
      <c r="U239" s="240"/>
      <c r="W239" s="227"/>
    </row>
    <row r="240" spans="1:23" ht="15.75" customHeight="1">
      <c r="A240" s="300">
        <v>230</v>
      </c>
      <c r="B240" s="263">
        <v>2000</v>
      </c>
      <c r="C240" s="368"/>
      <c r="D240" s="266"/>
      <c r="E240" s="289" t="s">
        <v>2182</v>
      </c>
      <c r="F240" s="395"/>
      <c r="G240" s="224"/>
      <c r="H240" s="224"/>
      <c r="I240" s="224"/>
      <c r="J240" s="224"/>
      <c r="K240" s="224"/>
      <c r="L240" s="224"/>
      <c r="M240" s="255"/>
      <c r="N240" s="237"/>
      <c r="O240" s="237"/>
      <c r="P240" s="237"/>
      <c r="Q240" s="237"/>
      <c r="R240" s="237"/>
      <c r="S240" s="238"/>
      <c r="T240" s="239"/>
      <c r="U240" s="240"/>
      <c r="W240" s="227"/>
    </row>
    <row r="241" spans="1:23" ht="15.75" customHeight="1">
      <c r="A241" s="300">
        <v>231</v>
      </c>
      <c r="B241" s="263">
        <v>2000</v>
      </c>
      <c r="C241" s="368"/>
      <c r="D241" s="266"/>
      <c r="E241" s="289" t="s">
        <v>2183</v>
      </c>
      <c r="F241" s="395"/>
      <c r="G241" s="224"/>
      <c r="H241" s="224"/>
      <c r="I241" s="224"/>
      <c r="J241" s="224"/>
      <c r="K241" s="224"/>
      <c r="L241" s="224"/>
      <c r="M241" s="255"/>
      <c r="N241" s="237"/>
      <c r="O241" s="237"/>
      <c r="P241" s="237"/>
      <c r="Q241" s="237"/>
      <c r="R241" s="237"/>
      <c r="S241" s="238"/>
      <c r="T241" s="239"/>
      <c r="U241" s="240"/>
      <c r="W241" s="227"/>
    </row>
    <row r="242" spans="1:23" ht="15.75" customHeight="1">
      <c r="A242" s="300">
        <v>232</v>
      </c>
      <c r="B242" s="263">
        <v>2000</v>
      </c>
      <c r="C242" s="368"/>
      <c r="D242" s="266"/>
      <c r="E242" s="289" t="s">
        <v>2184</v>
      </c>
      <c r="F242" s="395"/>
      <c r="G242" s="224"/>
      <c r="H242" s="224"/>
      <c r="I242" s="224"/>
      <c r="J242" s="224"/>
      <c r="K242" s="224"/>
      <c r="L242" s="224"/>
      <c r="M242" s="255"/>
      <c r="N242" s="237"/>
      <c r="O242" s="237"/>
      <c r="P242" s="237"/>
      <c r="Q242" s="237"/>
      <c r="R242" s="237"/>
      <c r="S242" s="238"/>
      <c r="T242" s="239"/>
      <c r="U242" s="240"/>
      <c r="W242" s="227"/>
    </row>
    <row r="243" spans="1:23" ht="15.75" customHeight="1">
      <c r="A243" s="300">
        <v>233</v>
      </c>
      <c r="B243" s="263">
        <v>2000</v>
      </c>
      <c r="C243" s="368"/>
      <c r="D243" s="266"/>
      <c r="E243" s="287" t="s">
        <v>791</v>
      </c>
      <c r="F243" s="395"/>
      <c r="G243" s="231"/>
      <c r="H243" s="229"/>
      <c r="I243" s="224"/>
      <c r="J243" s="224"/>
      <c r="K243" s="224"/>
      <c r="L243" s="232"/>
      <c r="M243" s="255"/>
      <c r="N243" s="237"/>
      <c r="O243" s="237"/>
      <c r="P243" s="237"/>
      <c r="Q243" s="237"/>
      <c r="R243" s="237"/>
      <c r="S243" s="238"/>
      <c r="T243" s="239"/>
      <c r="U243" s="240"/>
      <c r="W243" s="226"/>
    </row>
    <row r="244" spans="1:23" ht="15.75" customHeight="1">
      <c r="A244" s="300">
        <v>234</v>
      </c>
      <c r="B244" s="263">
        <v>2000</v>
      </c>
      <c r="C244" s="368"/>
      <c r="D244" s="266"/>
      <c r="E244" s="287" t="s">
        <v>794</v>
      </c>
      <c r="F244" s="395"/>
      <c r="G244" s="231"/>
      <c r="H244" s="224"/>
      <c r="I244" s="224"/>
      <c r="J244" s="224"/>
      <c r="K244" s="224"/>
      <c r="L244" s="232"/>
      <c r="M244" s="255"/>
      <c r="N244" s="237"/>
      <c r="O244" s="237"/>
      <c r="P244" s="237"/>
      <c r="Q244" s="237"/>
      <c r="R244" s="237"/>
      <c r="S244" s="238"/>
      <c r="T244" s="239"/>
      <c r="U244" s="240"/>
      <c r="W244" s="226"/>
    </row>
    <row r="245" spans="1:23" ht="15.75" customHeight="1">
      <c r="A245" s="300">
        <v>235</v>
      </c>
      <c r="B245" s="263">
        <v>2000</v>
      </c>
      <c r="C245" s="368"/>
      <c r="D245" s="266"/>
      <c r="E245" s="287" t="s">
        <v>797</v>
      </c>
      <c r="F245" s="395"/>
      <c r="G245" s="231"/>
      <c r="H245" s="224"/>
      <c r="I245" s="224"/>
      <c r="J245" s="224"/>
      <c r="K245" s="224"/>
      <c r="L245" s="232"/>
      <c r="M245" s="255"/>
      <c r="N245" s="237"/>
      <c r="O245" s="237"/>
      <c r="P245" s="237"/>
      <c r="Q245" s="237"/>
      <c r="R245" s="237"/>
      <c r="S245" s="238"/>
      <c r="T245" s="239"/>
      <c r="U245" s="240"/>
      <c r="W245" s="226"/>
    </row>
    <row r="246" spans="1:23" ht="15.75" customHeight="1">
      <c r="A246" s="300">
        <v>236</v>
      </c>
      <c r="B246" s="263">
        <v>2000</v>
      </c>
      <c r="C246" s="368"/>
      <c r="D246" s="266"/>
      <c r="E246" s="287" t="s">
        <v>800</v>
      </c>
      <c r="F246" s="395"/>
      <c r="G246" s="231"/>
      <c r="H246" s="224"/>
      <c r="I246" s="224"/>
      <c r="J246" s="224"/>
      <c r="K246" s="224"/>
      <c r="L246" s="232"/>
      <c r="M246" s="255"/>
      <c r="N246" s="237"/>
      <c r="O246" s="237"/>
      <c r="P246" s="237"/>
      <c r="Q246" s="237"/>
      <c r="R246" s="237"/>
      <c r="S246" s="238"/>
      <c r="T246" s="239"/>
      <c r="U246" s="240"/>
      <c r="W246" s="226"/>
    </row>
    <row r="247" spans="1:23" ht="15.75" customHeight="1">
      <c r="A247" s="300">
        <v>237</v>
      </c>
      <c r="B247" s="263">
        <v>2000</v>
      </c>
      <c r="C247" s="368"/>
      <c r="D247" s="265" t="s">
        <v>1969</v>
      </c>
      <c r="E247" s="282" t="s">
        <v>2185</v>
      </c>
      <c r="F247" s="395"/>
      <c r="G247" s="250"/>
      <c r="H247" s="229"/>
      <c r="I247" s="224"/>
      <c r="J247" s="224"/>
      <c r="K247" s="224"/>
      <c r="L247" s="232"/>
      <c r="M247" s="255"/>
      <c r="N247" s="237"/>
      <c r="O247" s="237"/>
      <c r="P247" s="237"/>
      <c r="Q247" s="237"/>
      <c r="R247" s="237"/>
      <c r="S247" s="238"/>
      <c r="T247" s="239"/>
      <c r="U247" s="240"/>
      <c r="W247" s="226"/>
    </row>
    <row r="248" spans="1:23" ht="15.75" customHeight="1">
      <c r="A248" s="300">
        <v>238</v>
      </c>
      <c r="B248" s="263">
        <v>2000</v>
      </c>
      <c r="C248" s="368"/>
      <c r="D248" s="265"/>
      <c r="E248" s="287" t="s">
        <v>801</v>
      </c>
      <c r="F248" s="395"/>
      <c r="G248" s="231"/>
      <c r="H248" s="224"/>
      <c r="I248" s="224"/>
      <c r="J248" s="224"/>
      <c r="K248" s="224"/>
      <c r="L248" s="232"/>
      <c r="M248" s="229"/>
      <c r="N248" s="237"/>
      <c r="O248" s="237"/>
      <c r="P248" s="237"/>
      <c r="Q248" s="237"/>
      <c r="R248" s="237"/>
      <c r="S248" s="238"/>
      <c r="T248" s="239"/>
      <c r="U248" s="240"/>
    </row>
    <row r="249" spans="1:23" ht="15.75" customHeight="1">
      <c r="A249" s="300">
        <v>239</v>
      </c>
      <c r="B249" s="263">
        <v>2000</v>
      </c>
      <c r="C249" s="368"/>
      <c r="D249" s="265"/>
      <c r="E249" s="287" t="s">
        <v>803</v>
      </c>
      <c r="F249" s="395"/>
      <c r="G249" s="231"/>
      <c r="H249" s="224"/>
      <c r="I249" s="224"/>
      <c r="J249" s="224"/>
      <c r="K249" s="224"/>
      <c r="L249" s="232"/>
      <c r="M249" s="256"/>
      <c r="N249" s="237"/>
      <c r="O249" s="237"/>
      <c r="P249" s="237"/>
      <c r="Q249" s="237"/>
      <c r="R249" s="237"/>
      <c r="S249" s="238"/>
      <c r="T249" s="239"/>
      <c r="U249" s="240"/>
    </row>
    <row r="250" spans="1:23" ht="15.75" customHeight="1">
      <c r="A250" s="300">
        <v>240</v>
      </c>
      <c r="B250" s="263">
        <v>2000</v>
      </c>
      <c r="C250" s="368"/>
      <c r="D250" s="265"/>
      <c r="E250" s="287" t="s">
        <v>805</v>
      </c>
      <c r="F250" s="395"/>
      <c r="G250" s="231"/>
      <c r="H250" s="224"/>
      <c r="I250" s="224"/>
      <c r="J250" s="224"/>
      <c r="K250" s="224"/>
      <c r="L250" s="232"/>
      <c r="M250" s="256"/>
      <c r="N250" s="237"/>
      <c r="O250" s="237"/>
      <c r="P250" s="237"/>
      <c r="Q250" s="237"/>
      <c r="R250" s="237"/>
      <c r="S250" s="238"/>
      <c r="T250" s="239"/>
      <c r="U250" s="240"/>
    </row>
    <row r="251" spans="1:23" ht="15.75" customHeight="1">
      <c r="A251" s="300">
        <v>241</v>
      </c>
      <c r="B251" s="263">
        <v>2000</v>
      </c>
      <c r="C251" s="368"/>
      <c r="D251" s="265"/>
      <c r="E251" s="287" t="s">
        <v>807</v>
      </c>
      <c r="F251" s="395"/>
      <c r="G251" s="231"/>
      <c r="H251" s="224"/>
      <c r="I251" s="224"/>
      <c r="J251" s="224"/>
      <c r="K251" s="224"/>
      <c r="L251" s="232"/>
      <c r="M251" s="256"/>
      <c r="N251" s="237"/>
      <c r="O251" s="237"/>
      <c r="P251" s="237"/>
      <c r="Q251" s="237"/>
      <c r="R251" s="237"/>
      <c r="S251" s="238"/>
      <c r="T251" s="239"/>
      <c r="U251" s="240"/>
    </row>
    <row r="252" spans="1:23" ht="15.75" customHeight="1">
      <c r="A252" s="300">
        <v>242</v>
      </c>
      <c r="B252" s="263">
        <v>2000</v>
      </c>
      <c r="C252" s="368"/>
      <c r="D252" s="265"/>
      <c r="E252" s="287" t="s">
        <v>809</v>
      </c>
      <c r="F252" s="395"/>
      <c r="G252" s="231"/>
      <c r="H252" s="224"/>
      <c r="I252" s="224"/>
      <c r="J252" s="224"/>
      <c r="K252" s="224"/>
      <c r="L252" s="232"/>
      <c r="M252" s="256"/>
      <c r="N252" s="237"/>
      <c r="O252" s="237"/>
      <c r="P252" s="237"/>
      <c r="Q252" s="237"/>
      <c r="R252" s="237"/>
      <c r="S252" s="238"/>
      <c r="T252" s="239"/>
      <c r="U252" s="240"/>
    </row>
    <row r="253" spans="1:23" ht="15.75" customHeight="1">
      <c r="A253" s="300">
        <v>243</v>
      </c>
      <c r="B253" s="263">
        <v>2000</v>
      </c>
      <c r="C253" s="368"/>
      <c r="D253" s="265"/>
      <c r="E253" s="287" t="s">
        <v>811</v>
      </c>
      <c r="F253" s="395"/>
      <c r="G253" s="231"/>
      <c r="H253" s="224"/>
      <c r="I253" s="224"/>
      <c r="J253" s="224"/>
      <c r="K253" s="224"/>
      <c r="L253" s="232"/>
      <c r="M253" s="256"/>
      <c r="N253" s="237"/>
      <c r="O253" s="237"/>
      <c r="P253" s="237"/>
      <c r="Q253" s="237"/>
      <c r="R253" s="237"/>
      <c r="S253" s="238"/>
      <c r="T253" s="239"/>
      <c r="U253" s="240"/>
    </row>
    <row r="254" spans="1:23" ht="15.75" customHeight="1">
      <c r="A254" s="300">
        <v>244</v>
      </c>
      <c r="B254" s="263">
        <v>2000</v>
      </c>
      <c r="C254" s="368"/>
      <c r="D254" s="265"/>
      <c r="E254" s="282" t="s">
        <v>2186</v>
      </c>
      <c r="F254" s="395"/>
      <c r="G254" s="250"/>
      <c r="H254" s="224"/>
      <c r="I254" s="224"/>
      <c r="J254" s="224"/>
      <c r="K254" s="224"/>
      <c r="L254" s="232"/>
      <c r="M254" s="256"/>
      <c r="N254" s="237"/>
      <c r="O254" s="237"/>
      <c r="P254" s="237"/>
      <c r="Q254" s="237"/>
      <c r="R254" s="237"/>
      <c r="S254" s="238"/>
      <c r="T254" s="239"/>
      <c r="U254" s="240"/>
    </row>
    <row r="255" spans="1:23" ht="15.75" customHeight="1">
      <c r="A255" s="300">
        <v>245</v>
      </c>
      <c r="B255" s="263">
        <v>2000</v>
      </c>
      <c r="C255" s="368"/>
      <c r="D255" s="265"/>
      <c r="E255" s="287" t="s">
        <v>813</v>
      </c>
      <c r="F255" s="395"/>
      <c r="G255" s="231"/>
      <c r="H255" s="224"/>
      <c r="I255" s="224"/>
      <c r="J255" s="224"/>
      <c r="K255" s="224"/>
      <c r="L255" s="232"/>
      <c r="M255" s="229"/>
      <c r="N255" s="237"/>
      <c r="O255" s="237"/>
      <c r="P255" s="237"/>
      <c r="Q255" s="237"/>
      <c r="R255" s="237"/>
      <c r="S255" s="238"/>
      <c r="T255" s="239"/>
      <c r="U255" s="240"/>
    </row>
    <row r="256" spans="1:23" ht="15.75" customHeight="1">
      <c r="A256" s="300">
        <v>246</v>
      </c>
      <c r="B256" s="263">
        <v>2000</v>
      </c>
      <c r="C256" s="368"/>
      <c r="D256" s="265"/>
      <c r="E256" s="287" t="s">
        <v>815</v>
      </c>
      <c r="F256" s="395"/>
      <c r="G256" s="231"/>
      <c r="H256" s="224"/>
      <c r="I256" s="224"/>
      <c r="J256" s="224"/>
      <c r="K256" s="224"/>
      <c r="L256" s="232"/>
      <c r="M256" s="229"/>
      <c r="N256" s="237"/>
      <c r="O256" s="237"/>
      <c r="P256" s="237"/>
      <c r="Q256" s="237"/>
      <c r="R256" s="237"/>
      <c r="S256" s="238"/>
      <c r="T256" s="239"/>
      <c r="U256" s="240"/>
    </row>
    <row r="257" spans="1:21" ht="15.75" customHeight="1">
      <c r="A257" s="300">
        <v>247</v>
      </c>
      <c r="B257" s="263">
        <v>2000</v>
      </c>
      <c r="C257" s="368"/>
      <c r="D257" s="265"/>
      <c r="E257" s="287" t="s">
        <v>817</v>
      </c>
      <c r="F257" s="395"/>
      <c r="G257" s="231"/>
      <c r="H257" s="224"/>
      <c r="I257" s="224"/>
      <c r="J257" s="224"/>
      <c r="K257" s="224"/>
      <c r="L257" s="232"/>
      <c r="M257" s="229"/>
      <c r="N257" s="237"/>
      <c r="O257" s="237"/>
      <c r="P257" s="237"/>
      <c r="Q257" s="237"/>
      <c r="R257" s="237"/>
      <c r="S257" s="238"/>
      <c r="T257" s="239"/>
      <c r="U257" s="240"/>
    </row>
    <row r="258" spans="1:21" ht="15.75" customHeight="1">
      <c r="A258" s="300">
        <v>248</v>
      </c>
      <c r="B258" s="263">
        <v>2000</v>
      </c>
      <c r="C258" s="368"/>
      <c r="D258" s="265"/>
      <c r="E258" s="287" t="s">
        <v>819</v>
      </c>
      <c r="F258" s="395"/>
      <c r="G258" s="231"/>
      <c r="H258" s="224"/>
      <c r="I258" s="224"/>
      <c r="J258" s="224"/>
      <c r="K258" s="224"/>
      <c r="L258" s="232"/>
      <c r="M258" s="229"/>
      <c r="N258" s="237"/>
      <c r="O258" s="237"/>
      <c r="P258" s="237"/>
      <c r="Q258" s="237"/>
      <c r="R258" s="237"/>
      <c r="S258" s="238"/>
      <c r="T258" s="239"/>
      <c r="U258" s="240"/>
    </row>
    <row r="259" spans="1:21" ht="15.75" customHeight="1">
      <c r="A259" s="300">
        <v>249</v>
      </c>
      <c r="B259" s="263">
        <v>2000</v>
      </c>
      <c r="C259" s="368"/>
      <c r="D259" s="265"/>
      <c r="E259" s="287" t="s">
        <v>821</v>
      </c>
      <c r="F259" s="395"/>
      <c r="G259" s="231"/>
      <c r="H259" s="224"/>
      <c r="I259" s="224"/>
      <c r="J259" s="224"/>
      <c r="K259" s="224"/>
      <c r="L259" s="232"/>
      <c r="M259" s="229"/>
      <c r="N259" s="237"/>
      <c r="O259" s="237"/>
      <c r="P259" s="237"/>
      <c r="Q259" s="237"/>
      <c r="R259" s="237"/>
      <c r="S259" s="238"/>
      <c r="T259" s="239"/>
      <c r="U259" s="240"/>
    </row>
    <row r="260" spans="1:21" ht="15.75" customHeight="1">
      <c r="A260" s="300">
        <v>250</v>
      </c>
      <c r="B260" s="263">
        <v>2000</v>
      </c>
      <c r="C260" s="368"/>
      <c r="D260" s="265"/>
      <c r="E260" s="287" t="s">
        <v>823</v>
      </c>
      <c r="F260" s="395"/>
      <c r="G260" s="231"/>
      <c r="H260" s="224"/>
      <c r="I260" s="224"/>
      <c r="J260" s="224"/>
      <c r="K260" s="224"/>
      <c r="L260" s="232"/>
      <c r="M260" s="229"/>
      <c r="N260" s="237"/>
      <c r="O260" s="237"/>
      <c r="P260" s="237"/>
      <c r="Q260" s="237"/>
      <c r="R260" s="237"/>
      <c r="S260" s="238"/>
      <c r="T260" s="239"/>
      <c r="U260" s="240"/>
    </row>
    <row r="261" spans="1:21" ht="15.75" customHeight="1">
      <c r="A261" s="300">
        <v>251</v>
      </c>
      <c r="B261" s="263">
        <v>2000</v>
      </c>
      <c r="C261" s="368"/>
      <c r="D261" s="265"/>
      <c r="E261" s="282" t="s">
        <v>2187</v>
      </c>
      <c r="F261" s="395"/>
      <c r="G261" s="250"/>
      <c r="H261" s="224"/>
      <c r="I261" s="224"/>
      <c r="J261" s="224"/>
      <c r="K261" s="224"/>
      <c r="L261" s="232"/>
      <c r="M261" s="231"/>
      <c r="N261" s="237"/>
      <c r="O261" s="237"/>
      <c r="P261" s="237"/>
      <c r="Q261" s="237"/>
      <c r="R261" s="237"/>
      <c r="S261" s="238"/>
      <c r="T261" s="239"/>
      <c r="U261" s="240"/>
    </row>
    <row r="262" spans="1:21" ht="15.75" customHeight="1">
      <c r="A262" s="300">
        <v>252</v>
      </c>
      <c r="B262" s="263">
        <v>2000</v>
      </c>
      <c r="C262" s="368"/>
      <c r="D262" s="265"/>
      <c r="E262" s="291" t="s">
        <v>825</v>
      </c>
      <c r="F262" s="395"/>
      <c r="G262" s="231"/>
      <c r="H262" s="224"/>
      <c r="I262" s="224"/>
      <c r="J262" s="224"/>
      <c r="K262" s="224"/>
      <c r="L262" s="232"/>
      <c r="M262" s="231"/>
      <c r="N262" s="237"/>
      <c r="O262" s="237"/>
      <c r="P262" s="237"/>
      <c r="Q262" s="237"/>
      <c r="R262" s="237"/>
      <c r="S262" s="238"/>
      <c r="T262" s="239"/>
      <c r="U262" s="240"/>
    </row>
    <row r="263" spans="1:21" ht="15.75" customHeight="1">
      <c r="A263" s="300">
        <v>253</v>
      </c>
      <c r="B263" s="263">
        <v>2000</v>
      </c>
      <c r="C263" s="368"/>
      <c r="D263" s="265"/>
      <c r="E263" s="291" t="s">
        <v>827</v>
      </c>
      <c r="F263" s="395"/>
      <c r="G263" s="231"/>
      <c r="H263" s="224"/>
      <c r="I263" s="224"/>
      <c r="J263" s="224"/>
      <c r="K263" s="224"/>
      <c r="L263" s="232"/>
      <c r="M263" s="231"/>
      <c r="N263" s="237"/>
      <c r="O263" s="237"/>
      <c r="P263" s="237"/>
      <c r="Q263" s="237"/>
      <c r="R263" s="237"/>
      <c r="S263" s="238"/>
      <c r="T263" s="239"/>
      <c r="U263" s="240"/>
    </row>
    <row r="264" spans="1:21" ht="15.75" customHeight="1">
      <c r="A264" s="300">
        <v>254</v>
      </c>
      <c r="B264" s="263">
        <v>2000</v>
      </c>
      <c r="C264" s="368"/>
      <c r="D264" s="265"/>
      <c r="E264" s="291" t="s">
        <v>829</v>
      </c>
      <c r="F264" s="395"/>
      <c r="G264" s="231"/>
      <c r="H264" s="224"/>
      <c r="I264" s="224"/>
      <c r="J264" s="224"/>
      <c r="K264" s="224"/>
      <c r="L264" s="232"/>
      <c r="M264" s="231"/>
      <c r="N264" s="237"/>
      <c r="O264" s="237"/>
      <c r="P264" s="237"/>
      <c r="Q264" s="237"/>
      <c r="R264" s="237"/>
      <c r="S264" s="238"/>
      <c r="T264" s="239"/>
      <c r="U264" s="240"/>
    </row>
    <row r="265" spans="1:21" ht="15.75" customHeight="1">
      <c r="A265" s="300">
        <v>255</v>
      </c>
      <c r="B265" s="263">
        <v>2000</v>
      </c>
      <c r="C265" s="368"/>
      <c r="D265" s="265"/>
      <c r="E265" s="291" t="s">
        <v>831</v>
      </c>
      <c r="F265" s="395"/>
      <c r="G265" s="231"/>
      <c r="H265" s="224"/>
      <c r="I265" s="224"/>
      <c r="J265" s="224"/>
      <c r="K265" s="224"/>
      <c r="L265" s="232"/>
      <c r="M265" s="231"/>
      <c r="N265" s="237"/>
      <c r="O265" s="237"/>
      <c r="P265" s="237"/>
      <c r="Q265" s="237"/>
      <c r="R265" s="237"/>
      <c r="S265" s="238"/>
      <c r="T265" s="239"/>
      <c r="U265" s="240"/>
    </row>
    <row r="266" spans="1:21" ht="15.75" customHeight="1">
      <c r="A266" s="300">
        <v>256</v>
      </c>
      <c r="B266" s="263">
        <v>2000</v>
      </c>
      <c r="C266" s="368"/>
      <c r="D266" s="265"/>
      <c r="E266" s="291" t="s">
        <v>833</v>
      </c>
      <c r="F266" s="395"/>
      <c r="G266" s="231"/>
      <c r="H266" s="224"/>
      <c r="I266" s="224"/>
      <c r="J266" s="224"/>
      <c r="K266" s="224"/>
      <c r="L266" s="232"/>
      <c r="M266" s="231"/>
      <c r="N266" s="237"/>
      <c r="O266" s="237"/>
      <c r="P266" s="237"/>
      <c r="Q266" s="237"/>
      <c r="R266" s="237"/>
      <c r="S266" s="238"/>
      <c r="T266" s="239"/>
      <c r="U266" s="240"/>
    </row>
    <row r="267" spans="1:21" ht="15.75" customHeight="1">
      <c r="A267" s="300">
        <v>257</v>
      </c>
      <c r="B267" s="263">
        <v>2000</v>
      </c>
      <c r="C267" s="368"/>
      <c r="D267" s="265"/>
      <c r="E267" s="291" t="s">
        <v>835</v>
      </c>
      <c r="F267" s="395"/>
      <c r="G267" s="231"/>
      <c r="H267" s="224"/>
      <c r="I267" s="224"/>
      <c r="J267" s="224"/>
      <c r="K267" s="224"/>
      <c r="L267" s="232"/>
      <c r="M267" s="231"/>
      <c r="N267" s="237"/>
      <c r="O267" s="237"/>
      <c r="P267" s="237"/>
      <c r="Q267" s="237"/>
      <c r="R267" s="237"/>
      <c r="S267" s="238"/>
      <c r="T267" s="239"/>
      <c r="U267" s="240"/>
    </row>
    <row r="268" spans="1:21" ht="15.75" customHeight="1">
      <c r="A268" s="300">
        <v>258</v>
      </c>
      <c r="B268" s="263">
        <v>2000</v>
      </c>
      <c r="C268" s="368"/>
      <c r="D268" s="265"/>
      <c r="E268" s="282" t="s">
        <v>2188</v>
      </c>
      <c r="F268" s="395"/>
      <c r="G268" s="250"/>
      <c r="H268" s="224"/>
      <c r="I268" s="224"/>
      <c r="J268" s="224"/>
      <c r="K268" s="224"/>
      <c r="L268" s="232"/>
      <c r="M268" s="231"/>
      <c r="N268" s="237"/>
      <c r="O268" s="237"/>
      <c r="P268" s="237"/>
      <c r="Q268" s="237"/>
      <c r="R268" s="237"/>
      <c r="S268" s="238"/>
      <c r="T268" s="239"/>
      <c r="U268" s="240"/>
    </row>
    <row r="269" spans="1:21" ht="15.75" customHeight="1">
      <c r="A269" s="300">
        <v>259</v>
      </c>
      <c r="B269" s="263">
        <v>2000</v>
      </c>
      <c r="C269" s="368"/>
      <c r="D269" s="265"/>
      <c r="E269" s="287" t="s">
        <v>837</v>
      </c>
      <c r="F269" s="395"/>
      <c r="G269" s="231"/>
      <c r="H269" s="224"/>
      <c r="I269" s="224"/>
      <c r="J269" s="224"/>
      <c r="K269" s="224"/>
      <c r="L269" s="232"/>
      <c r="M269" s="231"/>
      <c r="N269" s="237"/>
      <c r="O269" s="237"/>
      <c r="P269" s="237"/>
      <c r="Q269" s="237"/>
      <c r="R269" s="237"/>
      <c r="S269" s="238"/>
      <c r="T269" s="239"/>
      <c r="U269" s="240"/>
    </row>
    <row r="270" spans="1:21" ht="15.75" customHeight="1">
      <c r="A270" s="300">
        <v>260</v>
      </c>
      <c r="B270" s="263">
        <v>2000</v>
      </c>
      <c r="C270" s="368"/>
      <c r="D270" s="265"/>
      <c r="E270" s="287" t="s">
        <v>839</v>
      </c>
      <c r="F270" s="395"/>
      <c r="G270" s="231"/>
      <c r="H270" s="224"/>
      <c r="I270" s="224"/>
      <c r="J270" s="224"/>
      <c r="K270" s="224"/>
      <c r="L270" s="232"/>
      <c r="M270" s="231"/>
      <c r="N270" s="237"/>
      <c r="O270" s="237"/>
      <c r="P270" s="237"/>
      <c r="Q270" s="237"/>
      <c r="R270" s="237"/>
      <c r="S270" s="238"/>
      <c r="T270" s="239"/>
      <c r="U270" s="240"/>
    </row>
    <row r="271" spans="1:21" ht="15.75" customHeight="1">
      <c r="A271" s="300">
        <v>261</v>
      </c>
      <c r="B271" s="263">
        <v>2000</v>
      </c>
      <c r="C271" s="368"/>
      <c r="D271" s="265"/>
      <c r="E271" s="287" t="s">
        <v>841</v>
      </c>
      <c r="F271" s="395"/>
      <c r="G271" s="231"/>
      <c r="H271" s="224"/>
      <c r="I271" s="224"/>
      <c r="J271" s="224"/>
      <c r="K271" s="224"/>
      <c r="L271" s="232"/>
      <c r="M271" s="231"/>
      <c r="N271" s="237"/>
      <c r="O271" s="237"/>
      <c r="P271" s="237"/>
      <c r="Q271" s="237"/>
      <c r="R271" s="237"/>
      <c r="S271" s="238"/>
      <c r="T271" s="239"/>
      <c r="U271" s="240"/>
    </row>
    <row r="272" spans="1:21" ht="15.75" customHeight="1">
      <c r="A272" s="300">
        <v>262</v>
      </c>
      <c r="B272" s="263">
        <v>2000</v>
      </c>
      <c r="C272" s="368"/>
      <c r="D272" s="265"/>
      <c r="E272" s="287" t="s">
        <v>843</v>
      </c>
      <c r="F272" s="395"/>
      <c r="G272" s="231"/>
      <c r="H272" s="224"/>
      <c r="I272" s="224"/>
      <c r="J272" s="224"/>
      <c r="K272" s="224"/>
      <c r="L272" s="232"/>
      <c r="M272" s="231"/>
      <c r="N272" s="237"/>
      <c r="O272" s="237"/>
      <c r="P272" s="237"/>
      <c r="Q272" s="237"/>
      <c r="R272" s="237"/>
      <c r="S272" s="238"/>
      <c r="T272" s="239"/>
      <c r="U272" s="240"/>
    </row>
    <row r="273" spans="1:21" ht="15.75" customHeight="1">
      <c r="A273" s="300">
        <v>263</v>
      </c>
      <c r="B273" s="263">
        <v>2000</v>
      </c>
      <c r="C273" s="368"/>
      <c r="D273" s="265"/>
      <c r="E273" s="287" t="s">
        <v>845</v>
      </c>
      <c r="F273" s="395"/>
      <c r="G273" s="231"/>
      <c r="H273" s="224"/>
      <c r="I273" s="224"/>
      <c r="J273" s="224"/>
      <c r="K273" s="224"/>
      <c r="L273" s="232"/>
      <c r="M273" s="231"/>
      <c r="N273" s="237"/>
      <c r="O273" s="237"/>
      <c r="P273" s="237"/>
      <c r="Q273" s="237"/>
      <c r="R273" s="237"/>
      <c r="S273" s="238"/>
      <c r="T273" s="239"/>
      <c r="U273" s="240"/>
    </row>
    <row r="274" spans="1:21" ht="15.75" customHeight="1">
      <c r="A274" s="300">
        <v>264</v>
      </c>
      <c r="B274" s="263">
        <v>2000</v>
      </c>
      <c r="C274" s="368"/>
      <c r="D274" s="265"/>
      <c r="E274" s="287" t="s">
        <v>847</v>
      </c>
      <c r="F274" s="396"/>
      <c r="G274" s="231"/>
      <c r="H274" s="224"/>
      <c r="I274" s="224"/>
      <c r="J274" s="224"/>
      <c r="K274" s="224"/>
      <c r="L274" s="232"/>
      <c r="M274" s="231"/>
      <c r="N274" s="237"/>
      <c r="O274" s="237"/>
      <c r="P274" s="237"/>
      <c r="Q274" s="237"/>
      <c r="R274" s="237"/>
      <c r="S274" s="238"/>
      <c r="T274" s="239"/>
      <c r="U274" s="240"/>
    </row>
    <row r="275" spans="1:21" ht="15.75" customHeight="1">
      <c r="A275" s="300">
        <v>265</v>
      </c>
      <c r="B275" s="263">
        <v>2000</v>
      </c>
      <c r="C275" s="368" t="s">
        <v>1927</v>
      </c>
      <c r="D275" s="265"/>
      <c r="E275" s="292" t="s">
        <v>858</v>
      </c>
      <c r="F275" s="382">
        <v>2007</v>
      </c>
      <c r="G275" s="231"/>
      <c r="H275" s="229"/>
      <c r="I275" s="229"/>
      <c r="J275" s="229"/>
      <c r="K275" s="229"/>
      <c r="L275" s="232"/>
      <c r="M275" s="230"/>
      <c r="N275" s="237"/>
      <c r="O275" s="237"/>
      <c r="P275" s="237"/>
      <c r="Q275" s="237"/>
      <c r="R275" s="237"/>
      <c r="S275" s="238"/>
      <c r="T275" s="239"/>
      <c r="U275" s="240"/>
    </row>
    <row r="276" spans="1:21" ht="15.75" customHeight="1">
      <c r="A276" s="300">
        <v>266</v>
      </c>
      <c r="B276" s="263">
        <v>2000</v>
      </c>
      <c r="C276" s="368"/>
      <c r="D276" s="265"/>
      <c r="E276" s="292" t="s">
        <v>862</v>
      </c>
      <c r="F276" s="383"/>
      <c r="G276" s="231"/>
      <c r="H276" s="224"/>
      <c r="I276" s="224"/>
      <c r="J276" s="224"/>
      <c r="K276" s="224"/>
      <c r="L276" s="232"/>
      <c r="M276" s="230"/>
      <c r="N276" s="237"/>
      <c r="O276" s="237"/>
      <c r="P276" s="237"/>
      <c r="Q276" s="237"/>
      <c r="R276" s="237"/>
      <c r="S276" s="238"/>
      <c r="T276" s="239"/>
      <c r="U276" s="240"/>
    </row>
    <row r="277" spans="1:21" ht="15.75" customHeight="1">
      <c r="A277" s="300">
        <v>267</v>
      </c>
      <c r="B277" s="263">
        <v>2000</v>
      </c>
      <c r="C277" s="368"/>
      <c r="D277" s="265"/>
      <c r="E277" s="292" t="s">
        <v>866</v>
      </c>
      <c r="F277" s="383"/>
      <c r="G277" s="231"/>
      <c r="H277" s="224"/>
      <c r="I277" s="224"/>
      <c r="J277" s="224"/>
      <c r="K277" s="224"/>
      <c r="L277" s="232"/>
      <c r="M277" s="230"/>
      <c r="N277" s="237"/>
      <c r="O277" s="237"/>
      <c r="P277" s="237"/>
      <c r="Q277" s="237"/>
      <c r="R277" s="237"/>
      <c r="S277" s="238"/>
      <c r="T277" s="239"/>
      <c r="U277" s="240"/>
    </row>
    <row r="278" spans="1:21" ht="15.75" customHeight="1">
      <c r="A278" s="300">
        <v>268</v>
      </c>
      <c r="B278" s="263">
        <v>2000</v>
      </c>
      <c r="C278" s="368"/>
      <c r="D278" s="265"/>
      <c r="E278" s="293" t="s">
        <v>2189</v>
      </c>
      <c r="F278" s="383"/>
      <c r="G278" s="231"/>
      <c r="H278" s="224"/>
      <c r="I278" s="224"/>
      <c r="J278" s="224"/>
      <c r="K278" s="224"/>
      <c r="L278" s="257"/>
      <c r="R278" s="230"/>
      <c r="S278" s="233"/>
      <c r="T278" s="233"/>
      <c r="U278" s="234"/>
    </row>
    <row r="279" spans="1:21" ht="15.75" customHeight="1">
      <c r="A279" s="300">
        <v>269</v>
      </c>
      <c r="B279" s="263">
        <v>2000</v>
      </c>
      <c r="C279" s="368"/>
      <c r="D279" s="266"/>
      <c r="E279" s="292" t="s">
        <v>2190</v>
      </c>
      <c r="F279" s="383"/>
      <c r="G279" s="231"/>
      <c r="H279" s="224"/>
      <c r="I279" s="224"/>
      <c r="J279" s="224"/>
      <c r="K279" s="224"/>
      <c r="L279" s="257"/>
      <c r="M279" s="258"/>
      <c r="N279" s="237"/>
      <c r="O279" s="237"/>
      <c r="P279" s="237"/>
      <c r="Q279" s="237"/>
      <c r="R279" s="237"/>
      <c r="S279" s="233"/>
      <c r="T279" s="239"/>
      <c r="U279" s="240"/>
    </row>
    <row r="280" spans="1:21" ht="15.75" customHeight="1">
      <c r="A280" s="300">
        <v>270</v>
      </c>
      <c r="B280" s="263">
        <v>2000</v>
      </c>
      <c r="C280" s="368"/>
      <c r="D280" s="266"/>
      <c r="E280" s="292" t="s">
        <v>2191</v>
      </c>
      <c r="F280" s="383"/>
      <c r="G280" s="231"/>
      <c r="H280" s="224"/>
      <c r="I280" s="224"/>
      <c r="J280" s="224"/>
      <c r="K280" s="224"/>
      <c r="L280" s="257"/>
      <c r="M280" s="258"/>
      <c r="N280" s="237"/>
      <c r="O280" s="237"/>
      <c r="P280" s="237"/>
      <c r="Q280" s="237"/>
      <c r="R280" s="237"/>
      <c r="S280" s="233"/>
      <c r="T280" s="239"/>
      <c r="U280" s="240"/>
    </row>
    <row r="281" spans="1:21" ht="15.75" customHeight="1">
      <c r="A281" s="300">
        <v>271</v>
      </c>
      <c r="B281" s="263">
        <v>2000</v>
      </c>
      <c r="C281" s="368"/>
      <c r="D281" s="266"/>
      <c r="E281" s="292" t="s">
        <v>2192</v>
      </c>
      <c r="F281" s="383"/>
      <c r="G281" s="231"/>
      <c r="H281" s="224"/>
      <c r="I281" s="224"/>
      <c r="J281" s="224"/>
      <c r="K281" s="224"/>
      <c r="L281" s="257"/>
      <c r="M281" s="258"/>
      <c r="N281" s="237"/>
      <c r="O281" s="237"/>
      <c r="P281" s="237"/>
      <c r="Q281" s="237"/>
      <c r="R281" s="237"/>
      <c r="S281" s="233"/>
      <c r="T281" s="239"/>
      <c r="U281" s="240"/>
    </row>
    <row r="282" spans="1:21" ht="15.75" customHeight="1">
      <c r="A282" s="300">
        <v>272</v>
      </c>
      <c r="B282" s="263">
        <v>2000</v>
      </c>
      <c r="C282" s="368"/>
      <c r="D282" s="266"/>
      <c r="E282" s="292" t="s">
        <v>2193</v>
      </c>
      <c r="F282" s="383"/>
      <c r="G282" s="231"/>
      <c r="H282" s="224"/>
      <c r="I282" s="224"/>
      <c r="J282" s="224"/>
      <c r="K282" s="224"/>
      <c r="L282" s="257"/>
      <c r="M282" s="258"/>
      <c r="N282" s="237"/>
      <c r="O282" s="237"/>
      <c r="P282" s="237"/>
      <c r="Q282" s="237"/>
      <c r="R282" s="237"/>
      <c r="S282" s="233"/>
      <c r="T282" s="239"/>
      <c r="U282" s="240"/>
    </row>
    <row r="283" spans="1:21" ht="15.75" customHeight="1">
      <c r="A283" s="300">
        <v>273</v>
      </c>
      <c r="B283" s="263">
        <v>2000</v>
      </c>
      <c r="C283" s="368"/>
      <c r="D283" s="266"/>
      <c r="E283" s="292" t="s">
        <v>2194</v>
      </c>
      <c r="F283" s="383"/>
      <c r="G283" s="231"/>
      <c r="H283" s="224"/>
      <c r="I283" s="224"/>
      <c r="J283" s="224"/>
      <c r="K283" s="224"/>
      <c r="L283" s="257"/>
      <c r="M283" s="258"/>
      <c r="N283" s="237"/>
      <c r="O283" s="237"/>
      <c r="P283" s="237"/>
      <c r="Q283" s="237"/>
      <c r="R283" s="237"/>
      <c r="S283" s="233"/>
      <c r="T283" s="239"/>
      <c r="U283" s="240"/>
    </row>
    <row r="284" spans="1:21" ht="15.75" customHeight="1">
      <c r="A284" s="300">
        <v>274</v>
      </c>
      <c r="B284" s="263">
        <v>2000</v>
      </c>
      <c r="C284" s="368"/>
      <c r="D284" s="266"/>
      <c r="E284" s="292" t="s">
        <v>2195</v>
      </c>
      <c r="F284" s="383"/>
      <c r="G284" s="231"/>
      <c r="H284" s="224"/>
      <c r="I284" s="224"/>
      <c r="J284" s="224"/>
      <c r="K284" s="224"/>
      <c r="L284" s="257"/>
      <c r="M284" s="258"/>
      <c r="N284" s="237"/>
      <c r="O284" s="237"/>
      <c r="P284" s="237"/>
      <c r="Q284" s="237"/>
      <c r="R284" s="237"/>
      <c r="S284" s="233"/>
      <c r="T284" s="239"/>
      <c r="U284" s="240"/>
    </row>
    <row r="285" spans="1:21" ht="15.75" customHeight="1">
      <c r="A285" s="300">
        <v>275</v>
      </c>
      <c r="B285" s="263">
        <v>2000</v>
      </c>
      <c r="C285" s="368"/>
      <c r="D285" s="266"/>
      <c r="E285" s="292" t="s">
        <v>2196</v>
      </c>
      <c r="F285" s="383"/>
      <c r="G285" s="231"/>
      <c r="H285" s="224"/>
      <c r="I285" s="224"/>
      <c r="J285" s="224"/>
      <c r="K285" s="224"/>
      <c r="L285" s="257"/>
      <c r="M285" s="258"/>
      <c r="N285" s="237"/>
      <c r="O285" s="237"/>
      <c r="P285" s="237"/>
      <c r="Q285" s="237"/>
      <c r="R285" s="237"/>
      <c r="S285" s="233"/>
      <c r="T285" s="239"/>
      <c r="U285" s="240"/>
    </row>
    <row r="286" spans="1:21" ht="15.75" customHeight="1">
      <c r="A286" s="300">
        <v>276</v>
      </c>
      <c r="B286" s="263">
        <v>2000</v>
      </c>
      <c r="C286" s="368"/>
      <c r="D286" s="266"/>
      <c r="E286" s="292" t="s">
        <v>2197</v>
      </c>
      <c r="F286" s="383"/>
      <c r="G286" s="231"/>
      <c r="H286" s="224"/>
      <c r="I286" s="224"/>
      <c r="J286" s="224"/>
      <c r="K286" s="224"/>
      <c r="L286" s="257"/>
      <c r="M286" s="258"/>
      <c r="N286" s="237"/>
      <c r="O286" s="237"/>
      <c r="P286" s="237"/>
      <c r="Q286" s="237"/>
      <c r="R286" s="237"/>
      <c r="S286" s="233"/>
      <c r="T286" s="239"/>
      <c r="U286" s="240"/>
    </row>
    <row r="287" spans="1:21" ht="15.75" customHeight="1">
      <c r="A287" s="300">
        <v>277</v>
      </c>
      <c r="B287" s="263">
        <v>2000</v>
      </c>
      <c r="C287" s="368"/>
      <c r="D287" s="266"/>
      <c r="E287" s="294" t="s">
        <v>2198</v>
      </c>
      <c r="F287" s="383"/>
      <c r="G287" s="231"/>
      <c r="H287" s="224"/>
      <c r="I287" s="224"/>
      <c r="J287" s="224"/>
      <c r="K287" s="224"/>
      <c r="L287" s="257"/>
      <c r="M287" s="258"/>
      <c r="N287" s="237"/>
      <c r="O287" s="237"/>
      <c r="P287" s="237"/>
      <c r="Q287" s="237"/>
      <c r="R287" s="237"/>
      <c r="S287" s="233"/>
      <c r="T287" s="239"/>
      <c r="U287" s="240"/>
    </row>
    <row r="288" spans="1:21" ht="15.75" customHeight="1">
      <c r="A288" s="300">
        <v>278</v>
      </c>
      <c r="B288" s="263">
        <v>2000</v>
      </c>
      <c r="C288" s="368"/>
      <c r="D288" s="266"/>
      <c r="E288" s="292" t="s">
        <v>2199</v>
      </c>
      <c r="F288" s="383"/>
      <c r="G288" s="231"/>
      <c r="H288" s="224"/>
      <c r="I288" s="224"/>
      <c r="J288" s="224"/>
      <c r="K288" s="224"/>
      <c r="L288" s="257"/>
      <c r="M288" s="258"/>
      <c r="N288" s="237"/>
      <c r="O288" s="237"/>
      <c r="P288" s="237"/>
      <c r="Q288" s="237"/>
      <c r="R288" s="237"/>
      <c r="S288" s="233"/>
      <c r="T288" s="239"/>
      <c r="U288" s="240"/>
    </row>
    <row r="289" spans="1:21" ht="15.75" customHeight="1">
      <c r="A289" s="300">
        <v>279</v>
      </c>
      <c r="B289" s="263">
        <v>2000</v>
      </c>
      <c r="C289" s="368"/>
      <c r="D289" s="266"/>
      <c r="E289" s="292" t="s">
        <v>2200</v>
      </c>
      <c r="F289" s="383"/>
      <c r="G289" s="231"/>
      <c r="H289" s="224"/>
      <c r="I289" s="224"/>
      <c r="J289" s="224"/>
      <c r="K289" s="224"/>
      <c r="L289" s="257"/>
      <c r="M289" s="258"/>
      <c r="N289" s="237"/>
      <c r="O289" s="237"/>
      <c r="P289" s="237"/>
      <c r="Q289" s="237"/>
      <c r="R289" s="237"/>
      <c r="S289" s="233"/>
      <c r="T289" s="239"/>
      <c r="U289" s="240"/>
    </row>
    <row r="290" spans="1:21" ht="15.75" customHeight="1">
      <c r="A290" s="300">
        <v>280</v>
      </c>
      <c r="B290" s="263">
        <v>2000</v>
      </c>
      <c r="C290" s="368"/>
      <c r="D290" s="266"/>
      <c r="E290" s="292" t="s">
        <v>2201</v>
      </c>
      <c r="F290" s="383"/>
      <c r="G290" s="231"/>
      <c r="H290" s="224"/>
      <c r="I290" s="224"/>
      <c r="J290" s="224"/>
      <c r="K290" s="224"/>
      <c r="L290" s="257"/>
      <c r="M290" s="258"/>
      <c r="N290" s="237"/>
      <c r="O290" s="237"/>
      <c r="P290" s="237"/>
      <c r="Q290" s="237"/>
      <c r="R290" s="237"/>
      <c r="S290" s="233"/>
      <c r="T290" s="239"/>
      <c r="U290" s="240"/>
    </row>
    <row r="291" spans="1:21" ht="15.75" customHeight="1">
      <c r="A291" s="300">
        <v>281</v>
      </c>
      <c r="B291" s="263">
        <v>2000</v>
      </c>
      <c r="C291" s="368"/>
      <c r="D291" s="266"/>
      <c r="E291" s="292" t="s">
        <v>2202</v>
      </c>
      <c r="F291" s="383"/>
      <c r="G291" s="231"/>
      <c r="H291" s="224"/>
      <c r="I291" s="224"/>
      <c r="J291" s="224"/>
      <c r="K291" s="224"/>
      <c r="L291" s="257"/>
      <c r="M291" s="258"/>
      <c r="N291" s="237"/>
      <c r="O291" s="237"/>
      <c r="P291" s="237"/>
      <c r="Q291" s="237"/>
      <c r="R291" s="237"/>
      <c r="S291" s="233"/>
      <c r="T291" s="239"/>
      <c r="U291" s="240"/>
    </row>
    <row r="292" spans="1:21" ht="15.75" customHeight="1">
      <c r="A292" s="300">
        <v>282</v>
      </c>
      <c r="B292" s="263">
        <v>2000</v>
      </c>
      <c r="C292" s="368"/>
      <c r="D292" s="266"/>
      <c r="E292" s="292" t="s">
        <v>2203</v>
      </c>
      <c r="F292" s="383"/>
      <c r="G292" s="231"/>
      <c r="H292" s="224"/>
      <c r="I292" s="224"/>
      <c r="J292" s="224"/>
      <c r="K292" s="224"/>
      <c r="L292" s="257"/>
      <c r="M292" s="258"/>
      <c r="N292" s="237"/>
      <c r="O292" s="237"/>
      <c r="P292" s="237"/>
      <c r="Q292" s="237"/>
      <c r="R292" s="237"/>
      <c r="S292" s="233"/>
      <c r="T292" s="239"/>
      <c r="U292" s="240"/>
    </row>
    <row r="293" spans="1:21" ht="15.75" customHeight="1">
      <c r="A293" s="300">
        <v>283</v>
      </c>
      <c r="B293" s="263">
        <v>2000</v>
      </c>
      <c r="C293" s="368"/>
      <c r="D293" s="266"/>
      <c r="E293" s="292" t="s">
        <v>2204</v>
      </c>
      <c r="F293" s="383"/>
      <c r="G293" s="231"/>
      <c r="H293" s="224"/>
      <c r="I293" s="224"/>
      <c r="J293" s="224"/>
      <c r="K293" s="224"/>
      <c r="L293" s="257"/>
      <c r="M293" s="258"/>
      <c r="N293" s="237"/>
      <c r="O293" s="237"/>
      <c r="P293" s="237"/>
      <c r="Q293" s="237"/>
      <c r="R293" s="237"/>
      <c r="S293" s="233"/>
      <c r="T293" s="239"/>
      <c r="U293" s="240"/>
    </row>
    <row r="294" spans="1:21" ht="15.75" customHeight="1">
      <c r="A294" s="300">
        <v>284</v>
      </c>
      <c r="B294" s="263">
        <v>2000</v>
      </c>
      <c r="C294" s="368"/>
      <c r="D294" s="266"/>
      <c r="E294" s="292" t="s">
        <v>2205</v>
      </c>
      <c r="F294" s="383"/>
      <c r="G294" s="231"/>
      <c r="H294" s="224"/>
      <c r="I294" s="224"/>
      <c r="J294" s="224"/>
      <c r="K294" s="224"/>
      <c r="L294" s="257"/>
      <c r="M294" s="258"/>
      <c r="N294" s="237"/>
      <c r="O294" s="237"/>
      <c r="P294" s="237"/>
      <c r="Q294" s="237"/>
      <c r="R294" s="237"/>
      <c r="S294" s="233"/>
      <c r="T294" s="239"/>
      <c r="U294" s="240"/>
    </row>
    <row r="295" spans="1:21" ht="15.75" customHeight="1">
      <c r="A295" s="300">
        <v>285</v>
      </c>
      <c r="B295" s="263">
        <v>2000</v>
      </c>
      <c r="C295" s="368"/>
      <c r="D295" s="266"/>
      <c r="E295" s="292" t="s">
        <v>2206</v>
      </c>
      <c r="F295" s="383"/>
      <c r="G295" s="231"/>
      <c r="H295" s="224"/>
      <c r="I295" s="224"/>
      <c r="J295" s="224"/>
      <c r="K295" s="224"/>
      <c r="L295" s="257"/>
      <c r="M295" s="258"/>
      <c r="N295" s="237"/>
      <c r="O295" s="237"/>
      <c r="P295" s="237"/>
      <c r="Q295" s="237"/>
      <c r="R295" s="237"/>
      <c r="S295" s="233"/>
      <c r="T295" s="239"/>
      <c r="U295" s="240"/>
    </row>
    <row r="296" spans="1:21" ht="15.75" customHeight="1">
      <c r="A296" s="300">
        <v>286</v>
      </c>
      <c r="B296" s="263">
        <v>2000</v>
      </c>
      <c r="C296" s="368"/>
      <c r="D296" s="295" t="s">
        <v>2207</v>
      </c>
      <c r="E296" s="296" t="s">
        <v>2120</v>
      </c>
      <c r="F296" s="383"/>
      <c r="G296" s="231"/>
      <c r="H296" s="224"/>
      <c r="I296" s="229"/>
      <c r="J296" s="229"/>
      <c r="K296" s="224"/>
      <c r="L296" s="232"/>
      <c r="R296" s="230"/>
      <c r="S296" s="233"/>
      <c r="T296" s="233"/>
      <c r="U296" s="234"/>
    </row>
    <row r="297" spans="1:21" ht="15.75" customHeight="1">
      <c r="A297" s="300">
        <v>287</v>
      </c>
      <c r="B297" s="263">
        <v>2000</v>
      </c>
      <c r="C297" s="368"/>
      <c r="D297" s="262"/>
      <c r="E297" s="297" t="s">
        <v>870</v>
      </c>
      <c r="F297" s="383"/>
      <c r="G297" s="231"/>
      <c r="H297" s="224"/>
      <c r="I297" s="224"/>
      <c r="J297" s="224"/>
      <c r="K297" s="224"/>
      <c r="L297" s="232"/>
      <c r="M297" s="230"/>
      <c r="N297" s="237"/>
      <c r="O297" s="237"/>
      <c r="P297" s="237"/>
      <c r="Q297" s="237"/>
      <c r="R297" s="237"/>
      <c r="S297" s="238"/>
      <c r="T297" s="239"/>
      <c r="U297" s="240"/>
    </row>
    <row r="298" spans="1:21" ht="15.75" customHeight="1">
      <c r="A298" s="300">
        <v>288</v>
      </c>
      <c r="B298" s="263">
        <v>2000</v>
      </c>
      <c r="C298" s="368"/>
      <c r="D298" s="262"/>
      <c r="E298" s="297" t="s">
        <v>871</v>
      </c>
      <c r="F298" s="383"/>
      <c r="G298" s="231"/>
      <c r="H298" s="224"/>
      <c r="I298" s="224"/>
      <c r="J298" s="224"/>
      <c r="K298" s="224"/>
      <c r="L298" s="232"/>
      <c r="M298" s="230"/>
      <c r="N298" s="237"/>
      <c r="O298" s="237"/>
      <c r="P298" s="237"/>
      <c r="Q298" s="237"/>
      <c r="R298" s="237"/>
      <c r="S298" s="238"/>
      <c r="T298" s="239"/>
      <c r="U298" s="240"/>
    </row>
    <row r="299" spans="1:21" ht="15.75" customHeight="1">
      <c r="A299" s="300">
        <v>289</v>
      </c>
      <c r="B299" s="263">
        <v>2000</v>
      </c>
      <c r="C299" s="368" t="s">
        <v>2683</v>
      </c>
      <c r="D299" s="266"/>
      <c r="E299" s="294" t="s">
        <v>2122</v>
      </c>
      <c r="F299" s="383"/>
      <c r="G299" s="235"/>
      <c r="H299" s="224"/>
      <c r="I299" s="224"/>
      <c r="J299" s="224"/>
      <c r="K299" s="224"/>
      <c r="L299" s="257"/>
      <c r="M299" s="230"/>
      <c r="N299" s="237"/>
      <c r="O299" s="237"/>
      <c r="P299" s="237"/>
      <c r="Q299" s="237"/>
      <c r="R299" s="237"/>
      <c r="S299" s="238"/>
      <c r="T299" s="239"/>
      <c r="U299" s="240"/>
    </row>
    <row r="300" spans="1:21" ht="15" customHeight="1">
      <c r="A300" s="300">
        <v>290</v>
      </c>
      <c r="B300" s="263">
        <v>2000</v>
      </c>
      <c r="C300" s="368"/>
      <c r="D300" s="266"/>
      <c r="E300" s="292" t="s">
        <v>1766</v>
      </c>
      <c r="F300" s="383"/>
      <c r="G300" s="224"/>
      <c r="H300" s="224"/>
      <c r="I300" s="224"/>
      <c r="J300" s="224"/>
      <c r="K300" s="224"/>
      <c r="L300" s="257"/>
      <c r="M300" s="258"/>
      <c r="N300" s="237"/>
      <c r="O300" s="237"/>
      <c r="P300" s="237"/>
      <c r="Q300" s="237"/>
      <c r="R300" s="237"/>
      <c r="S300" s="233"/>
      <c r="T300" s="239"/>
      <c r="U300" s="240"/>
    </row>
    <row r="301" spans="1:21" ht="15.75" customHeight="1">
      <c r="A301" s="300">
        <v>291</v>
      </c>
      <c r="B301" s="263">
        <v>2000</v>
      </c>
      <c r="C301" s="368"/>
      <c r="D301" s="266"/>
      <c r="E301" s="292" t="s">
        <v>1768</v>
      </c>
      <c r="F301" s="383"/>
      <c r="G301" s="224"/>
      <c r="H301" s="224"/>
      <c r="I301" s="224"/>
      <c r="J301" s="224"/>
      <c r="K301" s="224"/>
      <c r="L301" s="257"/>
      <c r="M301" s="258"/>
      <c r="N301" s="237"/>
      <c r="O301" s="237"/>
      <c r="P301" s="237"/>
      <c r="Q301" s="237"/>
      <c r="R301" s="237"/>
      <c r="S301" s="233"/>
      <c r="T301" s="239"/>
      <c r="U301" s="240"/>
    </row>
    <row r="302" spans="1:21" ht="15.75" customHeight="1">
      <c r="A302" s="300">
        <v>292</v>
      </c>
      <c r="B302" s="263">
        <v>2000</v>
      </c>
      <c r="C302" s="368"/>
      <c r="D302" s="266"/>
      <c r="E302" s="292" t="s">
        <v>1770</v>
      </c>
      <c r="F302" s="383"/>
      <c r="G302" s="224"/>
      <c r="H302" s="224"/>
      <c r="I302" s="224"/>
      <c r="J302" s="224"/>
      <c r="K302" s="224"/>
      <c r="L302" s="257"/>
      <c r="M302" s="258"/>
      <c r="N302" s="237"/>
      <c r="O302" s="237"/>
      <c r="P302" s="237"/>
      <c r="Q302" s="237"/>
      <c r="R302" s="237"/>
      <c r="S302" s="233"/>
      <c r="T302" s="239"/>
      <c r="U302" s="240"/>
    </row>
    <row r="303" spans="1:21" ht="15.75" customHeight="1">
      <c r="A303" s="300">
        <v>293</v>
      </c>
      <c r="B303" s="263">
        <v>2000</v>
      </c>
      <c r="C303" s="368"/>
      <c r="D303" s="266"/>
      <c r="E303" s="292" t="s">
        <v>1772</v>
      </c>
      <c r="F303" s="383"/>
      <c r="G303" s="224"/>
      <c r="H303" s="224"/>
      <c r="I303" s="224"/>
      <c r="J303" s="224"/>
      <c r="K303" s="224"/>
      <c r="L303" s="257"/>
      <c r="M303" s="258"/>
      <c r="N303" s="237"/>
      <c r="O303" s="237"/>
      <c r="P303" s="237"/>
      <c r="Q303" s="237"/>
      <c r="R303" s="237"/>
      <c r="S303" s="233"/>
      <c r="T303" s="239"/>
      <c r="U303" s="240"/>
    </row>
    <row r="304" spans="1:21" ht="15.75" customHeight="1">
      <c r="A304" s="300">
        <v>294</v>
      </c>
      <c r="B304" s="263">
        <v>2000</v>
      </c>
      <c r="C304" s="368"/>
      <c r="D304" s="266"/>
      <c r="E304" s="292" t="s">
        <v>1774</v>
      </c>
      <c r="F304" s="383"/>
      <c r="G304" s="224"/>
      <c r="H304" s="224"/>
      <c r="I304" s="224"/>
      <c r="J304" s="224"/>
      <c r="K304" s="224"/>
      <c r="L304" s="257"/>
      <c r="M304" s="258"/>
      <c r="N304" s="237"/>
      <c r="O304" s="237"/>
      <c r="P304" s="237"/>
      <c r="Q304" s="237"/>
      <c r="R304" s="237"/>
      <c r="S304" s="233"/>
      <c r="T304" s="239"/>
      <c r="U304" s="240"/>
    </row>
    <row r="305" spans="1:21" ht="15.75" customHeight="1">
      <c r="A305" s="300">
        <v>295</v>
      </c>
      <c r="B305" s="263">
        <v>2000</v>
      </c>
      <c r="C305" s="368"/>
      <c r="D305" s="266"/>
      <c r="E305" s="292" t="s">
        <v>1974</v>
      </c>
      <c r="F305" s="383"/>
      <c r="G305" s="224"/>
      <c r="H305" s="224"/>
      <c r="I305" s="224"/>
      <c r="J305" s="224"/>
      <c r="K305" s="224"/>
      <c r="L305" s="257"/>
      <c r="M305" s="258"/>
      <c r="N305" s="237"/>
      <c r="O305" s="237"/>
      <c r="P305" s="237"/>
      <c r="Q305" s="237"/>
      <c r="R305" s="237"/>
      <c r="S305" s="233"/>
      <c r="T305" s="239"/>
      <c r="U305" s="240"/>
    </row>
    <row r="306" spans="1:21" ht="15.75" customHeight="1">
      <c r="A306" s="300">
        <v>296</v>
      </c>
      <c r="B306" s="263">
        <v>2000</v>
      </c>
      <c r="C306" s="368"/>
      <c r="D306" s="265" t="s">
        <v>2208</v>
      </c>
      <c r="E306" s="292" t="s">
        <v>2209</v>
      </c>
      <c r="F306" s="383"/>
      <c r="G306" s="224"/>
      <c r="H306" s="224"/>
      <c r="I306" s="224"/>
      <c r="J306" s="224"/>
      <c r="K306" s="224"/>
      <c r="L306" s="257"/>
      <c r="M306" s="258"/>
      <c r="N306" s="237"/>
      <c r="O306" s="237"/>
      <c r="P306" s="237"/>
      <c r="Q306" s="237"/>
      <c r="R306" s="237"/>
      <c r="S306" s="233"/>
      <c r="T306" s="239"/>
      <c r="U306" s="240"/>
    </row>
    <row r="307" spans="1:21" ht="15.75" customHeight="1">
      <c r="A307" s="300">
        <v>297</v>
      </c>
      <c r="B307" s="263">
        <v>2000</v>
      </c>
      <c r="C307" s="368"/>
      <c r="D307" s="262"/>
      <c r="E307" s="292" t="s">
        <v>2210</v>
      </c>
      <c r="F307" s="383"/>
      <c r="G307" s="224"/>
      <c r="H307" s="224"/>
      <c r="I307" s="224"/>
      <c r="J307" s="224"/>
      <c r="K307" s="224"/>
      <c r="L307" s="257"/>
      <c r="M307" s="258"/>
      <c r="N307" s="237"/>
      <c r="O307" s="237"/>
      <c r="P307" s="237"/>
      <c r="Q307" s="237"/>
      <c r="R307" s="237"/>
      <c r="S307" s="233"/>
      <c r="T307" s="239"/>
      <c r="U307" s="240"/>
    </row>
    <row r="308" spans="1:21" ht="15.75" customHeight="1">
      <c r="A308" s="300">
        <v>298</v>
      </c>
      <c r="B308" s="263">
        <v>2000</v>
      </c>
      <c r="C308" s="368"/>
      <c r="D308" s="265"/>
      <c r="E308" s="293" t="s">
        <v>2124</v>
      </c>
      <c r="F308" s="383"/>
      <c r="G308" s="235"/>
      <c r="H308" s="224"/>
      <c r="I308" s="224"/>
      <c r="J308" s="224"/>
      <c r="K308" s="224"/>
      <c r="L308" s="257"/>
      <c r="R308" s="230"/>
      <c r="S308" s="233"/>
      <c r="T308" s="233"/>
      <c r="U308" s="234"/>
    </row>
    <row r="309" spans="1:21" ht="15.75" customHeight="1">
      <c r="A309" s="300">
        <v>299</v>
      </c>
      <c r="B309" s="263">
        <v>2000</v>
      </c>
      <c r="C309" s="368"/>
      <c r="D309" s="266"/>
      <c r="E309" s="292" t="s">
        <v>1976</v>
      </c>
      <c r="F309" s="383"/>
      <c r="G309" s="224"/>
      <c r="H309" s="224"/>
      <c r="I309" s="224"/>
      <c r="J309" s="224"/>
      <c r="K309" s="224"/>
      <c r="L309" s="257"/>
      <c r="M309" s="258"/>
      <c r="N309" s="237"/>
      <c r="O309" s="237"/>
      <c r="P309" s="237"/>
      <c r="Q309" s="237"/>
      <c r="R309" s="237"/>
      <c r="S309" s="233"/>
      <c r="T309" s="239"/>
      <c r="U309" s="240"/>
    </row>
    <row r="310" spans="1:21" ht="15.75" customHeight="1">
      <c r="A310" s="300">
        <v>300</v>
      </c>
      <c r="B310" s="263">
        <v>2000</v>
      </c>
      <c r="C310" s="368"/>
      <c r="D310" s="266"/>
      <c r="E310" s="292" t="s">
        <v>1978</v>
      </c>
      <c r="F310" s="383"/>
      <c r="G310" s="224"/>
      <c r="H310" s="224"/>
      <c r="I310" s="224"/>
      <c r="J310" s="224"/>
      <c r="K310" s="224"/>
      <c r="L310" s="257"/>
      <c r="M310" s="258"/>
      <c r="N310" s="237"/>
      <c r="O310" s="237"/>
      <c r="P310" s="237"/>
      <c r="Q310" s="237"/>
      <c r="R310" s="237"/>
      <c r="S310" s="233"/>
      <c r="T310" s="239"/>
      <c r="U310" s="240"/>
    </row>
    <row r="311" spans="1:21" ht="15.75" customHeight="1">
      <c r="A311" s="300">
        <v>301</v>
      </c>
      <c r="B311" s="263">
        <v>2000</v>
      </c>
      <c r="C311" s="368"/>
      <c r="D311" s="266"/>
      <c r="E311" s="292" t="s">
        <v>1980</v>
      </c>
      <c r="F311" s="383"/>
      <c r="G311" s="224"/>
      <c r="H311" s="224"/>
      <c r="I311" s="224"/>
      <c r="J311" s="224"/>
      <c r="K311" s="224"/>
      <c r="L311" s="257"/>
      <c r="M311" s="258"/>
      <c r="N311" s="237"/>
      <c r="O311" s="237"/>
      <c r="P311" s="237"/>
      <c r="Q311" s="237"/>
      <c r="R311" s="237"/>
      <c r="S311" s="233"/>
      <c r="T311" s="239"/>
      <c r="U311" s="240"/>
    </row>
    <row r="312" spans="1:21" ht="15.75" customHeight="1">
      <c r="A312" s="300">
        <v>302</v>
      </c>
      <c r="B312" s="263">
        <v>2000</v>
      </c>
      <c r="C312" s="368"/>
      <c r="D312" s="266"/>
      <c r="E312" s="292" t="s">
        <v>1982</v>
      </c>
      <c r="F312" s="383"/>
      <c r="G312" s="224"/>
      <c r="H312" s="224"/>
      <c r="I312" s="224"/>
      <c r="J312" s="224"/>
      <c r="K312" s="224"/>
      <c r="L312" s="257"/>
      <c r="M312" s="258"/>
      <c r="N312" s="237"/>
      <c r="O312" s="237"/>
      <c r="P312" s="237"/>
      <c r="Q312" s="237"/>
      <c r="R312" s="237"/>
      <c r="S312" s="233"/>
      <c r="T312" s="239"/>
      <c r="U312" s="240"/>
    </row>
    <row r="313" spans="1:21" ht="15.75" customHeight="1">
      <c r="A313" s="300">
        <v>303</v>
      </c>
      <c r="B313" s="263">
        <v>2000</v>
      </c>
      <c r="C313" s="368"/>
      <c r="D313" s="266"/>
      <c r="E313" s="292" t="s">
        <v>2211</v>
      </c>
      <c r="F313" s="383"/>
      <c r="G313" s="224"/>
      <c r="H313" s="224"/>
      <c r="I313" s="224"/>
      <c r="J313" s="224"/>
      <c r="K313" s="224"/>
      <c r="L313" s="257"/>
      <c r="M313" s="258"/>
      <c r="N313" s="237"/>
      <c r="O313" s="237"/>
      <c r="P313" s="237"/>
      <c r="Q313" s="237"/>
      <c r="R313" s="237"/>
      <c r="S313" s="233"/>
      <c r="T313" s="239"/>
      <c r="U313" s="240"/>
    </row>
    <row r="314" spans="1:21" ht="15.75" customHeight="1">
      <c r="A314" s="300">
        <v>304</v>
      </c>
      <c r="B314" s="263">
        <v>2000</v>
      </c>
      <c r="C314" s="368"/>
      <c r="D314" s="266"/>
      <c r="E314" s="292" t="s">
        <v>2212</v>
      </c>
      <c r="F314" s="383"/>
      <c r="G314" s="224"/>
      <c r="H314" s="224"/>
      <c r="I314" s="224"/>
      <c r="J314" s="224"/>
      <c r="K314" s="224"/>
      <c r="L314" s="257"/>
      <c r="M314" s="258"/>
      <c r="N314" s="237"/>
      <c r="O314" s="237"/>
      <c r="P314" s="237"/>
      <c r="Q314" s="237"/>
      <c r="R314" s="237"/>
      <c r="S314" s="233"/>
      <c r="T314" s="239"/>
      <c r="U314" s="240"/>
    </row>
    <row r="315" spans="1:21" ht="15.75" customHeight="1">
      <c r="A315" s="300">
        <v>305</v>
      </c>
      <c r="B315" s="263">
        <v>2000</v>
      </c>
      <c r="C315" s="368"/>
      <c r="D315" s="266"/>
      <c r="E315" s="292" t="s">
        <v>2213</v>
      </c>
      <c r="F315" s="383"/>
      <c r="G315" s="224"/>
      <c r="H315" s="224"/>
      <c r="I315" s="224"/>
      <c r="J315" s="224"/>
      <c r="K315" s="224"/>
      <c r="L315" s="257"/>
      <c r="M315" s="258"/>
      <c r="N315" s="237"/>
      <c r="O315" s="237"/>
      <c r="P315" s="237"/>
      <c r="Q315" s="237"/>
      <c r="R315" s="237"/>
      <c r="S315" s="233"/>
      <c r="T315" s="239"/>
      <c r="U315" s="240"/>
    </row>
    <row r="316" spans="1:21" ht="15.75" customHeight="1">
      <c r="A316" s="300">
        <v>306</v>
      </c>
      <c r="B316" s="263">
        <v>2000</v>
      </c>
      <c r="C316" s="368"/>
      <c r="D316" s="266"/>
      <c r="E316" s="292" t="s">
        <v>2214</v>
      </c>
      <c r="F316" s="384"/>
      <c r="G316" s="224"/>
      <c r="H316" s="224"/>
      <c r="I316" s="224"/>
      <c r="J316" s="224"/>
      <c r="K316" s="224"/>
      <c r="L316" s="257"/>
      <c r="M316" s="258"/>
      <c r="N316" s="237"/>
      <c r="O316" s="237"/>
      <c r="P316" s="237"/>
      <c r="Q316" s="237"/>
      <c r="R316" s="237"/>
      <c r="S316" s="233"/>
      <c r="T316" s="239"/>
      <c r="U316" s="240"/>
    </row>
    <row r="317" spans="1:21" ht="15.75" customHeight="1">
      <c r="A317" s="300">
        <v>307</v>
      </c>
      <c r="B317" s="263">
        <v>2000</v>
      </c>
      <c r="C317" s="368" t="s">
        <v>2684</v>
      </c>
      <c r="D317" s="266" t="s">
        <v>1984</v>
      </c>
      <c r="E317" s="282" t="s">
        <v>2215</v>
      </c>
      <c r="F317" s="388">
        <v>2008</v>
      </c>
      <c r="G317" s="250"/>
      <c r="H317" s="229"/>
      <c r="I317" s="229"/>
      <c r="J317" s="229"/>
      <c r="K317" s="229"/>
      <c r="L317" s="232"/>
      <c r="M317" s="230"/>
      <c r="N317" s="237"/>
      <c r="O317" s="237"/>
      <c r="P317" s="237"/>
      <c r="Q317" s="237"/>
      <c r="R317" s="237"/>
      <c r="S317" s="238"/>
      <c r="T317" s="239"/>
      <c r="U317" s="240"/>
    </row>
    <row r="318" spans="1:21" ht="15.75" customHeight="1">
      <c r="A318" s="300">
        <v>308</v>
      </c>
      <c r="B318" s="263">
        <v>2000</v>
      </c>
      <c r="C318" s="368"/>
      <c r="D318" s="266"/>
      <c r="E318" s="287" t="s">
        <v>875</v>
      </c>
      <c r="F318" s="389"/>
      <c r="G318" s="231"/>
      <c r="H318" s="224"/>
      <c r="I318" s="224"/>
      <c r="J318" s="224"/>
      <c r="K318" s="224"/>
      <c r="L318" s="232"/>
      <c r="M318" s="230"/>
      <c r="N318" s="237"/>
      <c r="O318" s="237"/>
      <c r="P318" s="237"/>
      <c r="Q318" s="237"/>
      <c r="R318" s="237"/>
      <c r="S318" s="238"/>
      <c r="T318" s="239"/>
      <c r="U318" s="240"/>
    </row>
    <row r="319" spans="1:21" ht="15.75" customHeight="1">
      <c r="A319" s="300">
        <v>309</v>
      </c>
      <c r="B319" s="263">
        <v>2000</v>
      </c>
      <c r="C319" s="368"/>
      <c r="D319" s="266"/>
      <c r="E319" s="287" t="s">
        <v>879</v>
      </c>
      <c r="F319" s="389"/>
      <c r="G319" s="231"/>
      <c r="H319" s="224"/>
      <c r="I319" s="224"/>
      <c r="J319" s="224"/>
      <c r="K319" s="224"/>
      <c r="L319" s="232"/>
      <c r="M319" s="230"/>
      <c r="N319" s="237"/>
      <c r="O319" s="237"/>
      <c r="P319" s="237"/>
      <c r="Q319" s="237"/>
      <c r="R319" s="237"/>
      <c r="S319" s="238"/>
      <c r="T319" s="239"/>
      <c r="U319" s="240"/>
    </row>
    <row r="320" spans="1:21" ht="15.75" customHeight="1">
      <c r="A320" s="300">
        <v>310</v>
      </c>
      <c r="B320" s="263">
        <v>2000</v>
      </c>
      <c r="C320" s="368"/>
      <c r="D320" s="266"/>
      <c r="E320" s="282" t="s">
        <v>2217</v>
      </c>
      <c r="F320" s="389"/>
      <c r="G320" s="250"/>
      <c r="H320" s="224"/>
      <c r="I320" s="224"/>
      <c r="J320" s="224"/>
      <c r="K320" s="224"/>
      <c r="L320" s="232"/>
      <c r="M320" s="230"/>
      <c r="N320" s="237"/>
      <c r="O320" s="237"/>
      <c r="P320" s="237"/>
      <c r="Q320" s="237"/>
      <c r="R320" s="237"/>
      <c r="S320" s="238"/>
      <c r="T320" s="239"/>
      <c r="U320" s="240"/>
    </row>
    <row r="321" spans="1:21" ht="15.75" customHeight="1">
      <c r="A321" s="300">
        <v>311</v>
      </c>
      <c r="B321" s="263">
        <v>2000</v>
      </c>
      <c r="C321" s="368"/>
      <c r="D321" s="266"/>
      <c r="E321" s="287" t="s">
        <v>883</v>
      </c>
      <c r="F321" s="389"/>
      <c r="G321" s="231"/>
      <c r="H321" s="224"/>
      <c r="I321" s="224"/>
      <c r="J321" s="224"/>
      <c r="K321" s="224"/>
      <c r="L321" s="232"/>
      <c r="M321" s="230"/>
      <c r="N321" s="237"/>
      <c r="O321" s="237"/>
      <c r="P321" s="237"/>
      <c r="Q321" s="237"/>
      <c r="R321" s="237"/>
      <c r="S321" s="238"/>
      <c r="T321" s="239"/>
      <c r="U321" s="240"/>
    </row>
    <row r="322" spans="1:21" ht="15.75" customHeight="1">
      <c r="A322" s="300">
        <v>312</v>
      </c>
      <c r="B322" s="263">
        <v>2000</v>
      </c>
      <c r="C322" s="368"/>
      <c r="D322" s="266"/>
      <c r="E322" s="287" t="s">
        <v>887</v>
      </c>
      <c r="F322" s="389"/>
      <c r="G322" s="231"/>
      <c r="H322" s="224"/>
      <c r="I322" s="224"/>
      <c r="J322" s="224"/>
      <c r="K322" s="224"/>
      <c r="L322" s="232"/>
      <c r="M322" s="230"/>
      <c r="N322" s="237"/>
      <c r="O322" s="237"/>
      <c r="P322" s="237"/>
      <c r="Q322" s="237"/>
      <c r="R322" s="237"/>
      <c r="S322" s="238"/>
      <c r="T322" s="239"/>
      <c r="U322" s="240"/>
    </row>
    <row r="323" spans="1:21" ht="15.75" customHeight="1">
      <c r="A323" s="300">
        <v>313</v>
      </c>
      <c r="B323" s="263">
        <v>2000</v>
      </c>
      <c r="C323" s="368"/>
      <c r="D323" s="266"/>
      <c r="E323" s="282" t="s">
        <v>2218</v>
      </c>
      <c r="F323" s="389"/>
      <c r="G323" s="250"/>
      <c r="H323" s="224"/>
      <c r="I323" s="224"/>
      <c r="J323" s="224"/>
      <c r="K323" s="224"/>
      <c r="L323" s="232"/>
      <c r="M323" s="230"/>
      <c r="N323" s="237"/>
      <c r="O323" s="237"/>
      <c r="P323" s="237"/>
      <c r="Q323" s="237"/>
      <c r="R323" s="237"/>
      <c r="S323" s="238"/>
      <c r="T323" s="239"/>
      <c r="U323" s="240"/>
    </row>
    <row r="324" spans="1:21" ht="15.75" customHeight="1">
      <c r="A324" s="300">
        <v>314</v>
      </c>
      <c r="B324" s="263">
        <v>2000</v>
      </c>
      <c r="C324" s="368"/>
      <c r="D324" s="266"/>
      <c r="E324" s="287" t="s">
        <v>891</v>
      </c>
      <c r="F324" s="389"/>
      <c r="G324" s="231"/>
      <c r="H324" s="224"/>
      <c r="I324" s="224"/>
      <c r="J324" s="224"/>
      <c r="K324" s="224"/>
      <c r="L324" s="232"/>
      <c r="M324" s="230"/>
      <c r="N324" s="237"/>
      <c r="O324" s="237"/>
      <c r="P324" s="237"/>
      <c r="Q324" s="237"/>
      <c r="R324" s="237"/>
      <c r="S324" s="238"/>
      <c r="T324" s="239"/>
      <c r="U324" s="240"/>
    </row>
    <row r="325" spans="1:21" ht="15.75" customHeight="1">
      <c r="A325" s="300">
        <v>315</v>
      </c>
      <c r="B325" s="263">
        <v>2000</v>
      </c>
      <c r="C325" s="368"/>
      <c r="D325" s="266"/>
      <c r="E325" s="287" t="s">
        <v>895</v>
      </c>
      <c r="F325" s="389"/>
      <c r="G325" s="231"/>
      <c r="H325" s="224"/>
      <c r="I325" s="224"/>
      <c r="J325" s="224"/>
      <c r="K325" s="224"/>
      <c r="L325" s="232"/>
      <c r="M325" s="230"/>
      <c r="N325" s="237"/>
      <c r="O325" s="237"/>
      <c r="P325" s="237"/>
      <c r="Q325" s="237"/>
      <c r="R325" s="237"/>
      <c r="S325" s="238"/>
      <c r="T325" s="239"/>
      <c r="U325" s="240"/>
    </row>
    <row r="326" spans="1:21" ht="15.75" customHeight="1">
      <c r="A326" s="300">
        <v>316</v>
      </c>
      <c r="B326" s="263">
        <v>2000</v>
      </c>
      <c r="C326" s="368"/>
      <c r="D326" s="266"/>
      <c r="E326" s="297" t="s">
        <v>899</v>
      </c>
      <c r="F326" s="389"/>
      <c r="G326" s="231"/>
      <c r="H326" s="224"/>
      <c r="I326" s="224"/>
      <c r="J326" s="224"/>
      <c r="K326" s="224"/>
      <c r="L326" s="232"/>
      <c r="M326" s="230"/>
      <c r="N326" s="237"/>
      <c r="O326" s="237"/>
      <c r="P326" s="237"/>
      <c r="Q326" s="237"/>
      <c r="R326" s="237"/>
      <c r="S326" s="238"/>
      <c r="T326" s="239"/>
      <c r="U326" s="240"/>
    </row>
    <row r="327" spans="1:21" ht="15.75" customHeight="1">
      <c r="A327" s="300">
        <v>317</v>
      </c>
      <c r="B327" s="263">
        <v>2000</v>
      </c>
      <c r="C327" s="368"/>
      <c r="D327" s="266"/>
      <c r="E327" s="282" t="s">
        <v>2219</v>
      </c>
      <c r="F327" s="389"/>
      <c r="G327" s="250"/>
      <c r="H327" s="224"/>
      <c r="I327" s="224"/>
      <c r="J327" s="224"/>
      <c r="K327" s="224"/>
      <c r="L327" s="232"/>
      <c r="M327" s="230"/>
      <c r="N327" s="237"/>
      <c r="O327" s="237"/>
      <c r="P327" s="237"/>
      <c r="Q327" s="237"/>
      <c r="R327" s="237"/>
      <c r="S327" s="238"/>
      <c r="T327" s="239"/>
      <c r="U327" s="240"/>
    </row>
    <row r="328" spans="1:21" ht="15.75" customHeight="1">
      <c r="A328" s="300">
        <v>318</v>
      </c>
      <c r="B328" s="263">
        <v>2000</v>
      </c>
      <c r="C328" s="368"/>
      <c r="D328" s="266"/>
      <c r="E328" s="287" t="s">
        <v>903</v>
      </c>
      <c r="F328" s="389"/>
      <c r="G328" s="231"/>
      <c r="H328" s="224"/>
      <c r="I328" s="224"/>
      <c r="J328" s="224"/>
      <c r="K328" s="224"/>
      <c r="L328" s="232"/>
      <c r="M328" s="230"/>
      <c r="N328" s="237"/>
      <c r="O328" s="237"/>
      <c r="P328" s="237"/>
      <c r="Q328" s="237"/>
      <c r="R328" s="237"/>
      <c r="S328" s="238"/>
      <c r="T328" s="239"/>
      <c r="U328" s="240"/>
    </row>
    <row r="329" spans="1:21" ht="15.75" customHeight="1">
      <c r="A329" s="300">
        <v>319</v>
      </c>
      <c r="B329" s="263">
        <v>2000</v>
      </c>
      <c r="C329" s="368"/>
      <c r="D329" s="266"/>
      <c r="E329" s="287" t="s">
        <v>907</v>
      </c>
      <c r="F329" s="390"/>
      <c r="G329" s="231"/>
      <c r="H329" s="224"/>
      <c r="I329" s="224"/>
      <c r="J329" s="224"/>
      <c r="K329" s="224"/>
      <c r="L329" s="232"/>
      <c r="M329" s="230"/>
      <c r="N329" s="237"/>
      <c r="O329" s="237"/>
      <c r="P329" s="237"/>
      <c r="Q329" s="237"/>
      <c r="R329" s="237"/>
      <c r="S329" s="238"/>
      <c r="T329" s="239"/>
      <c r="U329" s="240"/>
    </row>
    <row r="330" spans="1:21" ht="15.75" customHeight="1">
      <c r="A330" s="300">
        <v>320</v>
      </c>
      <c r="B330" s="263">
        <v>2000</v>
      </c>
      <c r="C330" s="368" t="s">
        <v>2685</v>
      </c>
      <c r="D330" s="266"/>
      <c r="E330" s="298" t="s">
        <v>2220</v>
      </c>
      <c r="F330" s="388" t="s">
        <v>2715</v>
      </c>
      <c r="G330" s="231"/>
      <c r="H330" s="229"/>
      <c r="I330" s="229"/>
      <c r="J330" s="229"/>
      <c r="K330" s="229"/>
      <c r="L330" s="232"/>
      <c r="M330" s="230"/>
      <c r="N330" s="237"/>
      <c r="O330" s="237"/>
      <c r="P330" s="237"/>
      <c r="Q330" s="237"/>
      <c r="R330" s="237"/>
      <c r="S330" s="238"/>
      <c r="T330" s="239"/>
      <c r="U330" s="240"/>
    </row>
    <row r="331" spans="1:21" ht="15.75" customHeight="1">
      <c r="A331" s="300">
        <v>321</v>
      </c>
      <c r="B331" s="263">
        <v>2000</v>
      </c>
      <c r="C331" s="368"/>
      <c r="D331" s="266"/>
      <c r="E331" s="294" t="s">
        <v>2221</v>
      </c>
      <c r="F331" s="389"/>
      <c r="G331" s="235"/>
      <c r="H331" s="224"/>
      <c r="I331" s="224"/>
      <c r="J331" s="224"/>
      <c r="K331" s="224"/>
      <c r="L331" s="254"/>
      <c r="M331" s="230"/>
      <c r="N331" s="237"/>
      <c r="O331" s="237"/>
      <c r="P331" s="237"/>
      <c r="Q331" s="237"/>
      <c r="R331" s="237"/>
      <c r="S331" s="238"/>
      <c r="T331" s="239"/>
      <c r="U331" s="240"/>
    </row>
    <row r="332" spans="1:21" ht="15.75" customHeight="1">
      <c r="A332" s="300">
        <v>322</v>
      </c>
      <c r="B332" s="263">
        <v>2000</v>
      </c>
      <c r="C332" s="368"/>
      <c r="D332" s="266"/>
      <c r="E332" s="298" t="s">
        <v>2222</v>
      </c>
      <c r="F332" s="389"/>
      <c r="G332" s="224"/>
      <c r="H332" s="224"/>
      <c r="I332" s="224"/>
      <c r="J332" s="224"/>
      <c r="K332" s="224"/>
      <c r="L332" s="232"/>
      <c r="M332" s="230"/>
      <c r="N332" s="237"/>
      <c r="O332" s="237"/>
      <c r="P332" s="237"/>
      <c r="Q332" s="237"/>
      <c r="R332" s="237"/>
      <c r="S332" s="238"/>
      <c r="T332" s="239"/>
      <c r="U332" s="240"/>
    </row>
    <row r="333" spans="1:21" ht="15.75" customHeight="1">
      <c r="A333" s="300">
        <v>323</v>
      </c>
      <c r="B333" s="263">
        <v>2000</v>
      </c>
      <c r="C333" s="368"/>
      <c r="D333" s="266"/>
      <c r="E333" s="298" t="s">
        <v>2223</v>
      </c>
      <c r="F333" s="389"/>
      <c r="G333" s="224"/>
      <c r="H333" s="224"/>
      <c r="I333" s="224"/>
      <c r="J333" s="224"/>
      <c r="K333" s="224"/>
      <c r="L333" s="232"/>
      <c r="M333" s="230"/>
      <c r="N333" s="237"/>
      <c r="O333" s="237"/>
      <c r="P333" s="237"/>
      <c r="Q333" s="237"/>
      <c r="R333" s="237"/>
      <c r="S333" s="238"/>
      <c r="T333" s="239"/>
      <c r="U333" s="240"/>
    </row>
    <row r="334" spans="1:21" ht="15.75" customHeight="1">
      <c r="A334" s="300">
        <v>324</v>
      </c>
      <c r="B334" s="263">
        <v>2000</v>
      </c>
      <c r="C334" s="368"/>
      <c r="D334" s="266"/>
      <c r="E334" s="298" t="s">
        <v>2224</v>
      </c>
      <c r="F334" s="389"/>
      <c r="G334" s="231"/>
      <c r="H334" s="224"/>
      <c r="I334" s="224"/>
      <c r="J334" s="224"/>
      <c r="K334" s="224"/>
      <c r="L334" s="232"/>
      <c r="M334" s="230"/>
      <c r="N334" s="237"/>
      <c r="O334" s="237"/>
      <c r="P334" s="237"/>
      <c r="Q334" s="237"/>
      <c r="R334" s="237"/>
      <c r="S334" s="238"/>
      <c r="T334" s="239"/>
      <c r="U334" s="240"/>
    </row>
    <row r="335" spans="1:21" ht="15.75" customHeight="1">
      <c r="A335" s="300">
        <v>325</v>
      </c>
      <c r="B335" s="263">
        <v>2000</v>
      </c>
      <c r="C335" s="368"/>
      <c r="D335" s="266"/>
      <c r="E335" s="294" t="s">
        <v>2225</v>
      </c>
      <c r="F335" s="389"/>
      <c r="G335" s="231"/>
      <c r="H335" s="224"/>
      <c r="I335" s="224"/>
      <c r="J335" s="224"/>
      <c r="K335" s="224"/>
      <c r="L335" s="232"/>
      <c r="M335" s="230"/>
      <c r="N335" s="237"/>
      <c r="O335" s="237"/>
      <c r="P335" s="237"/>
      <c r="Q335" s="237"/>
      <c r="R335" s="237"/>
      <c r="S335" s="238"/>
      <c r="T335" s="239"/>
      <c r="U335" s="240"/>
    </row>
    <row r="336" spans="1:21" ht="15.75" customHeight="1">
      <c r="A336" s="300">
        <v>326</v>
      </c>
      <c r="B336" s="263">
        <v>2000</v>
      </c>
      <c r="C336" s="368"/>
      <c r="D336" s="266"/>
      <c r="E336" s="298" t="s">
        <v>2226</v>
      </c>
      <c r="F336" s="389"/>
      <c r="G336" s="235"/>
      <c r="H336" s="224"/>
      <c r="I336" s="224"/>
      <c r="J336" s="224"/>
      <c r="K336" s="224"/>
      <c r="L336" s="232"/>
      <c r="M336" s="230"/>
      <c r="N336" s="237"/>
      <c r="O336" s="237"/>
      <c r="P336" s="237"/>
      <c r="Q336" s="237"/>
      <c r="R336" s="237"/>
      <c r="S336" s="238"/>
      <c r="T336" s="239"/>
      <c r="U336" s="240"/>
    </row>
    <row r="337" spans="1:21" ht="15.75" customHeight="1">
      <c r="A337" s="300">
        <v>327</v>
      </c>
      <c r="B337" s="263">
        <v>2000</v>
      </c>
      <c r="C337" s="368"/>
      <c r="D337" s="266"/>
      <c r="E337" s="298" t="s">
        <v>2227</v>
      </c>
      <c r="F337" s="389"/>
      <c r="G337" s="224"/>
      <c r="H337" s="224"/>
      <c r="I337" s="224"/>
      <c r="J337" s="224"/>
      <c r="K337" s="224"/>
      <c r="L337" s="232"/>
      <c r="M337" s="230"/>
      <c r="N337" s="237"/>
      <c r="O337" s="237"/>
      <c r="P337" s="237"/>
      <c r="Q337" s="237"/>
      <c r="R337" s="237"/>
      <c r="S337" s="238"/>
      <c r="T337" s="239"/>
      <c r="U337" s="240"/>
    </row>
    <row r="338" spans="1:21" ht="15.75" customHeight="1">
      <c r="A338" s="300">
        <v>328</v>
      </c>
      <c r="B338" s="263">
        <v>2000</v>
      </c>
      <c r="C338" s="368"/>
      <c r="D338" s="266"/>
      <c r="E338" s="298" t="s">
        <v>2228</v>
      </c>
      <c r="F338" s="389"/>
      <c r="G338" s="224"/>
      <c r="H338" s="224"/>
      <c r="I338" s="224"/>
      <c r="J338" s="224"/>
      <c r="K338" s="224"/>
      <c r="L338" s="232"/>
      <c r="M338" s="230"/>
      <c r="N338" s="237"/>
      <c r="O338" s="237"/>
      <c r="P338" s="237"/>
      <c r="Q338" s="237"/>
      <c r="R338" s="237"/>
      <c r="S338" s="238"/>
      <c r="T338" s="239"/>
      <c r="U338" s="240"/>
    </row>
    <row r="339" spans="1:21" ht="15.75" customHeight="1">
      <c r="A339" s="300">
        <v>329</v>
      </c>
      <c r="B339" s="263">
        <v>2000</v>
      </c>
      <c r="C339" s="368"/>
      <c r="D339" s="266"/>
      <c r="E339" s="298" t="s">
        <v>2229</v>
      </c>
      <c r="F339" s="389"/>
      <c r="G339" s="224"/>
      <c r="H339" s="224"/>
      <c r="I339" s="224"/>
      <c r="J339" s="224"/>
      <c r="K339" s="224"/>
      <c r="L339" s="232"/>
      <c r="M339" s="230"/>
      <c r="N339" s="237"/>
      <c r="O339" s="237"/>
      <c r="P339" s="237"/>
      <c r="Q339" s="237"/>
      <c r="R339" s="237"/>
      <c r="S339" s="238"/>
      <c r="T339" s="239"/>
      <c r="U339" s="240"/>
    </row>
    <row r="340" spans="1:21" ht="15.75" customHeight="1">
      <c r="A340" s="300">
        <v>330</v>
      </c>
      <c r="B340" s="263">
        <v>2000</v>
      </c>
      <c r="C340" s="368"/>
      <c r="D340" s="266"/>
      <c r="E340" s="298" t="s">
        <v>2230</v>
      </c>
      <c r="F340" s="390"/>
      <c r="G340" s="224"/>
      <c r="H340" s="224"/>
      <c r="I340" s="224"/>
      <c r="J340" s="224"/>
      <c r="K340" s="224"/>
      <c r="L340" s="232"/>
      <c r="M340" s="230"/>
      <c r="N340" s="237"/>
      <c r="O340" s="237"/>
      <c r="P340" s="237"/>
      <c r="Q340" s="237"/>
      <c r="R340" s="237"/>
      <c r="S340" s="238"/>
      <c r="T340" s="239"/>
      <c r="U340" s="240"/>
    </row>
    <row r="341" spans="1:21" ht="15.75" customHeight="1">
      <c r="A341" s="300">
        <v>331</v>
      </c>
      <c r="B341" s="263">
        <v>2000</v>
      </c>
      <c r="C341" s="368" t="s">
        <v>2686</v>
      </c>
      <c r="D341" s="266" t="s">
        <v>917</v>
      </c>
      <c r="E341" s="287" t="s">
        <v>920</v>
      </c>
      <c r="F341" s="388">
        <v>2027</v>
      </c>
      <c r="G341" s="231"/>
      <c r="H341" s="229"/>
      <c r="I341" s="229"/>
      <c r="J341" s="231"/>
      <c r="K341" s="229"/>
      <c r="L341" s="232"/>
      <c r="M341" s="230"/>
      <c r="N341" s="237"/>
      <c r="O341" s="237"/>
      <c r="P341" s="237"/>
      <c r="Q341" s="237"/>
      <c r="R341" s="237"/>
      <c r="S341" s="238"/>
      <c r="T341" s="242"/>
      <c r="U341" s="240"/>
    </row>
    <row r="342" spans="1:21" ht="15.75" customHeight="1">
      <c r="A342" s="300">
        <v>332</v>
      </c>
      <c r="B342" s="263">
        <v>2000</v>
      </c>
      <c r="C342" s="368"/>
      <c r="D342" s="262"/>
      <c r="E342" s="287" t="s">
        <v>926</v>
      </c>
      <c r="F342" s="389"/>
      <c r="G342" s="231"/>
      <c r="H342" s="224"/>
      <c r="I342" s="224"/>
      <c r="J342" s="231"/>
      <c r="K342" s="224"/>
      <c r="L342" s="232"/>
      <c r="M342" s="230"/>
      <c r="N342" s="237"/>
      <c r="O342" s="237"/>
      <c r="P342" s="237"/>
      <c r="Q342" s="237"/>
      <c r="R342" s="237"/>
      <c r="S342" s="238"/>
      <c r="T342" s="242"/>
      <c r="U342" s="240"/>
    </row>
    <row r="343" spans="1:21" ht="15.75" customHeight="1">
      <c r="A343" s="300">
        <v>333</v>
      </c>
      <c r="B343" s="263">
        <v>2000</v>
      </c>
      <c r="C343" s="368"/>
      <c r="D343" s="262"/>
      <c r="E343" s="287" t="s">
        <v>930</v>
      </c>
      <c r="F343" s="389"/>
      <c r="G343" s="231"/>
      <c r="H343" s="224"/>
      <c r="I343" s="224"/>
      <c r="J343" s="231"/>
      <c r="K343" s="224"/>
      <c r="L343" s="232"/>
      <c r="M343" s="230"/>
      <c r="N343" s="237"/>
      <c r="O343" s="237"/>
      <c r="P343" s="237"/>
      <c r="Q343" s="237"/>
      <c r="R343" s="237"/>
      <c r="S343" s="238"/>
      <c r="T343" s="242"/>
      <c r="U343" s="240"/>
    </row>
    <row r="344" spans="1:21" ht="15.75" customHeight="1">
      <c r="A344" s="300">
        <v>334</v>
      </c>
      <c r="B344" s="263">
        <v>2000</v>
      </c>
      <c r="C344" s="368"/>
      <c r="D344" s="262"/>
      <c r="E344" s="287" t="s">
        <v>934</v>
      </c>
      <c r="F344" s="389"/>
      <c r="G344" s="231"/>
      <c r="H344" s="224"/>
      <c r="I344" s="224"/>
      <c r="J344" s="231"/>
      <c r="K344" s="224"/>
      <c r="L344" s="232"/>
      <c r="M344" s="230"/>
      <c r="N344" s="237"/>
      <c r="O344" s="237"/>
      <c r="P344" s="237"/>
      <c r="Q344" s="237"/>
      <c r="R344" s="237"/>
      <c r="S344" s="238"/>
      <c r="T344" s="242"/>
      <c r="U344" s="240"/>
    </row>
    <row r="345" spans="1:21" ht="15.75" customHeight="1">
      <c r="A345" s="300">
        <v>335</v>
      </c>
      <c r="B345" s="263">
        <v>2000</v>
      </c>
      <c r="C345" s="368"/>
      <c r="D345" s="262"/>
      <c r="E345" s="287" t="s">
        <v>938</v>
      </c>
      <c r="F345" s="389"/>
      <c r="G345" s="231"/>
      <c r="H345" s="224"/>
      <c r="I345" s="224"/>
      <c r="J345" s="231"/>
      <c r="K345" s="224"/>
      <c r="L345" s="232"/>
      <c r="M345" s="230"/>
      <c r="N345" s="237"/>
      <c r="O345" s="237"/>
      <c r="P345" s="237"/>
      <c r="Q345" s="237"/>
      <c r="R345" s="237"/>
      <c r="S345" s="238"/>
      <c r="T345" s="242"/>
      <c r="U345" s="240"/>
    </row>
    <row r="346" spans="1:21" ht="15.75" customHeight="1">
      <c r="A346" s="300">
        <v>336</v>
      </c>
      <c r="B346" s="263">
        <v>2000</v>
      </c>
      <c r="C346" s="368"/>
      <c r="D346" s="262"/>
      <c r="E346" s="287" t="s">
        <v>942</v>
      </c>
      <c r="F346" s="389"/>
      <c r="G346" s="231"/>
      <c r="H346" s="224"/>
      <c r="I346" s="224"/>
      <c r="J346" s="231"/>
      <c r="K346" s="224"/>
      <c r="L346" s="232"/>
      <c r="M346" s="230"/>
      <c r="N346" s="237"/>
      <c r="O346" s="237"/>
      <c r="P346" s="237"/>
      <c r="Q346" s="237"/>
      <c r="R346" s="237"/>
      <c r="S346" s="238"/>
      <c r="T346" s="242"/>
      <c r="U346" s="240"/>
    </row>
    <row r="347" spans="1:21" ht="15.75" customHeight="1">
      <c r="A347" s="300">
        <v>337</v>
      </c>
      <c r="B347" s="263">
        <v>2000</v>
      </c>
      <c r="C347" s="368"/>
      <c r="D347" s="262"/>
      <c r="E347" s="287" t="s">
        <v>946</v>
      </c>
      <c r="F347" s="389"/>
      <c r="G347" s="231"/>
      <c r="H347" s="224"/>
      <c r="I347" s="224"/>
      <c r="J347" s="231"/>
      <c r="K347" s="224"/>
      <c r="L347" s="232"/>
      <c r="M347" s="230"/>
      <c r="N347" s="237"/>
      <c r="O347" s="237"/>
      <c r="P347" s="237"/>
      <c r="Q347" s="237"/>
      <c r="R347" s="237"/>
      <c r="S347" s="238"/>
      <c r="T347" s="242"/>
      <c r="U347" s="240"/>
    </row>
    <row r="348" spans="1:21" ht="15.75" customHeight="1">
      <c r="A348" s="300">
        <v>338</v>
      </c>
      <c r="B348" s="263">
        <v>2000</v>
      </c>
      <c r="C348" s="368"/>
      <c r="D348" s="262"/>
      <c r="E348" s="287" t="s">
        <v>950</v>
      </c>
      <c r="F348" s="389"/>
      <c r="G348" s="231"/>
      <c r="H348" s="224"/>
      <c r="I348" s="224"/>
      <c r="J348" s="231"/>
      <c r="K348" s="224"/>
      <c r="L348" s="232"/>
      <c r="M348" s="230"/>
      <c r="N348" s="237"/>
      <c r="O348" s="237"/>
      <c r="P348" s="237"/>
      <c r="Q348" s="237"/>
      <c r="R348" s="237"/>
      <c r="S348" s="238"/>
      <c r="T348" s="242"/>
      <c r="U348" s="240"/>
    </row>
    <row r="349" spans="1:21" ht="15.75" customHeight="1">
      <c r="A349" s="300">
        <v>339</v>
      </c>
      <c r="B349" s="263">
        <v>2000</v>
      </c>
      <c r="C349" s="368"/>
      <c r="D349" s="262"/>
      <c r="E349" s="287" t="s">
        <v>954</v>
      </c>
      <c r="F349" s="389"/>
      <c r="G349" s="231"/>
      <c r="H349" s="224"/>
      <c r="I349" s="224"/>
      <c r="J349" s="231"/>
      <c r="K349" s="224"/>
      <c r="L349" s="232"/>
      <c r="M349" s="230"/>
      <c r="N349" s="237"/>
      <c r="O349" s="237"/>
      <c r="P349" s="237"/>
      <c r="Q349" s="237"/>
      <c r="R349" s="237"/>
      <c r="S349" s="238"/>
      <c r="T349" s="242"/>
      <c r="U349" s="240"/>
    </row>
    <row r="350" spans="1:21" ht="15.75" customHeight="1">
      <c r="A350" s="300">
        <v>340</v>
      </c>
      <c r="B350" s="263">
        <v>2000</v>
      </c>
      <c r="C350" s="368"/>
      <c r="D350" s="262"/>
      <c r="E350" s="287" t="s">
        <v>958</v>
      </c>
      <c r="F350" s="389"/>
      <c r="G350" s="231"/>
      <c r="H350" s="224"/>
      <c r="I350" s="224"/>
      <c r="J350" s="231"/>
      <c r="K350" s="224"/>
      <c r="L350" s="232"/>
      <c r="M350" s="230"/>
      <c r="N350" s="237"/>
      <c r="O350" s="237"/>
      <c r="P350" s="237"/>
      <c r="Q350" s="237"/>
      <c r="R350" s="237"/>
      <c r="S350" s="238"/>
      <c r="T350" s="242"/>
      <c r="U350" s="240"/>
    </row>
    <row r="351" spans="1:21" ht="15.75" customHeight="1">
      <c r="A351" s="300">
        <v>341</v>
      </c>
      <c r="B351" s="263">
        <v>2000</v>
      </c>
      <c r="C351" s="368"/>
      <c r="D351" s="262"/>
      <c r="E351" s="287" t="s">
        <v>962</v>
      </c>
      <c r="F351" s="389"/>
      <c r="G351" s="231"/>
      <c r="H351" s="224"/>
      <c r="I351" s="224"/>
      <c r="J351" s="231"/>
      <c r="K351" s="224"/>
      <c r="L351" s="232"/>
      <c r="M351" s="230"/>
      <c r="N351" s="237"/>
      <c r="O351" s="237"/>
      <c r="P351" s="237"/>
      <c r="Q351" s="237"/>
      <c r="R351" s="237"/>
      <c r="S351" s="238"/>
      <c r="T351" s="242"/>
      <c r="U351" s="240"/>
    </row>
    <row r="352" spans="1:21" ht="15.75" customHeight="1">
      <c r="A352" s="300">
        <v>342</v>
      </c>
      <c r="B352" s="263">
        <v>2000</v>
      </c>
      <c r="C352" s="368"/>
      <c r="D352" s="262"/>
      <c r="E352" s="287" t="s">
        <v>966</v>
      </c>
      <c r="F352" s="389"/>
      <c r="G352" s="231"/>
      <c r="H352" s="224"/>
      <c r="I352" s="224"/>
      <c r="J352" s="231"/>
      <c r="K352" s="224"/>
      <c r="L352" s="232"/>
      <c r="M352" s="230"/>
      <c r="N352" s="237"/>
      <c r="O352" s="237"/>
      <c r="P352" s="237"/>
      <c r="Q352" s="237"/>
      <c r="R352" s="237"/>
      <c r="S352" s="238"/>
      <c r="T352" s="242"/>
      <c r="U352" s="240"/>
    </row>
    <row r="353" spans="1:26" ht="15.75" customHeight="1">
      <c r="A353" s="300">
        <v>343</v>
      </c>
      <c r="B353" s="263">
        <v>2000</v>
      </c>
      <c r="C353" s="368"/>
      <c r="D353" s="262"/>
      <c r="E353" s="287" t="s">
        <v>969</v>
      </c>
      <c r="F353" s="389"/>
      <c r="G353" s="231"/>
      <c r="H353" s="224"/>
      <c r="I353" s="224"/>
      <c r="J353" s="231"/>
      <c r="K353" s="224"/>
      <c r="L353" s="232"/>
      <c r="M353" s="230"/>
      <c r="N353" s="237"/>
      <c r="O353" s="237"/>
      <c r="P353" s="237"/>
      <c r="Q353" s="237"/>
      <c r="R353" s="237"/>
      <c r="S353" s="238"/>
      <c r="T353" s="230"/>
      <c r="U353" s="234"/>
      <c r="V353" s="230"/>
      <c r="W353" s="225"/>
      <c r="X353" s="225"/>
      <c r="Y353" s="225"/>
      <c r="Z353" s="30"/>
    </row>
    <row r="354" spans="1:26" ht="15.75" customHeight="1">
      <c r="A354" s="300">
        <v>344</v>
      </c>
      <c r="B354" s="263">
        <v>2000</v>
      </c>
      <c r="C354" s="368"/>
      <c r="D354" s="262"/>
      <c r="E354" s="287" t="s">
        <v>971</v>
      </c>
      <c r="F354" s="389"/>
      <c r="G354" s="231"/>
      <c r="H354" s="224"/>
      <c r="I354" s="224"/>
      <c r="J354" s="231"/>
      <c r="K354" s="224"/>
      <c r="L354" s="232"/>
      <c r="M354" s="230"/>
      <c r="N354" s="237"/>
      <c r="O354" s="237"/>
      <c r="P354" s="237"/>
      <c r="Q354" s="237"/>
      <c r="R354" s="237"/>
      <c r="S354" s="238"/>
      <c r="T354" s="242"/>
      <c r="U354" s="240"/>
    </row>
    <row r="355" spans="1:26" ht="15.75" customHeight="1">
      <c r="A355" s="300">
        <v>345</v>
      </c>
      <c r="B355" s="263">
        <v>2000</v>
      </c>
      <c r="C355" s="368"/>
      <c r="D355" s="262"/>
      <c r="E355" s="287" t="s">
        <v>973</v>
      </c>
      <c r="F355" s="389"/>
      <c r="G355" s="231"/>
      <c r="H355" s="224"/>
      <c r="I355" s="224"/>
      <c r="J355" s="231"/>
      <c r="K355" s="224"/>
      <c r="L355" s="232"/>
      <c r="M355" s="230"/>
      <c r="N355" s="237"/>
      <c r="O355" s="237"/>
      <c r="P355" s="237"/>
      <c r="Q355" s="237"/>
      <c r="R355" s="237"/>
      <c r="S355" s="238"/>
      <c r="T355" s="242"/>
      <c r="U355" s="240"/>
    </row>
    <row r="356" spans="1:26">
      <c r="A356" s="300">
        <v>346</v>
      </c>
      <c r="B356" s="263">
        <v>2000</v>
      </c>
      <c r="C356" s="368"/>
      <c r="D356" s="262"/>
      <c r="E356" s="287" t="s">
        <v>975</v>
      </c>
      <c r="F356" s="389"/>
      <c r="G356" s="231"/>
      <c r="H356" s="224"/>
      <c r="I356" s="224"/>
      <c r="J356" s="231"/>
      <c r="K356" s="224"/>
      <c r="L356" s="232"/>
      <c r="M356" s="230"/>
      <c r="N356" s="237"/>
      <c r="O356" s="237"/>
      <c r="P356" s="237"/>
      <c r="Q356" s="237"/>
      <c r="R356" s="237"/>
      <c r="S356" s="238"/>
      <c r="T356" s="242"/>
      <c r="U356" s="240"/>
    </row>
    <row r="357" spans="1:26" ht="15.75" customHeight="1">
      <c r="A357" s="300">
        <v>347</v>
      </c>
      <c r="B357" s="263">
        <v>2000</v>
      </c>
      <c r="C357" s="368"/>
      <c r="D357" s="262"/>
      <c r="E357" s="287" t="s">
        <v>977</v>
      </c>
      <c r="F357" s="389"/>
      <c r="G357" s="231"/>
      <c r="H357" s="224"/>
      <c r="I357" s="224"/>
      <c r="J357" s="231"/>
      <c r="K357" s="224"/>
      <c r="L357" s="232"/>
      <c r="M357" s="230"/>
      <c r="N357" s="237"/>
      <c r="O357" s="237"/>
      <c r="P357" s="237"/>
      <c r="Q357" s="237"/>
      <c r="R357" s="237"/>
      <c r="S357" s="238"/>
      <c r="T357" s="242"/>
      <c r="U357" s="240"/>
    </row>
    <row r="358" spans="1:26" ht="15.75" customHeight="1">
      <c r="A358" s="300">
        <v>348</v>
      </c>
      <c r="B358" s="263">
        <v>2000</v>
      </c>
      <c r="C358" s="368"/>
      <c r="D358" s="266" t="s">
        <v>987</v>
      </c>
      <c r="E358" s="287" t="s">
        <v>979</v>
      </c>
      <c r="F358" s="389"/>
      <c r="G358" s="231"/>
      <c r="H358" s="231"/>
      <c r="I358" s="231"/>
      <c r="J358" s="231"/>
      <c r="K358" s="224"/>
      <c r="L358" s="232"/>
      <c r="M358" s="230"/>
      <c r="N358" s="237"/>
      <c r="O358" s="237"/>
      <c r="P358" s="237"/>
      <c r="Q358" s="237"/>
      <c r="R358" s="237"/>
      <c r="S358" s="238"/>
      <c r="T358" s="242"/>
      <c r="U358" s="240"/>
    </row>
    <row r="359" spans="1:26" ht="15.75" customHeight="1">
      <c r="A359" s="300">
        <v>349</v>
      </c>
      <c r="B359" s="263">
        <v>2000</v>
      </c>
      <c r="C359" s="368"/>
      <c r="D359" s="262"/>
      <c r="E359" s="287" t="s">
        <v>981</v>
      </c>
      <c r="F359" s="389"/>
      <c r="G359" s="231"/>
      <c r="H359" s="231"/>
      <c r="I359" s="231"/>
      <c r="J359" s="231"/>
      <c r="K359" s="224"/>
      <c r="L359" s="232"/>
      <c r="M359" s="230"/>
      <c r="N359" s="237"/>
      <c r="O359" s="237"/>
      <c r="P359" s="237"/>
      <c r="Q359" s="237"/>
      <c r="R359" s="237"/>
      <c r="S359" s="238"/>
      <c r="T359" s="242"/>
      <c r="U359" s="240"/>
    </row>
    <row r="360" spans="1:26" ht="15.75" customHeight="1">
      <c r="A360" s="300">
        <v>350</v>
      </c>
      <c r="B360" s="263">
        <v>2000</v>
      </c>
      <c r="C360" s="368"/>
      <c r="D360" s="262"/>
      <c r="E360" s="287" t="s">
        <v>983</v>
      </c>
      <c r="F360" s="389"/>
      <c r="G360" s="231"/>
      <c r="H360" s="231"/>
      <c r="I360" s="231"/>
      <c r="J360" s="231"/>
      <c r="K360" s="224"/>
      <c r="L360" s="232"/>
      <c r="M360" s="230"/>
      <c r="N360" s="237"/>
      <c r="O360" s="237"/>
      <c r="P360" s="237"/>
      <c r="Q360" s="237"/>
      <c r="R360" s="237"/>
      <c r="S360" s="238"/>
      <c r="T360" s="242"/>
      <c r="U360" s="240"/>
    </row>
    <row r="361" spans="1:26" ht="15.75" customHeight="1">
      <c r="A361" s="300">
        <v>351</v>
      </c>
      <c r="B361" s="263">
        <v>2000</v>
      </c>
      <c r="C361" s="368"/>
      <c r="D361" s="262"/>
      <c r="E361" s="287" t="s">
        <v>985</v>
      </c>
      <c r="F361" s="389"/>
      <c r="G361" s="231"/>
      <c r="H361" s="231"/>
      <c r="I361" s="231"/>
      <c r="J361" s="231"/>
      <c r="K361" s="224"/>
      <c r="L361" s="232"/>
      <c r="M361" s="230"/>
      <c r="N361" s="237"/>
      <c r="O361" s="237"/>
      <c r="P361" s="237"/>
      <c r="Q361" s="237"/>
      <c r="R361" s="237"/>
      <c r="S361" s="238"/>
      <c r="T361" s="242"/>
      <c r="U361" s="240"/>
    </row>
    <row r="362" spans="1:26" ht="15.75" customHeight="1">
      <c r="A362" s="300">
        <v>352</v>
      </c>
      <c r="B362" s="263">
        <v>2000</v>
      </c>
      <c r="C362" s="368"/>
      <c r="D362" s="262"/>
      <c r="E362" s="287" t="s">
        <v>988</v>
      </c>
      <c r="F362" s="390"/>
      <c r="G362" s="231"/>
      <c r="H362" s="231"/>
      <c r="I362" s="231"/>
      <c r="J362" s="231"/>
      <c r="K362" s="224"/>
      <c r="L362" s="232"/>
      <c r="M362" s="230"/>
      <c r="N362" s="237"/>
      <c r="O362" s="237"/>
      <c r="P362" s="237"/>
      <c r="Q362" s="237"/>
      <c r="R362" s="237"/>
      <c r="S362" s="238"/>
      <c r="T362" s="242"/>
      <c r="U362" s="240"/>
    </row>
    <row r="363" spans="1:26" ht="15.75" customHeight="1">
      <c r="A363" s="300">
        <v>353</v>
      </c>
      <c r="B363" s="263">
        <v>2000</v>
      </c>
      <c r="C363" s="368"/>
      <c r="D363" s="265" t="s">
        <v>1988</v>
      </c>
      <c r="E363" s="287" t="s">
        <v>993</v>
      </c>
      <c r="F363" s="388">
        <v>2026</v>
      </c>
      <c r="G363" s="229"/>
      <c r="H363" s="229"/>
      <c r="I363" s="229"/>
      <c r="J363" s="229"/>
      <c r="K363" s="229"/>
      <c r="L363" s="232"/>
      <c r="M363" s="230"/>
      <c r="N363" s="237"/>
      <c r="O363" s="237"/>
      <c r="P363" s="237"/>
      <c r="Q363" s="237"/>
      <c r="R363" s="237"/>
      <c r="S363" s="238"/>
      <c r="T363" s="239"/>
      <c r="U363" s="240"/>
    </row>
    <row r="364" spans="1:26" ht="15.75" customHeight="1">
      <c r="A364" s="300">
        <v>354</v>
      </c>
      <c r="B364" s="263">
        <v>2000</v>
      </c>
      <c r="C364" s="368"/>
      <c r="D364" s="262"/>
      <c r="E364" s="287" t="s">
        <v>999</v>
      </c>
      <c r="F364" s="389"/>
      <c r="G364" s="224"/>
      <c r="H364" s="224"/>
      <c r="I364" s="224"/>
      <c r="J364" s="224"/>
      <c r="K364" s="224"/>
      <c r="L364" s="232"/>
      <c r="M364" s="230"/>
      <c r="N364" s="237"/>
      <c r="O364" s="237"/>
      <c r="P364" s="237"/>
      <c r="Q364" s="237"/>
      <c r="R364" s="237"/>
      <c r="S364" s="238"/>
      <c r="T364" s="239"/>
      <c r="U364" s="240"/>
    </row>
    <row r="365" spans="1:26" ht="15.75" customHeight="1">
      <c r="A365" s="300">
        <v>355</v>
      </c>
      <c r="B365" s="263">
        <v>2000</v>
      </c>
      <c r="C365" s="368"/>
      <c r="D365" s="262"/>
      <c r="E365" s="287" t="s">
        <v>997</v>
      </c>
      <c r="F365" s="389"/>
      <c r="G365" s="229"/>
      <c r="H365" s="229"/>
      <c r="I365" s="224"/>
      <c r="J365" s="224"/>
      <c r="K365" s="224"/>
      <c r="L365" s="232"/>
      <c r="M365" s="230"/>
      <c r="N365" s="237"/>
      <c r="O365" s="237"/>
      <c r="P365" s="237"/>
      <c r="Q365" s="237"/>
      <c r="R365" s="237"/>
      <c r="S365" s="238"/>
      <c r="T365" s="239"/>
      <c r="U365" s="240"/>
    </row>
    <row r="366" spans="1:26" ht="15.75" customHeight="1">
      <c r="A366" s="300">
        <v>356</v>
      </c>
      <c r="B366" s="263">
        <v>2000</v>
      </c>
      <c r="C366" s="368"/>
      <c r="D366" s="262"/>
      <c r="E366" s="287" t="s">
        <v>1002</v>
      </c>
      <c r="F366" s="389"/>
      <c r="G366" s="224"/>
      <c r="H366" s="224"/>
      <c r="I366" s="224"/>
      <c r="J366" s="224"/>
      <c r="K366" s="224"/>
      <c r="L366" s="232"/>
      <c r="M366" s="230"/>
      <c r="N366" s="237"/>
      <c r="O366" s="237"/>
      <c r="P366" s="237"/>
      <c r="Q366" s="237"/>
      <c r="R366" s="237"/>
      <c r="S366" s="238"/>
      <c r="T366" s="239"/>
      <c r="U366" s="240"/>
    </row>
    <row r="367" spans="1:26" ht="15.75" customHeight="1">
      <c r="A367" s="300">
        <v>357</v>
      </c>
      <c r="B367" s="263">
        <v>2000</v>
      </c>
      <c r="C367" s="368"/>
      <c r="D367" s="262"/>
      <c r="E367" s="287" t="s">
        <v>2231</v>
      </c>
      <c r="F367" s="389"/>
      <c r="G367" s="224"/>
      <c r="H367" s="224"/>
      <c r="I367" s="224"/>
      <c r="J367" s="224"/>
      <c r="K367" s="224"/>
      <c r="L367" s="232"/>
      <c r="M367" s="230"/>
      <c r="N367" s="237"/>
      <c r="O367" s="237"/>
      <c r="P367" s="237"/>
      <c r="Q367" s="237"/>
      <c r="R367" s="237"/>
      <c r="S367" s="238"/>
      <c r="T367" s="239"/>
      <c r="U367" s="240"/>
    </row>
    <row r="368" spans="1:26" ht="15.75" customHeight="1">
      <c r="A368" s="300">
        <v>358</v>
      </c>
      <c r="B368" s="263">
        <v>2000</v>
      </c>
      <c r="C368" s="368"/>
      <c r="D368" s="262"/>
      <c r="E368" s="287" t="s">
        <v>2232</v>
      </c>
      <c r="F368" s="389"/>
      <c r="G368" s="224"/>
      <c r="H368" s="224"/>
      <c r="I368" s="224"/>
      <c r="J368" s="224"/>
      <c r="K368" s="224"/>
      <c r="L368" s="232"/>
      <c r="M368" s="230"/>
      <c r="N368" s="237"/>
      <c r="O368" s="237"/>
      <c r="P368" s="237"/>
      <c r="Q368" s="237"/>
      <c r="R368" s="237"/>
      <c r="S368" s="238"/>
      <c r="T368" s="239"/>
      <c r="U368" s="240"/>
    </row>
    <row r="369" spans="1:21" ht="15.75" customHeight="1">
      <c r="A369" s="300">
        <v>359</v>
      </c>
      <c r="B369" s="263">
        <v>2000</v>
      </c>
      <c r="C369" s="368"/>
      <c r="D369" s="262"/>
      <c r="E369" s="287" t="s">
        <v>1005</v>
      </c>
      <c r="F369" s="390"/>
      <c r="G369" s="231"/>
      <c r="H369" s="231"/>
      <c r="I369" s="224"/>
      <c r="J369" s="224"/>
      <c r="K369" s="224"/>
      <c r="L369" s="232"/>
      <c r="M369" s="230"/>
      <c r="N369" s="237"/>
      <c r="O369" s="237"/>
      <c r="P369" s="237"/>
      <c r="Q369" s="237"/>
      <c r="R369" s="237"/>
      <c r="S369" s="238"/>
      <c r="T369" s="239"/>
      <c r="U369" s="240"/>
    </row>
    <row r="370" spans="1:21" ht="15.75" customHeight="1">
      <c r="A370" s="300">
        <v>360</v>
      </c>
      <c r="B370" s="263">
        <v>2000</v>
      </c>
      <c r="C370" s="271" t="s">
        <v>2687</v>
      </c>
      <c r="D370" s="265" t="s">
        <v>1991</v>
      </c>
      <c r="E370" s="287" t="s">
        <v>102</v>
      </c>
      <c r="F370" s="263">
        <v>1201</v>
      </c>
      <c r="G370" s="231"/>
      <c r="H370" s="231"/>
      <c r="I370" s="231"/>
      <c r="J370" s="231"/>
      <c r="K370" s="231"/>
      <c r="L370" s="232"/>
      <c r="M370" s="230"/>
      <c r="N370" s="237"/>
      <c r="O370" s="237"/>
      <c r="P370" s="237"/>
      <c r="Q370" s="237"/>
      <c r="R370" s="237"/>
      <c r="S370" s="233"/>
      <c r="T370" s="239"/>
      <c r="U370" s="240"/>
    </row>
    <row r="371" spans="1:21">
      <c r="A371" s="371" t="s">
        <v>2530</v>
      </c>
      <c r="B371" s="372"/>
      <c r="C371" s="372"/>
      <c r="D371" s="372"/>
      <c r="E371" s="372"/>
      <c r="F371" s="298"/>
      <c r="G371" s="231"/>
      <c r="H371" s="231"/>
      <c r="I371" s="231"/>
      <c r="J371" s="231"/>
      <c r="K371" s="231"/>
      <c r="L371" s="232"/>
      <c r="M371" s="230"/>
      <c r="N371" s="237"/>
      <c r="O371" s="237"/>
      <c r="P371" s="237"/>
      <c r="Q371" s="237"/>
      <c r="R371" s="237"/>
      <c r="S371" s="233"/>
      <c r="T371" s="239"/>
      <c r="U371" s="240"/>
    </row>
    <row r="372" spans="1:21">
      <c r="A372" s="372"/>
      <c r="B372" s="372"/>
      <c r="C372" s="372"/>
      <c r="D372" s="372"/>
      <c r="E372" s="372"/>
      <c r="F372" s="298"/>
      <c r="G372" s="231"/>
      <c r="H372" s="231"/>
      <c r="I372" s="231"/>
      <c r="J372" s="231"/>
      <c r="K372" s="231"/>
      <c r="L372" s="232"/>
      <c r="M372" s="230"/>
      <c r="N372" s="237"/>
      <c r="O372" s="237"/>
      <c r="P372" s="237"/>
      <c r="Q372" s="237"/>
      <c r="R372" s="237"/>
      <c r="S372" s="233"/>
      <c r="T372" s="239"/>
      <c r="U372" s="240"/>
    </row>
    <row r="373" spans="1:21" ht="15.75" hidden="1" customHeight="1">
      <c r="A373" s="300">
        <v>310</v>
      </c>
      <c r="B373" s="263">
        <v>2000</v>
      </c>
      <c r="C373" s="271"/>
      <c r="D373" s="265"/>
      <c r="E373" s="287"/>
      <c r="F373" s="298"/>
      <c r="G373" s="231"/>
      <c r="H373" s="231"/>
      <c r="I373" s="231"/>
      <c r="J373" s="231"/>
      <c r="K373" s="231"/>
      <c r="L373" s="232"/>
      <c r="M373" s="230"/>
      <c r="N373" s="237"/>
      <c r="O373" s="237"/>
      <c r="P373" s="237"/>
      <c r="Q373" s="237"/>
      <c r="R373" s="237"/>
      <c r="S373" s="233"/>
      <c r="T373" s="239"/>
      <c r="U373" s="240"/>
    </row>
    <row r="374" spans="1:21" ht="15.75" hidden="1" customHeight="1">
      <c r="A374" s="300">
        <v>311</v>
      </c>
      <c r="B374" s="263">
        <v>2000</v>
      </c>
      <c r="C374" s="271" t="s">
        <v>1992</v>
      </c>
      <c r="D374" s="265" t="s">
        <v>1751</v>
      </c>
      <c r="E374" s="287" t="s">
        <v>50</v>
      </c>
      <c r="F374" s="298"/>
      <c r="G374" s="231"/>
      <c r="H374" s="231"/>
      <c r="I374" s="231"/>
      <c r="J374" s="231"/>
      <c r="K374" s="231"/>
      <c r="L374" s="232"/>
      <c r="M374" s="230"/>
      <c r="N374" s="237"/>
      <c r="O374" s="237"/>
      <c r="P374" s="237"/>
      <c r="Q374" s="237"/>
      <c r="R374" s="237"/>
      <c r="S374" s="233"/>
      <c r="T374" s="239"/>
      <c r="U374" s="240"/>
    </row>
    <row r="375" spans="1:21" ht="15.75" hidden="1" customHeight="1">
      <c r="A375" s="300">
        <v>312</v>
      </c>
      <c r="B375" s="263">
        <v>2000</v>
      </c>
      <c r="C375" s="262"/>
      <c r="D375" s="265" t="s">
        <v>1753</v>
      </c>
      <c r="E375" s="287" t="s">
        <v>1754</v>
      </c>
      <c r="F375" s="298"/>
      <c r="G375" s="231"/>
      <c r="H375" s="231"/>
      <c r="I375" s="231"/>
      <c r="J375" s="231"/>
      <c r="K375" s="231"/>
      <c r="L375" s="257"/>
      <c r="M375" s="230"/>
      <c r="N375" s="237"/>
      <c r="O375" s="237"/>
      <c r="P375" s="237"/>
      <c r="Q375" s="237"/>
      <c r="R375" s="237"/>
      <c r="S375" s="233"/>
      <c r="T375" s="239"/>
      <c r="U375" s="240"/>
    </row>
    <row r="376" spans="1:21" ht="15.75" hidden="1" customHeight="1">
      <c r="A376" s="300">
        <v>313</v>
      </c>
      <c r="B376" s="263">
        <v>2000</v>
      </c>
      <c r="C376" s="262"/>
      <c r="D376" s="265" t="s">
        <v>1753</v>
      </c>
      <c r="E376" s="287" t="s">
        <v>1757</v>
      </c>
      <c r="F376" s="298"/>
      <c r="G376" s="231"/>
      <c r="H376" s="231"/>
      <c r="I376" s="231"/>
      <c r="J376" s="231"/>
      <c r="K376" s="231"/>
      <c r="L376" s="257"/>
      <c r="M376" s="230"/>
      <c r="N376" s="237"/>
      <c r="O376" s="237"/>
      <c r="P376" s="237"/>
      <c r="Q376" s="237"/>
      <c r="R376" s="237"/>
      <c r="S376" s="233"/>
      <c r="T376" s="239"/>
      <c r="U376" s="240"/>
    </row>
    <row r="377" spans="1:21" ht="15.75" hidden="1" customHeight="1">
      <c r="A377" s="300">
        <v>314</v>
      </c>
      <c r="B377" s="263">
        <v>2000</v>
      </c>
      <c r="C377" s="262"/>
      <c r="D377" s="265" t="s">
        <v>1760</v>
      </c>
      <c r="E377" s="287" t="s">
        <v>1761</v>
      </c>
      <c r="F377" s="298"/>
      <c r="G377" s="231"/>
      <c r="H377" s="231"/>
      <c r="I377" s="231"/>
      <c r="J377" s="231"/>
      <c r="K377" s="231"/>
      <c r="L377" s="257"/>
      <c r="M377" s="230"/>
      <c r="N377" s="237"/>
      <c r="O377" s="237"/>
      <c r="P377" s="237"/>
      <c r="Q377" s="237"/>
      <c r="R377" s="237"/>
      <c r="S377" s="233"/>
      <c r="T377" s="239"/>
      <c r="U377" s="240"/>
    </row>
    <row r="378" spans="1:21" ht="15.75" hidden="1" customHeight="1">
      <c r="A378" s="300">
        <v>315</v>
      </c>
      <c r="B378" s="263">
        <v>2000</v>
      </c>
      <c r="C378" s="262"/>
      <c r="D378" s="265" t="s">
        <v>1763</v>
      </c>
      <c r="E378" s="287" t="s">
        <v>1764</v>
      </c>
      <c r="F378" s="298"/>
      <c r="G378" s="231"/>
      <c r="H378" s="231"/>
      <c r="I378" s="231"/>
      <c r="J378" s="231"/>
      <c r="K378" s="231"/>
      <c r="L378" s="257"/>
      <c r="M378" s="230"/>
      <c r="N378" s="237"/>
      <c r="O378" s="237"/>
      <c r="P378" s="237"/>
      <c r="Q378" s="237"/>
      <c r="R378" s="237"/>
      <c r="S378" s="233"/>
      <c r="T378" s="239"/>
      <c r="U378" s="240"/>
    </row>
    <row r="379" spans="1:21" ht="15.75" hidden="1" customHeight="1">
      <c r="A379" s="299"/>
      <c r="B379" s="299"/>
      <c r="C379" s="299"/>
      <c r="D379" s="260"/>
      <c r="E379" s="299"/>
      <c r="F379" s="299"/>
      <c r="G379" s="231"/>
      <c r="H379" s="231"/>
      <c r="I379" s="231"/>
      <c r="J379" s="231"/>
      <c r="K379" s="231"/>
      <c r="L379" s="232"/>
      <c r="M379" s="230"/>
      <c r="N379" s="230"/>
      <c r="O379" s="230"/>
      <c r="P379" s="230"/>
      <c r="Q379" s="230"/>
      <c r="R379" s="230"/>
      <c r="S379" s="233"/>
      <c r="T379" s="233"/>
      <c r="U379" s="234"/>
    </row>
    <row r="380" spans="1:21" ht="15.75" hidden="1" customHeight="1">
      <c r="A380" s="259"/>
      <c r="B380" s="259"/>
      <c r="C380" s="259"/>
      <c r="D380" s="260"/>
      <c r="E380" s="259"/>
      <c r="F380" s="259"/>
      <c r="G380" s="231"/>
      <c r="H380" s="231"/>
      <c r="I380" s="231"/>
      <c r="J380" s="231"/>
      <c r="K380" s="231"/>
      <c r="L380" s="232"/>
      <c r="R380" s="230"/>
      <c r="S380" s="233"/>
      <c r="T380" s="233"/>
      <c r="U380" s="234"/>
    </row>
    <row r="381" spans="1:21" ht="15.75" customHeight="1">
      <c r="A381" s="259">
        <v>361</v>
      </c>
      <c r="B381" s="259">
        <v>3000</v>
      </c>
      <c r="C381" s="302" t="s">
        <v>2650</v>
      </c>
      <c r="D381" s="260"/>
      <c r="E381" s="302" t="s">
        <v>1467</v>
      </c>
      <c r="F381" s="259" t="s">
        <v>2727</v>
      </c>
      <c r="G381" s="231"/>
      <c r="H381" s="231"/>
      <c r="I381" s="231"/>
      <c r="J381" s="231"/>
      <c r="K381" s="231"/>
      <c r="L381" s="232"/>
      <c r="R381" s="230"/>
      <c r="S381" s="233"/>
      <c r="T381" s="233"/>
      <c r="U381" s="234"/>
    </row>
    <row r="382" spans="1:21" ht="15.75" customHeight="1">
      <c r="A382" s="259">
        <v>362</v>
      </c>
      <c r="B382" s="259">
        <v>3000</v>
      </c>
      <c r="C382" s="302" t="s">
        <v>2651</v>
      </c>
      <c r="D382" s="260"/>
      <c r="E382" s="302" t="s">
        <v>2531</v>
      </c>
      <c r="F382" s="259" t="s">
        <v>2728</v>
      </c>
      <c r="G382" s="231"/>
      <c r="H382" s="231"/>
      <c r="I382" s="231"/>
      <c r="J382" s="231"/>
      <c r="K382" s="231"/>
      <c r="L382" s="232"/>
      <c r="R382" s="230"/>
      <c r="S382" s="233"/>
      <c r="T382" s="233"/>
      <c r="U382" s="234"/>
    </row>
    <row r="383" spans="1:21" ht="15.75" customHeight="1">
      <c r="A383" s="259">
        <v>363</v>
      </c>
      <c r="B383" s="259">
        <v>3000</v>
      </c>
      <c r="C383" s="373" t="s">
        <v>2652</v>
      </c>
      <c r="D383" s="260"/>
      <c r="E383" s="303" t="s">
        <v>2532</v>
      </c>
      <c r="F383" s="401">
        <v>3009</v>
      </c>
      <c r="G383" s="231"/>
      <c r="H383" s="231"/>
      <c r="I383" s="231"/>
      <c r="J383" s="231"/>
      <c r="K383" s="231"/>
      <c r="L383" s="232"/>
      <c r="R383" s="230"/>
      <c r="S383" s="233"/>
      <c r="T383" s="233"/>
      <c r="U383" s="234"/>
    </row>
    <row r="384" spans="1:21" ht="15.75" customHeight="1">
      <c r="A384" s="259">
        <v>364</v>
      </c>
      <c r="B384" s="259">
        <v>3000</v>
      </c>
      <c r="C384" s="374"/>
      <c r="D384" s="260"/>
      <c r="E384" s="316" t="s">
        <v>2533</v>
      </c>
      <c r="F384" s="402"/>
      <c r="G384" s="231"/>
      <c r="H384" s="231"/>
      <c r="I384" s="231"/>
      <c r="J384" s="231"/>
      <c r="K384" s="231"/>
      <c r="L384" s="232"/>
      <c r="R384" s="230"/>
      <c r="S384" s="233"/>
      <c r="T384" s="233"/>
      <c r="U384" s="234"/>
    </row>
    <row r="385" spans="1:21" ht="15.75" customHeight="1">
      <c r="A385" s="259">
        <v>365</v>
      </c>
      <c r="B385" s="259">
        <v>3000</v>
      </c>
      <c r="C385" s="374"/>
      <c r="D385" s="260"/>
      <c r="E385" s="305"/>
      <c r="F385" s="402"/>
      <c r="G385" s="231"/>
      <c r="H385" s="231"/>
      <c r="I385" s="231"/>
      <c r="J385" s="231"/>
      <c r="K385" s="231"/>
      <c r="L385" s="232"/>
      <c r="R385" s="230"/>
      <c r="S385" s="233"/>
      <c r="T385" s="233"/>
      <c r="U385" s="234"/>
    </row>
    <row r="386" spans="1:21" ht="15.75" customHeight="1">
      <c r="A386" s="259">
        <v>366</v>
      </c>
      <c r="B386" s="259">
        <v>3000</v>
      </c>
      <c r="C386" s="374"/>
      <c r="D386" s="260"/>
      <c r="E386" s="304" t="s">
        <v>1489</v>
      </c>
      <c r="F386" s="402"/>
      <c r="G386" s="231"/>
      <c r="H386" s="231"/>
      <c r="I386" s="231"/>
      <c r="J386" s="231"/>
      <c r="K386" s="231"/>
      <c r="L386" s="232"/>
      <c r="R386" s="230"/>
      <c r="S386" s="233"/>
      <c r="T386" s="233"/>
      <c r="U386" s="234"/>
    </row>
    <row r="387" spans="1:21" ht="15.75" customHeight="1">
      <c r="A387" s="259">
        <v>367</v>
      </c>
      <c r="B387" s="259">
        <v>3000</v>
      </c>
      <c r="C387" s="374"/>
      <c r="D387" s="260"/>
      <c r="E387" s="304" t="s">
        <v>1492</v>
      </c>
      <c r="F387" s="402"/>
      <c r="G387" s="231"/>
      <c r="H387" s="231"/>
      <c r="I387" s="231"/>
      <c r="J387" s="231"/>
      <c r="K387" s="231"/>
      <c r="L387" s="232"/>
      <c r="R387" s="230"/>
      <c r="S387" s="233"/>
      <c r="T387" s="233"/>
      <c r="U387" s="234"/>
    </row>
    <row r="388" spans="1:21" ht="15.75" customHeight="1">
      <c r="A388" s="259">
        <v>368</v>
      </c>
      <c r="B388" s="259">
        <v>3000</v>
      </c>
      <c r="C388" s="374"/>
      <c r="D388" s="260"/>
      <c r="E388" s="306" t="s">
        <v>1495</v>
      </c>
      <c r="F388" s="402"/>
      <c r="G388" s="231"/>
      <c r="H388" s="231"/>
      <c r="I388" s="231"/>
      <c r="J388" s="231"/>
      <c r="K388" s="231"/>
      <c r="L388" s="232"/>
      <c r="R388" s="230"/>
      <c r="S388" s="233"/>
      <c r="T388" s="233"/>
      <c r="U388" s="234"/>
    </row>
    <row r="389" spans="1:21" ht="15.75" customHeight="1">
      <c r="A389" s="259">
        <v>369</v>
      </c>
      <c r="B389" s="259">
        <v>3000</v>
      </c>
      <c r="C389" s="374"/>
      <c r="D389" s="260"/>
      <c r="E389" s="303" t="s">
        <v>1498</v>
      </c>
      <c r="F389" s="402"/>
      <c r="G389" s="231"/>
      <c r="H389" s="231"/>
      <c r="I389" s="231"/>
      <c r="J389" s="231"/>
      <c r="K389" s="231"/>
      <c r="L389" s="232"/>
      <c r="R389" s="230"/>
      <c r="S389" s="233"/>
      <c r="T389" s="233"/>
      <c r="U389" s="234"/>
    </row>
    <row r="390" spans="1:21" ht="15.75" customHeight="1">
      <c r="A390" s="259">
        <v>370</v>
      </c>
      <c r="B390" s="259">
        <v>3000</v>
      </c>
      <c r="C390" s="374"/>
      <c r="D390" s="260"/>
      <c r="E390" s="303" t="s">
        <v>2534</v>
      </c>
      <c r="F390" s="402"/>
      <c r="G390" s="231"/>
      <c r="H390" s="231"/>
      <c r="I390" s="231"/>
      <c r="J390" s="231"/>
      <c r="K390" s="231"/>
      <c r="L390" s="232"/>
      <c r="R390" s="230"/>
      <c r="S390" s="233"/>
      <c r="T390" s="233"/>
      <c r="U390" s="234"/>
    </row>
    <row r="391" spans="1:21" ht="15.75" customHeight="1">
      <c r="A391" s="259">
        <v>371</v>
      </c>
      <c r="B391" s="259">
        <v>3000</v>
      </c>
      <c r="C391" s="374"/>
      <c r="D391" s="260"/>
      <c r="E391" s="303" t="s">
        <v>2535</v>
      </c>
      <c r="F391" s="402"/>
      <c r="G391" s="231"/>
      <c r="H391" s="231"/>
      <c r="I391" s="231"/>
      <c r="J391" s="231"/>
      <c r="K391" s="231"/>
      <c r="L391" s="232"/>
      <c r="R391" s="230"/>
      <c r="S391" s="233"/>
      <c r="T391" s="233"/>
      <c r="U391" s="234"/>
    </row>
    <row r="392" spans="1:21" ht="15.75" customHeight="1">
      <c r="A392" s="259">
        <v>372</v>
      </c>
      <c r="B392" s="259">
        <v>3000</v>
      </c>
      <c r="C392" s="374"/>
      <c r="D392" s="260"/>
      <c r="E392" s="304" t="s">
        <v>2536</v>
      </c>
      <c r="F392" s="402"/>
      <c r="G392" s="231"/>
      <c r="H392" s="231"/>
      <c r="I392" s="231"/>
      <c r="J392" s="231"/>
      <c r="K392" s="231"/>
      <c r="L392" s="232"/>
      <c r="R392" s="230"/>
      <c r="S392" s="233"/>
      <c r="T392" s="233"/>
      <c r="U392" s="234"/>
    </row>
    <row r="393" spans="1:21" ht="15.75" customHeight="1">
      <c r="A393" s="259">
        <v>373</v>
      </c>
      <c r="B393" s="259">
        <v>3000</v>
      </c>
      <c r="C393" s="374"/>
      <c r="D393" s="260"/>
      <c r="E393" s="304" t="s">
        <v>2537</v>
      </c>
      <c r="F393" s="402"/>
      <c r="G393" s="231"/>
      <c r="H393" s="231"/>
      <c r="I393" s="231"/>
      <c r="J393" s="231"/>
      <c r="K393" s="231"/>
      <c r="L393" s="232"/>
      <c r="R393" s="230"/>
      <c r="S393" s="233"/>
      <c r="T393" s="233"/>
      <c r="U393" s="234"/>
    </row>
    <row r="394" spans="1:21" ht="15.75" customHeight="1">
      <c r="A394" s="259">
        <v>374</v>
      </c>
      <c r="B394" s="259">
        <v>3000</v>
      </c>
      <c r="C394" s="374"/>
      <c r="D394" s="260"/>
      <c r="E394" s="307"/>
      <c r="F394" s="402"/>
      <c r="G394" s="231"/>
      <c r="H394" s="231"/>
      <c r="I394" s="231"/>
      <c r="J394" s="231"/>
      <c r="K394" s="231"/>
      <c r="L394" s="232"/>
      <c r="R394" s="230"/>
      <c r="S394" s="233"/>
      <c r="T394" s="233"/>
      <c r="U394" s="234"/>
    </row>
    <row r="395" spans="1:21" ht="15.75" customHeight="1">
      <c r="A395" s="259">
        <v>375</v>
      </c>
      <c r="B395" s="259">
        <v>3000</v>
      </c>
      <c r="C395" s="374"/>
      <c r="D395" s="260"/>
      <c r="E395" s="304" t="s">
        <v>2538</v>
      </c>
      <c r="F395" s="402"/>
      <c r="G395" s="231"/>
      <c r="H395" s="231"/>
      <c r="I395" s="231"/>
      <c r="J395" s="231"/>
      <c r="K395" s="231"/>
      <c r="L395" s="232"/>
      <c r="R395" s="230"/>
      <c r="S395" s="233"/>
      <c r="T395" s="233"/>
      <c r="U395" s="234"/>
    </row>
    <row r="396" spans="1:21" ht="15.75" customHeight="1">
      <c r="A396" s="259">
        <v>376</v>
      </c>
      <c r="B396" s="259">
        <v>3000</v>
      </c>
      <c r="C396" s="374"/>
      <c r="D396" s="260"/>
      <c r="E396" s="303" t="s">
        <v>2539</v>
      </c>
      <c r="F396" s="402"/>
      <c r="G396" s="231"/>
      <c r="H396" s="231"/>
      <c r="I396" s="231"/>
      <c r="J396" s="231"/>
      <c r="K396" s="231"/>
      <c r="L396" s="232"/>
      <c r="R396" s="230"/>
      <c r="S396" s="233"/>
      <c r="T396" s="233"/>
      <c r="U396" s="234"/>
    </row>
    <row r="397" spans="1:21" ht="15.75" customHeight="1">
      <c r="A397" s="259">
        <v>377</v>
      </c>
      <c r="B397" s="259">
        <v>3000</v>
      </c>
      <c r="C397" s="374"/>
      <c r="D397" s="260"/>
      <c r="E397" s="305"/>
      <c r="F397" s="402"/>
      <c r="G397" s="231"/>
      <c r="H397" s="231"/>
      <c r="I397" s="231"/>
      <c r="J397" s="231"/>
      <c r="K397" s="231"/>
      <c r="L397" s="232"/>
      <c r="R397" s="230"/>
      <c r="S397" s="233"/>
      <c r="T397" s="233"/>
      <c r="U397" s="234"/>
    </row>
    <row r="398" spans="1:21" ht="15.75" customHeight="1">
      <c r="A398" s="259">
        <v>378</v>
      </c>
      <c r="B398" s="259">
        <v>3000</v>
      </c>
      <c r="C398" s="374"/>
      <c r="D398" s="260"/>
      <c r="E398" s="304" t="s">
        <v>2540</v>
      </c>
      <c r="F398" s="402"/>
      <c r="G398" s="231"/>
      <c r="H398" s="231"/>
      <c r="I398" s="231"/>
      <c r="J398" s="231"/>
      <c r="K398" s="231"/>
      <c r="L398" s="232"/>
      <c r="R398" s="230"/>
      <c r="S398" s="233"/>
      <c r="T398" s="233"/>
      <c r="U398" s="234"/>
    </row>
    <row r="399" spans="1:21" ht="15.75" customHeight="1">
      <c r="A399" s="259">
        <v>379</v>
      </c>
      <c r="B399" s="259">
        <v>3000</v>
      </c>
      <c r="C399" s="374"/>
      <c r="D399" s="260"/>
      <c r="E399" s="303" t="s">
        <v>2541</v>
      </c>
      <c r="F399" s="402"/>
      <c r="G399" s="231"/>
      <c r="H399" s="231"/>
      <c r="I399" s="231"/>
      <c r="J399" s="231"/>
      <c r="K399" s="231"/>
      <c r="L399" s="232"/>
      <c r="R399" s="230"/>
      <c r="S399" s="233"/>
      <c r="T399" s="233"/>
      <c r="U399" s="234"/>
    </row>
    <row r="400" spans="1:21" ht="15.75" customHeight="1">
      <c r="A400" s="259">
        <v>380</v>
      </c>
      <c r="B400" s="259">
        <v>3000</v>
      </c>
      <c r="C400" s="374"/>
      <c r="D400" s="260"/>
      <c r="E400" s="303" t="s">
        <v>2542</v>
      </c>
      <c r="F400" s="402"/>
      <c r="G400" s="231"/>
      <c r="H400" s="231"/>
      <c r="I400" s="231"/>
      <c r="J400" s="231"/>
      <c r="K400" s="231"/>
      <c r="L400" s="232"/>
      <c r="R400" s="230"/>
      <c r="S400" s="233"/>
      <c r="T400" s="233"/>
      <c r="U400" s="234"/>
    </row>
    <row r="401" spans="1:21" ht="15.75" customHeight="1">
      <c r="A401" s="259">
        <v>381</v>
      </c>
      <c r="B401" s="259">
        <v>3000</v>
      </c>
      <c r="C401" s="374"/>
      <c r="D401" s="260"/>
      <c r="E401" s="303" t="s">
        <v>2543</v>
      </c>
      <c r="F401" s="402"/>
      <c r="G401" s="231"/>
      <c r="H401" s="231"/>
      <c r="I401" s="231"/>
      <c r="J401" s="231"/>
      <c r="K401" s="231"/>
      <c r="L401" s="232"/>
      <c r="R401" s="230"/>
      <c r="S401" s="233"/>
      <c r="T401" s="233"/>
      <c r="U401" s="234"/>
    </row>
    <row r="402" spans="1:21" ht="15.75" customHeight="1">
      <c r="A402" s="259">
        <v>382</v>
      </c>
      <c r="B402" s="259">
        <v>3000</v>
      </c>
      <c r="C402" s="374"/>
      <c r="D402" s="260"/>
      <c r="E402" s="304" t="s">
        <v>2544</v>
      </c>
      <c r="F402" s="402"/>
      <c r="G402" s="231"/>
      <c r="H402" s="231"/>
      <c r="I402" s="231"/>
      <c r="J402" s="231"/>
      <c r="K402" s="231"/>
      <c r="L402" s="232"/>
      <c r="R402" s="230"/>
      <c r="S402" s="233"/>
      <c r="T402" s="233"/>
      <c r="U402" s="234"/>
    </row>
    <row r="403" spans="1:21" ht="15.75" customHeight="1">
      <c r="A403" s="259">
        <v>383</v>
      </c>
      <c r="B403" s="259">
        <v>3000</v>
      </c>
      <c r="C403" s="374"/>
      <c r="D403" s="260"/>
      <c r="E403" s="304" t="s">
        <v>2545</v>
      </c>
      <c r="F403" s="402"/>
      <c r="G403" s="231"/>
      <c r="H403" s="231"/>
      <c r="I403" s="231"/>
      <c r="J403" s="231"/>
      <c r="K403" s="231"/>
      <c r="L403" s="232"/>
      <c r="R403" s="230"/>
      <c r="S403" s="233"/>
      <c r="T403" s="233"/>
      <c r="U403" s="234"/>
    </row>
    <row r="404" spans="1:21" ht="15.75" customHeight="1">
      <c r="A404" s="259">
        <v>384</v>
      </c>
      <c r="B404" s="259">
        <v>3000</v>
      </c>
      <c r="C404" s="374"/>
      <c r="D404" s="260"/>
      <c r="E404" s="303" t="s">
        <v>2546</v>
      </c>
      <c r="F404" s="402"/>
      <c r="G404" s="231"/>
      <c r="H404" s="231"/>
      <c r="I404" s="231"/>
      <c r="J404" s="231"/>
      <c r="K404" s="231"/>
      <c r="L404" s="232"/>
      <c r="R404" s="230"/>
      <c r="S404" s="233"/>
      <c r="T404" s="233"/>
      <c r="U404" s="234"/>
    </row>
    <row r="405" spans="1:21" ht="15.75" customHeight="1">
      <c r="A405" s="259">
        <v>385</v>
      </c>
      <c r="B405" s="259">
        <v>3000</v>
      </c>
      <c r="C405" s="374"/>
      <c r="D405" s="260"/>
      <c r="E405" s="303" t="s">
        <v>2547</v>
      </c>
      <c r="F405" s="402"/>
      <c r="G405" s="231"/>
      <c r="H405" s="231"/>
      <c r="I405" s="231"/>
      <c r="J405" s="231"/>
      <c r="K405" s="231"/>
      <c r="L405" s="232"/>
      <c r="R405" s="230"/>
      <c r="S405" s="233"/>
      <c r="T405" s="233"/>
      <c r="U405" s="234"/>
    </row>
    <row r="406" spans="1:21" ht="15.75" customHeight="1">
      <c r="A406" s="259">
        <v>386</v>
      </c>
      <c r="B406" s="259">
        <v>3000</v>
      </c>
      <c r="C406" s="374"/>
      <c r="D406" s="260"/>
      <c r="E406" s="308" t="s">
        <v>2548</v>
      </c>
      <c r="F406" s="403"/>
      <c r="G406" s="231"/>
      <c r="H406" s="231"/>
      <c r="I406" s="231"/>
      <c r="J406" s="231"/>
      <c r="K406" s="231"/>
      <c r="L406" s="232"/>
      <c r="R406" s="230"/>
      <c r="S406" s="233"/>
      <c r="T406" s="233"/>
      <c r="U406" s="234"/>
    </row>
    <row r="407" spans="1:21" ht="15.75" customHeight="1">
      <c r="A407" s="259">
        <v>387</v>
      </c>
      <c r="B407" s="259">
        <v>3000</v>
      </c>
      <c r="C407" s="259" t="s">
        <v>2549</v>
      </c>
      <c r="D407" s="260"/>
      <c r="E407" s="309" t="s">
        <v>1501</v>
      </c>
      <c r="F407" s="259">
        <v>3009</v>
      </c>
      <c r="G407" s="231"/>
      <c r="H407" s="231"/>
      <c r="I407" s="231"/>
      <c r="J407" s="231"/>
      <c r="K407" s="231"/>
      <c r="L407" s="232"/>
      <c r="R407" s="230"/>
      <c r="S407" s="233"/>
      <c r="T407" s="233"/>
      <c r="U407" s="234"/>
    </row>
    <row r="408" spans="1:21" ht="15.75" customHeight="1">
      <c r="A408" s="259">
        <v>388</v>
      </c>
      <c r="B408" s="259">
        <v>3000</v>
      </c>
      <c r="C408" s="302" t="s">
        <v>2653</v>
      </c>
      <c r="D408" s="260"/>
      <c r="E408" s="302" t="s">
        <v>1510</v>
      </c>
      <c r="F408" s="259">
        <v>3011</v>
      </c>
      <c r="G408" s="231"/>
      <c r="H408" s="231"/>
      <c r="I408" s="231"/>
      <c r="J408" s="231"/>
      <c r="K408" s="231"/>
      <c r="L408" s="232"/>
      <c r="R408" s="230"/>
      <c r="S408" s="233"/>
      <c r="T408" s="233"/>
      <c r="U408" s="234"/>
    </row>
    <row r="409" spans="1:21">
      <c r="A409" s="259">
        <v>389</v>
      </c>
      <c r="B409" s="259">
        <v>3000</v>
      </c>
      <c r="C409" s="370" t="s">
        <v>2654</v>
      </c>
      <c r="D409" s="260"/>
      <c r="E409" s="305" t="s">
        <v>1519</v>
      </c>
      <c r="F409" s="401">
        <v>3021</v>
      </c>
      <c r="G409" s="231"/>
      <c r="H409" s="231"/>
      <c r="I409" s="231"/>
      <c r="J409" s="231"/>
      <c r="K409" s="231"/>
      <c r="L409" s="232"/>
      <c r="R409" s="230"/>
      <c r="S409" s="233"/>
      <c r="T409" s="233"/>
      <c r="U409" s="234"/>
    </row>
    <row r="410" spans="1:21" ht="15.75" customHeight="1">
      <c r="A410" s="259">
        <v>390</v>
      </c>
      <c r="B410" s="259">
        <v>3000</v>
      </c>
      <c r="C410" s="367"/>
      <c r="D410" s="260"/>
      <c r="E410" s="305" t="s">
        <v>2550</v>
      </c>
      <c r="F410" s="402"/>
      <c r="G410" s="231"/>
      <c r="H410" s="231"/>
      <c r="I410" s="231"/>
      <c r="J410" s="231"/>
      <c r="K410" s="231"/>
      <c r="L410" s="232"/>
      <c r="R410" s="230"/>
      <c r="S410" s="233"/>
      <c r="T410" s="233"/>
      <c r="U410" s="234"/>
    </row>
    <row r="411" spans="1:21">
      <c r="A411" s="259">
        <v>391</v>
      </c>
      <c r="B411" s="259">
        <v>3000</v>
      </c>
      <c r="C411" s="367"/>
      <c r="D411" s="260"/>
      <c r="E411" s="305" t="s">
        <v>2551</v>
      </c>
      <c r="F411" s="402"/>
      <c r="G411" s="231"/>
      <c r="H411" s="231"/>
      <c r="I411" s="231"/>
      <c r="J411" s="231"/>
      <c r="K411" s="231"/>
      <c r="L411" s="232"/>
      <c r="R411" s="230"/>
      <c r="S411" s="233"/>
      <c r="T411" s="233"/>
      <c r="U411" s="234"/>
    </row>
    <row r="412" spans="1:21" ht="15.75" customHeight="1">
      <c r="A412" s="259">
        <v>392</v>
      </c>
      <c r="B412" s="259">
        <v>3000</v>
      </c>
      <c r="C412" s="375" t="s">
        <v>2655</v>
      </c>
      <c r="D412" s="260"/>
      <c r="E412" s="305" t="s">
        <v>1522</v>
      </c>
      <c r="F412" s="402"/>
      <c r="G412" s="231"/>
      <c r="H412" s="231"/>
      <c r="I412" s="231"/>
      <c r="J412" s="231"/>
      <c r="K412" s="231"/>
      <c r="L412" s="232"/>
      <c r="R412" s="230"/>
      <c r="S412" s="233"/>
      <c r="T412" s="233"/>
      <c r="U412" s="234"/>
    </row>
    <row r="413" spans="1:21" ht="15.75" customHeight="1">
      <c r="A413" s="259">
        <v>393</v>
      </c>
      <c r="B413" s="259">
        <v>3000</v>
      </c>
      <c r="C413" s="376"/>
      <c r="D413" s="260"/>
      <c r="E413" s="310" t="s">
        <v>1525</v>
      </c>
      <c r="F413" s="402"/>
      <c r="G413" s="231"/>
      <c r="H413" s="231"/>
      <c r="I413" s="231"/>
      <c r="J413" s="231"/>
      <c r="K413" s="231"/>
      <c r="L413" s="232"/>
      <c r="R413" s="230"/>
      <c r="S413" s="233"/>
      <c r="T413" s="233"/>
      <c r="U413" s="234"/>
    </row>
    <row r="414" spans="1:21" ht="15.75" customHeight="1">
      <c r="A414" s="259">
        <v>394</v>
      </c>
      <c r="B414" s="259">
        <v>3000</v>
      </c>
      <c r="C414" s="376"/>
      <c r="D414" s="260"/>
      <c r="E414" s="305" t="s">
        <v>1528</v>
      </c>
      <c r="F414" s="402"/>
      <c r="G414" s="231"/>
      <c r="H414" s="231"/>
      <c r="I414" s="231"/>
      <c r="J414" s="231"/>
      <c r="K414" s="231"/>
      <c r="L414" s="232"/>
      <c r="R414" s="230"/>
      <c r="S414" s="233"/>
      <c r="T414" s="233"/>
      <c r="U414" s="234"/>
    </row>
    <row r="415" spans="1:21" ht="15.75" customHeight="1">
      <c r="A415" s="259">
        <v>395</v>
      </c>
      <c r="B415" s="259">
        <v>3000</v>
      </c>
      <c r="C415" s="376"/>
      <c r="D415" s="260"/>
      <c r="E415" s="305" t="s">
        <v>1531</v>
      </c>
      <c r="F415" s="402"/>
      <c r="G415" s="231"/>
      <c r="H415" s="231"/>
      <c r="I415" s="231"/>
      <c r="J415" s="231"/>
      <c r="K415" s="231"/>
      <c r="L415" s="232"/>
      <c r="R415" s="230"/>
      <c r="S415" s="233"/>
      <c r="T415" s="233"/>
      <c r="U415" s="234"/>
    </row>
    <row r="416" spans="1:21" ht="15.75" customHeight="1">
      <c r="A416" s="259">
        <v>396</v>
      </c>
      <c r="B416" s="259">
        <v>3000</v>
      </c>
      <c r="C416" s="376"/>
      <c r="D416" s="260"/>
      <c r="E416" s="305" t="s">
        <v>1534</v>
      </c>
      <c r="F416" s="402"/>
      <c r="G416" s="231"/>
      <c r="H416" s="231"/>
      <c r="I416" s="231"/>
      <c r="J416" s="231"/>
      <c r="K416" s="231"/>
      <c r="L416" s="232"/>
      <c r="R416" s="230"/>
      <c r="S416" s="233"/>
      <c r="T416" s="233"/>
      <c r="U416" s="234"/>
    </row>
    <row r="417" spans="1:21" ht="15.75" customHeight="1">
      <c r="A417" s="259">
        <v>397</v>
      </c>
      <c r="B417" s="259">
        <v>3000</v>
      </c>
      <c r="C417" s="376"/>
      <c r="D417" s="260"/>
      <c r="E417" s="310" t="s">
        <v>1537</v>
      </c>
      <c r="F417" s="402"/>
      <c r="G417" s="231"/>
      <c r="H417" s="231"/>
      <c r="I417" s="231"/>
      <c r="J417" s="231"/>
      <c r="K417" s="231"/>
      <c r="L417" s="232"/>
      <c r="R417" s="230"/>
      <c r="S417" s="233"/>
      <c r="T417" s="233"/>
      <c r="U417" s="234"/>
    </row>
    <row r="418" spans="1:21" ht="15.75" customHeight="1">
      <c r="A418" s="259">
        <v>398</v>
      </c>
      <c r="B418" s="259">
        <v>3000</v>
      </c>
      <c r="C418" s="376"/>
      <c r="D418" s="260"/>
      <c r="E418" s="305" t="s">
        <v>1817</v>
      </c>
      <c r="F418" s="402"/>
      <c r="G418" s="231"/>
      <c r="H418" s="231"/>
      <c r="I418" s="231"/>
      <c r="J418" s="231"/>
      <c r="K418" s="231"/>
      <c r="L418" s="232"/>
      <c r="R418" s="230"/>
      <c r="S418" s="233"/>
      <c r="T418" s="233"/>
      <c r="U418" s="234"/>
    </row>
    <row r="419" spans="1:21" ht="15.75" customHeight="1">
      <c r="A419" s="259">
        <v>399</v>
      </c>
      <c r="B419" s="259">
        <v>3000</v>
      </c>
      <c r="C419" s="302" t="s">
        <v>2656</v>
      </c>
      <c r="D419" s="260"/>
      <c r="E419" s="302" t="s">
        <v>1540</v>
      </c>
      <c r="F419" s="403"/>
      <c r="G419" s="231"/>
      <c r="H419" s="231"/>
      <c r="I419" s="231"/>
      <c r="J419" s="231"/>
      <c r="K419" s="231"/>
      <c r="L419" s="232"/>
      <c r="R419" s="230"/>
      <c r="S419" s="233"/>
      <c r="T419" s="233"/>
      <c r="U419" s="234"/>
    </row>
    <row r="420" spans="1:21" ht="15.75" customHeight="1">
      <c r="A420" s="259">
        <v>400</v>
      </c>
      <c r="B420" s="259">
        <v>3000</v>
      </c>
      <c r="C420" s="370" t="s">
        <v>2657</v>
      </c>
      <c r="D420" s="260"/>
      <c r="E420" s="303" t="s">
        <v>1039</v>
      </c>
      <c r="F420" s="401">
        <v>3001</v>
      </c>
      <c r="G420" s="231"/>
      <c r="H420" s="231"/>
      <c r="I420" s="231"/>
      <c r="J420" s="231"/>
      <c r="K420" s="231"/>
      <c r="L420" s="232"/>
      <c r="R420" s="230"/>
      <c r="S420" s="233"/>
      <c r="T420" s="233"/>
      <c r="U420" s="234"/>
    </row>
    <row r="421" spans="1:21" ht="15.75" customHeight="1">
      <c r="A421" s="259">
        <v>401</v>
      </c>
      <c r="B421" s="259">
        <v>3000</v>
      </c>
      <c r="C421" s="367"/>
      <c r="D421" s="260"/>
      <c r="E421" s="311" t="s">
        <v>1044</v>
      </c>
      <c r="F421" s="402"/>
      <c r="G421" s="231"/>
      <c r="H421" s="231"/>
      <c r="I421" s="231"/>
      <c r="J421" s="231"/>
      <c r="K421" s="231"/>
      <c r="L421" s="232"/>
      <c r="R421" s="230"/>
      <c r="S421" s="233"/>
      <c r="T421" s="233"/>
      <c r="U421" s="234"/>
    </row>
    <row r="422" spans="1:21" ht="15.75" customHeight="1">
      <c r="A422" s="259">
        <v>402</v>
      </c>
      <c r="B422" s="259">
        <v>3000</v>
      </c>
      <c r="C422" s="367"/>
      <c r="D422" s="260"/>
      <c r="E422" s="311" t="s">
        <v>1049</v>
      </c>
      <c r="F422" s="402"/>
      <c r="G422" s="231"/>
      <c r="H422" s="231"/>
      <c r="I422" s="231"/>
      <c r="J422" s="231"/>
      <c r="K422" s="231"/>
      <c r="L422" s="232"/>
      <c r="R422" s="230"/>
      <c r="S422" s="233"/>
      <c r="T422" s="233"/>
      <c r="U422" s="234"/>
    </row>
    <row r="423" spans="1:21" ht="15.75" customHeight="1">
      <c r="A423" s="259">
        <v>403</v>
      </c>
      <c r="B423" s="259">
        <v>3000</v>
      </c>
      <c r="C423" s="367"/>
      <c r="D423" s="260"/>
      <c r="E423" s="306" t="s">
        <v>1054</v>
      </c>
      <c r="F423" s="402"/>
      <c r="G423" s="231"/>
      <c r="H423" s="231"/>
      <c r="I423" s="231"/>
      <c r="J423" s="231"/>
      <c r="K423" s="231"/>
      <c r="L423" s="232"/>
      <c r="R423" s="230"/>
      <c r="S423" s="233"/>
      <c r="T423" s="233"/>
      <c r="U423" s="234"/>
    </row>
    <row r="424" spans="1:21" ht="15.75" customHeight="1">
      <c r="A424" s="259">
        <v>404</v>
      </c>
      <c r="B424" s="259">
        <v>3000</v>
      </c>
      <c r="C424" s="367"/>
      <c r="D424" s="260"/>
      <c r="E424" s="306" t="s">
        <v>1059</v>
      </c>
      <c r="F424" s="402"/>
      <c r="G424" s="231"/>
      <c r="H424" s="231"/>
      <c r="I424" s="231"/>
      <c r="J424" s="231"/>
      <c r="K424" s="231"/>
      <c r="L424" s="232"/>
      <c r="R424" s="230"/>
      <c r="S424" s="233"/>
      <c r="T424" s="233"/>
      <c r="U424" s="234"/>
    </row>
    <row r="425" spans="1:21" ht="15.75" customHeight="1">
      <c r="A425" s="259">
        <v>405</v>
      </c>
      <c r="B425" s="259">
        <v>3000</v>
      </c>
      <c r="C425" s="367"/>
      <c r="D425" s="260"/>
      <c r="E425" s="304" t="s">
        <v>1064</v>
      </c>
      <c r="F425" s="402"/>
      <c r="G425" s="231"/>
      <c r="H425" s="231"/>
      <c r="I425" s="231"/>
      <c r="J425" s="231"/>
      <c r="K425" s="231"/>
      <c r="L425" s="232"/>
      <c r="R425" s="230"/>
      <c r="S425" s="233"/>
      <c r="T425" s="233"/>
      <c r="U425" s="234"/>
    </row>
    <row r="426" spans="1:21" ht="15.75" customHeight="1">
      <c r="A426" s="259">
        <v>406</v>
      </c>
      <c r="B426" s="259">
        <v>3000</v>
      </c>
      <c r="C426" s="367"/>
      <c r="D426" s="260"/>
      <c r="E426" s="304" t="s">
        <v>1069</v>
      </c>
      <c r="F426" s="402"/>
      <c r="G426" s="231"/>
      <c r="H426" s="231"/>
      <c r="I426" s="231"/>
      <c r="J426" s="231"/>
      <c r="K426" s="231"/>
      <c r="L426" s="232"/>
      <c r="R426" s="230"/>
      <c r="S426" s="233"/>
      <c r="T426" s="233"/>
      <c r="U426" s="234"/>
    </row>
    <row r="427" spans="1:21" ht="15.75" customHeight="1">
      <c r="A427" s="259">
        <v>407</v>
      </c>
      <c r="B427" s="259">
        <v>3000</v>
      </c>
      <c r="C427" s="367"/>
      <c r="D427" s="260"/>
      <c r="E427" s="304" t="s">
        <v>1472</v>
      </c>
      <c r="F427" s="402"/>
      <c r="G427" s="231"/>
      <c r="H427" s="231"/>
      <c r="I427" s="231"/>
      <c r="J427" s="231"/>
      <c r="K427" s="231"/>
      <c r="L427" s="232"/>
      <c r="R427" s="230"/>
      <c r="S427" s="233"/>
      <c r="T427" s="233"/>
      <c r="U427" s="234"/>
    </row>
    <row r="428" spans="1:21" ht="15.75" customHeight="1">
      <c r="A428" s="259">
        <v>408</v>
      </c>
      <c r="B428" s="259">
        <v>3000</v>
      </c>
      <c r="C428" s="367"/>
      <c r="D428" s="260"/>
      <c r="E428" s="304" t="s">
        <v>1476</v>
      </c>
      <c r="F428" s="402"/>
      <c r="G428" s="231"/>
      <c r="H428" s="231"/>
      <c r="I428" s="231"/>
      <c r="J428" s="231"/>
      <c r="K428" s="231"/>
      <c r="L428" s="232"/>
      <c r="R428" s="230"/>
      <c r="S428" s="233"/>
      <c r="T428" s="233"/>
      <c r="U428" s="234"/>
    </row>
    <row r="429" spans="1:21" ht="15.75" customHeight="1">
      <c r="A429" s="259">
        <v>409</v>
      </c>
      <c r="B429" s="259">
        <v>3000</v>
      </c>
      <c r="C429" s="367"/>
      <c r="D429" s="260"/>
      <c r="E429" s="304" t="s">
        <v>1480</v>
      </c>
      <c r="F429" s="402"/>
      <c r="G429" s="231"/>
      <c r="H429" s="231"/>
      <c r="I429" s="231"/>
      <c r="J429" s="231"/>
      <c r="K429" s="231"/>
      <c r="L429" s="232"/>
      <c r="R429" s="230"/>
      <c r="S429" s="233"/>
      <c r="T429" s="233"/>
      <c r="U429" s="234"/>
    </row>
    <row r="430" spans="1:21" ht="15.75" customHeight="1">
      <c r="A430" s="259">
        <v>410</v>
      </c>
      <c r="B430" s="259">
        <v>3000</v>
      </c>
      <c r="C430" s="367"/>
      <c r="D430" s="260"/>
      <c r="E430" s="303" t="s">
        <v>1486</v>
      </c>
      <c r="F430" s="403"/>
      <c r="G430" s="231"/>
      <c r="H430" s="231"/>
      <c r="I430" s="231"/>
      <c r="J430" s="231"/>
      <c r="K430" s="231"/>
      <c r="L430" s="232"/>
      <c r="R430" s="230"/>
      <c r="S430" s="233"/>
      <c r="T430" s="233"/>
      <c r="U430" s="234"/>
    </row>
    <row r="431" spans="1:21" ht="15.75" customHeight="1">
      <c r="A431" s="259">
        <v>411</v>
      </c>
      <c r="B431" s="259">
        <v>3000</v>
      </c>
      <c r="C431" s="370" t="s">
        <v>2658</v>
      </c>
      <c r="D431" s="260"/>
      <c r="E431" s="304" t="s">
        <v>2552</v>
      </c>
      <c r="F431" s="401" t="s">
        <v>2722</v>
      </c>
      <c r="G431" s="231"/>
      <c r="H431" s="231"/>
      <c r="I431" s="231"/>
      <c r="J431" s="231"/>
      <c r="K431" s="231"/>
      <c r="L431" s="232"/>
      <c r="R431" s="230"/>
      <c r="S431" s="233"/>
      <c r="T431" s="233"/>
      <c r="U431" s="234"/>
    </row>
    <row r="432" spans="1:21" ht="15.75" customHeight="1">
      <c r="A432" s="259">
        <v>412</v>
      </c>
      <c r="B432" s="259">
        <v>3000</v>
      </c>
      <c r="C432" s="367"/>
      <c r="D432" s="260"/>
      <c r="E432" s="304" t="s">
        <v>2553</v>
      </c>
      <c r="F432" s="402"/>
      <c r="G432" s="231"/>
      <c r="H432" s="231"/>
      <c r="I432" s="231"/>
      <c r="J432" s="231"/>
      <c r="K432" s="231"/>
      <c r="L432" s="232"/>
      <c r="R432" s="230"/>
      <c r="S432" s="233"/>
      <c r="T432" s="233"/>
      <c r="U432" s="234"/>
    </row>
    <row r="433" spans="1:21" ht="15.75" customHeight="1">
      <c r="A433" s="259">
        <v>413</v>
      </c>
      <c r="B433" s="259">
        <v>3000</v>
      </c>
      <c r="C433" s="367"/>
      <c r="D433" s="260"/>
      <c r="E433" s="304" t="s">
        <v>2554</v>
      </c>
      <c r="F433" s="402"/>
      <c r="G433" s="231"/>
      <c r="H433" s="231"/>
      <c r="I433" s="231"/>
      <c r="J433" s="231"/>
      <c r="K433" s="231"/>
      <c r="L433" s="232"/>
      <c r="R433" s="230"/>
      <c r="S433" s="233"/>
      <c r="T433" s="233"/>
      <c r="U433" s="234"/>
    </row>
    <row r="434" spans="1:21" ht="15.75" customHeight="1">
      <c r="A434" s="259">
        <v>414</v>
      </c>
      <c r="B434" s="259">
        <v>3000</v>
      </c>
      <c r="C434" s="367"/>
      <c r="D434" s="260"/>
      <c r="E434" s="304" t="s">
        <v>2555</v>
      </c>
      <c r="F434" s="402"/>
      <c r="G434" s="231"/>
      <c r="H434" s="231"/>
      <c r="I434" s="231"/>
      <c r="J434" s="231"/>
      <c r="K434" s="231"/>
      <c r="L434" s="232"/>
      <c r="R434" s="230"/>
      <c r="S434" s="233"/>
      <c r="T434" s="233"/>
      <c r="U434" s="234"/>
    </row>
    <row r="435" spans="1:21" ht="15.75" customHeight="1">
      <c r="A435" s="259">
        <v>415</v>
      </c>
      <c r="B435" s="259">
        <v>3000</v>
      </c>
      <c r="C435" s="367"/>
      <c r="D435" s="260"/>
      <c r="E435" s="304" t="s">
        <v>2556</v>
      </c>
      <c r="F435" s="402"/>
      <c r="G435" s="231"/>
      <c r="H435" s="231"/>
      <c r="I435" s="231"/>
      <c r="J435" s="231"/>
      <c r="K435" s="231"/>
      <c r="L435" s="232"/>
      <c r="R435" s="230"/>
      <c r="S435" s="233"/>
      <c r="T435" s="233"/>
      <c r="U435" s="234"/>
    </row>
    <row r="436" spans="1:21" ht="15.75" customHeight="1">
      <c r="A436" s="259">
        <v>416</v>
      </c>
      <c r="B436" s="259">
        <v>3000</v>
      </c>
      <c r="C436" s="367"/>
      <c r="D436" s="260"/>
      <c r="E436" s="304" t="s">
        <v>2557</v>
      </c>
      <c r="F436" s="402"/>
      <c r="G436" s="231"/>
      <c r="H436" s="231"/>
      <c r="I436" s="231"/>
      <c r="J436" s="231"/>
      <c r="K436" s="231"/>
      <c r="L436" s="232"/>
      <c r="R436" s="230"/>
      <c r="S436" s="233"/>
      <c r="T436" s="233"/>
      <c r="U436" s="234"/>
    </row>
    <row r="437" spans="1:21" ht="15.75" customHeight="1">
      <c r="A437" s="259">
        <v>417</v>
      </c>
      <c r="B437" s="259">
        <v>3000</v>
      </c>
      <c r="C437" s="367"/>
      <c r="D437" s="260"/>
      <c r="E437" s="304" t="s">
        <v>2558</v>
      </c>
      <c r="F437" s="402"/>
      <c r="G437" s="231"/>
      <c r="H437" s="231"/>
      <c r="I437" s="231"/>
      <c r="J437" s="231"/>
      <c r="K437" s="231"/>
      <c r="L437" s="232"/>
      <c r="R437" s="230"/>
      <c r="S437" s="233"/>
      <c r="T437" s="233"/>
      <c r="U437" s="234"/>
    </row>
    <row r="438" spans="1:21" ht="15.75" customHeight="1">
      <c r="A438" s="259">
        <v>418</v>
      </c>
      <c r="B438" s="259">
        <v>3000</v>
      </c>
      <c r="C438" s="367"/>
      <c r="D438" s="260"/>
      <c r="E438" s="304" t="s">
        <v>2559</v>
      </c>
      <c r="F438" s="402"/>
      <c r="G438" s="231"/>
      <c r="H438" s="231"/>
      <c r="I438" s="231"/>
      <c r="J438" s="231"/>
      <c r="K438" s="231"/>
      <c r="L438" s="232"/>
      <c r="R438" s="230"/>
      <c r="S438" s="233"/>
      <c r="T438" s="233"/>
      <c r="U438" s="234"/>
    </row>
    <row r="439" spans="1:21" ht="15.75" customHeight="1">
      <c r="A439" s="259">
        <v>419</v>
      </c>
      <c r="B439" s="259">
        <v>3000</v>
      </c>
      <c r="C439" s="367"/>
      <c r="D439" s="260"/>
      <c r="E439" s="304" t="s">
        <v>2560</v>
      </c>
      <c r="F439" s="402"/>
      <c r="G439" s="231"/>
      <c r="H439" s="231"/>
      <c r="I439" s="231"/>
      <c r="J439" s="231"/>
      <c r="K439" s="231"/>
      <c r="L439" s="232"/>
      <c r="R439" s="230"/>
      <c r="S439" s="233"/>
      <c r="T439" s="233"/>
      <c r="U439" s="234"/>
    </row>
    <row r="440" spans="1:21" ht="15.75" customHeight="1">
      <c r="A440" s="259">
        <v>420</v>
      </c>
      <c r="B440" s="259">
        <v>3000</v>
      </c>
      <c r="C440" s="367"/>
      <c r="D440" s="260"/>
      <c r="E440" s="304" t="s">
        <v>2561</v>
      </c>
      <c r="F440" s="402"/>
      <c r="G440" s="231"/>
      <c r="H440" s="231"/>
      <c r="I440" s="231"/>
      <c r="J440" s="231"/>
      <c r="K440" s="231"/>
      <c r="L440" s="232"/>
      <c r="R440" s="230"/>
      <c r="S440" s="233"/>
      <c r="T440" s="233"/>
      <c r="U440" s="234"/>
    </row>
    <row r="441" spans="1:21" ht="15.75" customHeight="1">
      <c r="A441" s="259">
        <v>421</v>
      </c>
      <c r="B441" s="259">
        <v>3000</v>
      </c>
      <c r="C441" s="367"/>
      <c r="D441" s="260"/>
      <c r="E441" s="304" t="s">
        <v>2562</v>
      </c>
      <c r="F441" s="402"/>
      <c r="G441" s="231"/>
      <c r="H441" s="231"/>
      <c r="I441" s="231"/>
      <c r="J441" s="231"/>
      <c r="K441" s="231"/>
      <c r="L441" s="232"/>
      <c r="R441" s="230"/>
      <c r="S441" s="233"/>
      <c r="T441" s="233"/>
      <c r="U441" s="234"/>
    </row>
    <row r="442" spans="1:21" ht="15.75" customHeight="1">
      <c r="A442" s="259">
        <v>422</v>
      </c>
      <c r="B442" s="259">
        <v>3000</v>
      </c>
      <c r="C442" s="367"/>
      <c r="D442" s="260"/>
      <c r="E442" s="304" t="s">
        <v>2563</v>
      </c>
      <c r="F442" s="402"/>
      <c r="G442" s="231"/>
      <c r="H442" s="231"/>
      <c r="I442" s="231"/>
      <c r="J442" s="231"/>
      <c r="K442" s="231"/>
      <c r="L442" s="232"/>
      <c r="R442" s="230"/>
      <c r="S442" s="233"/>
      <c r="T442" s="233"/>
      <c r="U442" s="234"/>
    </row>
    <row r="443" spans="1:21" ht="15.75" customHeight="1">
      <c r="A443" s="259">
        <v>423</v>
      </c>
      <c r="B443" s="259">
        <v>3000</v>
      </c>
      <c r="C443" s="367"/>
      <c r="D443" s="260"/>
      <c r="E443" s="304" t="s">
        <v>2564</v>
      </c>
      <c r="F443" s="402"/>
      <c r="G443" s="231"/>
      <c r="H443" s="231"/>
      <c r="I443" s="231"/>
      <c r="J443" s="231"/>
      <c r="K443" s="231"/>
      <c r="L443" s="232"/>
      <c r="R443" s="230"/>
      <c r="S443" s="233"/>
      <c r="T443" s="233"/>
      <c r="U443" s="234"/>
    </row>
    <row r="444" spans="1:21" ht="15.75" customHeight="1">
      <c r="A444" s="259">
        <v>424</v>
      </c>
      <c r="B444" s="259">
        <v>3000</v>
      </c>
      <c r="C444" s="367"/>
      <c r="D444" s="260"/>
      <c r="E444" s="304" t="s">
        <v>2565</v>
      </c>
      <c r="F444" s="402"/>
      <c r="G444" s="231"/>
      <c r="H444" s="231"/>
      <c r="I444" s="231"/>
      <c r="J444" s="231"/>
      <c r="K444" s="231"/>
      <c r="L444" s="232"/>
      <c r="R444" s="230"/>
      <c r="S444" s="233"/>
      <c r="T444" s="233"/>
      <c r="U444" s="234"/>
    </row>
    <row r="445" spans="1:21" ht="15.75" customHeight="1">
      <c r="A445" s="259">
        <v>425</v>
      </c>
      <c r="B445" s="259">
        <v>3000</v>
      </c>
      <c r="C445" s="367"/>
      <c r="D445" s="260"/>
      <c r="E445" s="304" t="s">
        <v>2566</v>
      </c>
      <c r="F445" s="402"/>
      <c r="G445" s="231"/>
      <c r="H445" s="231"/>
      <c r="I445" s="231"/>
      <c r="J445" s="231"/>
      <c r="K445" s="231"/>
      <c r="L445" s="232"/>
      <c r="R445" s="230"/>
      <c r="S445" s="233"/>
      <c r="T445" s="233"/>
      <c r="U445" s="234"/>
    </row>
    <row r="446" spans="1:21" ht="15.75" customHeight="1">
      <c r="A446" s="259">
        <v>426</v>
      </c>
      <c r="B446" s="259">
        <v>3000</v>
      </c>
      <c r="C446" s="367"/>
      <c r="D446" s="260"/>
      <c r="E446" s="304" t="s">
        <v>2567</v>
      </c>
      <c r="F446" s="402"/>
      <c r="G446" s="231"/>
      <c r="H446" s="231"/>
      <c r="I446" s="231"/>
      <c r="J446" s="231"/>
      <c r="K446" s="231"/>
      <c r="L446" s="232"/>
      <c r="R446" s="230"/>
      <c r="S446" s="233"/>
      <c r="T446" s="233"/>
      <c r="U446" s="234"/>
    </row>
    <row r="447" spans="1:21" ht="15.75" customHeight="1">
      <c r="A447" s="259">
        <v>427</v>
      </c>
      <c r="B447" s="259">
        <v>3000</v>
      </c>
      <c r="C447" s="367"/>
      <c r="D447" s="260"/>
      <c r="E447" s="304" t="s">
        <v>2568</v>
      </c>
      <c r="F447" s="402"/>
      <c r="G447" s="231"/>
      <c r="H447" s="231"/>
      <c r="I447" s="231"/>
      <c r="J447" s="231"/>
      <c r="K447" s="231"/>
      <c r="L447" s="232"/>
      <c r="R447" s="230"/>
      <c r="S447" s="233"/>
      <c r="T447" s="233"/>
      <c r="U447" s="234"/>
    </row>
    <row r="448" spans="1:21" ht="15.75" customHeight="1">
      <c r="A448" s="259">
        <v>428</v>
      </c>
      <c r="B448" s="259">
        <v>3000</v>
      </c>
      <c r="C448" s="367"/>
      <c r="D448" s="260"/>
      <c r="E448" s="304" t="s">
        <v>2569</v>
      </c>
      <c r="F448" s="402"/>
      <c r="G448" s="231"/>
      <c r="H448" s="231"/>
      <c r="I448" s="231"/>
      <c r="J448" s="231"/>
      <c r="K448" s="231"/>
      <c r="L448" s="232"/>
      <c r="R448" s="230"/>
      <c r="S448" s="233"/>
      <c r="T448" s="233"/>
      <c r="U448" s="234"/>
    </row>
    <row r="449" spans="1:21" ht="15.75" customHeight="1">
      <c r="A449" s="259">
        <v>429</v>
      </c>
      <c r="B449" s="259">
        <v>3000</v>
      </c>
      <c r="C449" s="367"/>
      <c r="D449" s="260"/>
      <c r="E449" s="304" t="s">
        <v>2570</v>
      </c>
      <c r="F449" s="402"/>
      <c r="G449" s="231"/>
      <c r="H449" s="231"/>
      <c r="I449" s="231"/>
      <c r="J449" s="231"/>
      <c r="K449" s="231"/>
      <c r="L449" s="232"/>
      <c r="R449" s="230"/>
      <c r="S449" s="233"/>
      <c r="T449" s="233"/>
      <c r="U449" s="234"/>
    </row>
    <row r="450" spans="1:21" ht="15.75" customHeight="1">
      <c r="A450" s="259">
        <v>430</v>
      </c>
      <c r="B450" s="259">
        <v>3000</v>
      </c>
      <c r="C450" s="367"/>
      <c r="D450" s="260"/>
      <c r="E450" s="304" t="s">
        <v>2571</v>
      </c>
      <c r="F450" s="402"/>
      <c r="G450" s="231"/>
      <c r="H450" s="231"/>
      <c r="I450" s="231"/>
      <c r="J450" s="231"/>
      <c r="K450" s="231"/>
      <c r="L450" s="232"/>
      <c r="R450" s="230"/>
      <c r="S450" s="233"/>
      <c r="T450" s="233"/>
      <c r="U450" s="234"/>
    </row>
    <row r="451" spans="1:21" ht="15.75" customHeight="1">
      <c r="A451" s="259">
        <v>431</v>
      </c>
      <c r="B451" s="259">
        <v>3000</v>
      </c>
      <c r="C451" s="367"/>
      <c r="D451" s="260"/>
      <c r="E451" s="304" t="s">
        <v>2572</v>
      </c>
      <c r="F451" s="402"/>
      <c r="G451" s="231"/>
      <c r="H451" s="231"/>
      <c r="I451" s="231"/>
      <c r="J451" s="231"/>
      <c r="K451" s="231"/>
      <c r="L451" s="232"/>
      <c r="R451" s="230"/>
      <c r="S451" s="233"/>
      <c r="T451" s="233"/>
      <c r="U451" s="234"/>
    </row>
    <row r="452" spans="1:21" ht="15.75" customHeight="1">
      <c r="A452" s="259">
        <v>432</v>
      </c>
      <c r="B452" s="259">
        <v>3000</v>
      </c>
      <c r="C452" s="367"/>
      <c r="D452" s="260"/>
      <c r="E452" s="304" t="s">
        <v>2573</v>
      </c>
      <c r="F452" s="402"/>
      <c r="G452" s="231"/>
      <c r="H452" s="231"/>
      <c r="I452" s="231"/>
      <c r="J452" s="231"/>
      <c r="K452" s="231"/>
      <c r="L452" s="232"/>
      <c r="R452" s="230"/>
      <c r="S452" s="233"/>
      <c r="T452" s="233"/>
      <c r="U452" s="234"/>
    </row>
    <row r="453" spans="1:21" ht="15.75" customHeight="1">
      <c r="A453" s="259">
        <v>433</v>
      </c>
      <c r="B453" s="259">
        <v>3000</v>
      </c>
      <c r="C453" s="367"/>
      <c r="D453" s="260"/>
      <c r="E453" s="304" t="s">
        <v>2574</v>
      </c>
      <c r="F453" s="402"/>
      <c r="G453" s="231"/>
      <c r="H453" s="231"/>
      <c r="I453" s="231"/>
      <c r="J453" s="231"/>
      <c r="K453" s="231"/>
      <c r="L453" s="232"/>
      <c r="R453" s="230"/>
      <c r="S453" s="233"/>
      <c r="T453" s="233"/>
      <c r="U453" s="234"/>
    </row>
    <row r="454" spans="1:21" ht="15.75" customHeight="1">
      <c r="A454" s="259">
        <v>434</v>
      </c>
      <c r="B454" s="259">
        <v>3000</v>
      </c>
      <c r="C454" s="367"/>
      <c r="D454" s="260"/>
      <c r="E454" s="304" t="s">
        <v>2575</v>
      </c>
      <c r="F454" s="402"/>
      <c r="G454" s="231"/>
      <c r="H454" s="231"/>
      <c r="I454" s="231"/>
      <c r="J454" s="231"/>
      <c r="K454" s="231"/>
      <c r="L454" s="232"/>
      <c r="R454" s="230"/>
      <c r="S454" s="233"/>
      <c r="T454" s="233"/>
      <c r="U454" s="234"/>
    </row>
    <row r="455" spans="1:21" ht="15.75" customHeight="1">
      <c r="A455" s="259">
        <v>435</v>
      </c>
      <c r="B455" s="259">
        <v>3000</v>
      </c>
      <c r="C455" s="367"/>
      <c r="D455" s="260"/>
      <c r="E455" s="304" t="s">
        <v>2576</v>
      </c>
      <c r="F455" s="402"/>
      <c r="G455" s="231"/>
      <c r="H455" s="231"/>
      <c r="I455" s="231"/>
      <c r="J455" s="231"/>
      <c r="K455" s="231"/>
      <c r="L455" s="232"/>
      <c r="R455" s="230"/>
      <c r="S455" s="233"/>
      <c r="T455" s="233"/>
      <c r="U455" s="234"/>
    </row>
    <row r="456" spans="1:21" ht="15.75" customHeight="1">
      <c r="A456" s="259">
        <v>436</v>
      </c>
      <c r="B456" s="259">
        <v>3000</v>
      </c>
      <c r="C456" s="367"/>
      <c r="D456" s="260"/>
      <c r="E456" s="304" t="s">
        <v>2577</v>
      </c>
      <c r="F456" s="402"/>
      <c r="G456" s="231"/>
      <c r="H456" s="231"/>
      <c r="I456" s="231"/>
      <c r="J456" s="231"/>
      <c r="K456" s="231"/>
      <c r="L456" s="232"/>
      <c r="R456" s="230"/>
      <c r="S456" s="233"/>
      <c r="T456" s="233"/>
      <c r="U456" s="234"/>
    </row>
    <row r="457" spans="1:21" ht="15.75" customHeight="1">
      <c r="A457" s="259">
        <v>437</v>
      </c>
      <c r="B457" s="259">
        <v>3000</v>
      </c>
      <c r="C457" s="367"/>
      <c r="D457" s="260"/>
      <c r="E457" s="304" t="s">
        <v>2578</v>
      </c>
      <c r="F457" s="402"/>
      <c r="G457" s="231"/>
      <c r="H457" s="231"/>
      <c r="I457" s="231"/>
      <c r="J457" s="231"/>
      <c r="K457" s="231"/>
      <c r="L457" s="232"/>
      <c r="R457" s="230"/>
      <c r="S457" s="233"/>
      <c r="T457" s="233"/>
      <c r="U457" s="234"/>
    </row>
    <row r="458" spans="1:21" ht="15.75" customHeight="1">
      <c r="A458" s="259">
        <v>438</v>
      </c>
      <c r="B458" s="259">
        <v>3000</v>
      </c>
      <c r="C458" s="367"/>
      <c r="D458" s="260"/>
      <c r="E458" s="304" t="s">
        <v>2579</v>
      </c>
      <c r="F458" s="402"/>
      <c r="G458" s="231"/>
      <c r="H458" s="231"/>
      <c r="I458" s="231"/>
      <c r="J458" s="231"/>
      <c r="K458" s="231"/>
      <c r="L458" s="232"/>
      <c r="R458" s="230"/>
      <c r="S458" s="233"/>
      <c r="T458" s="233"/>
      <c r="U458" s="234"/>
    </row>
    <row r="459" spans="1:21" ht="15.75" customHeight="1">
      <c r="A459" s="259">
        <v>439</v>
      </c>
      <c r="B459" s="259">
        <v>3000</v>
      </c>
      <c r="C459" s="367"/>
      <c r="D459" s="260"/>
      <c r="E459" s="304" t="s">
        <v>2580</v>
      </c>
      <c r="F459" s="402"/>
      <c r="G459" s="231"/>
      <c r="H459" s="231"/>
      <c r="I459" s="231"/>
      <c r="J459" s="231"/>
      <c r="K459" s="231"/>
      <c r="L459" s="232"/>
      <c r="R459" s="230"/>
      <c r="S459" s="233"/>
      <c r="T459" s="233"/>
      <c r="U459" s="234"/>
    </row>
    <row r="460" spans="1:21" ht="15.75" customHeight="1">
      <c r="A460" s="259">
        <v>440</v>
      </c>
      <c r="B460" s="259">
        <v>3000</v>
      </c>
      <c r="C460" s="367"/>
      <c r="D460" s="260"/>
      <c r="E460" s="304" t="s">
        <v>2581</v>
      </c>
      <c r="F460" s="402"/>
      <c r="G460" s="231"/>
      <c r="H460" s="231"/>
      <c r="I460" s="231"/>
      <c r="J460" s="231"/>
      <c r="K460" s="231"/>
      <c r="L460" s="232"/>
      <c r="R460" s="230"/>
      <c r="S460" s="233"/>
      <c r="T460" s="233"/>
      <c r="U460" s="234"/>
    </row>
    <row r="461" spans="1:21" ht="15.75" customHeight="1">
      <c r="A461" s="259">
        <v>441</v>
      </c>
      <c r="B461" s="259">
        <v>3000</v>
      </c>
      <c r="C461" s="367"/>
      <c r="D461" s="260"/>
      <c r="E461" s="304" t="s">
        <v>2582</v>
      </c>
      <c r="F461" s="402"/>
      <c r="G461" s="231"/>
      <c r="H461" s="231"/>
      <c r="I461" s="231"/>
      <c r="J461" s="231"/>
      <c r="K461" s="231"/>
      <c r="L461" s="232"/>
      <c r="R461" s="230"/>
      <c r="S461" s="233"/>
      <c r="T461" s="233"/>
      <c r="U461" s="234"/>
    </row>
    <row r="462" spans="1:21" ht="15.75" customHeight="1">
      <c r="A462" s="259">
        <v>442</v>
      </c>
      <c r="B462" s="259">
        <v>3000</v>
      </c>
      <c r="C462" s="367"/>
      <c r="D462" s="260"/>
      <c r="E462" s="304" t="s">
        <v>2583</v>
      </c>
      <c r="F462" s="402"/>
      <c r="G462" s="231"/>
      <c r="H462" s="231"/>
      <c r="I462" s="231"/>
      <c r="J462" s="231"/>
      <c r="K462" s="231"/>
      <c r="L462" s="232"/>
      <c r="R462" s="230"/>
      <c r="S462" s="233"/>
      <c r="T462" s="233"/>
      <c r="U462" s="234"/>
    </row>
    <row r="463" spans="1:21" ht="15.75" customHeight="1">
      <c r="A463" s="259">
        <v>443</v>
      </c>
      <c r="B463" s="259">
        <v>3000</v>
      </c>
      <c r="C463" s="367"/>
      <c r="D463" s="260"/>
      <c r="E463" s="304" t="s">
        <v>2584</v>
      </c>
      <c r="F463" s="402"/>
      <c r="G463" s="231"/>
      <c r="H463" s="231"/>
      <c r="I463" s="231"/>
      <c r="J463" s="231"/>
      <c r="K463" s="231"/>
      <c r="L463" s="232"/>
      <c r="R463" s="230"/>
      <c r="S463" s="233"/>
      <c r="T463" s="233"/>
      <c r="U463" s="234"/>
    </row>
    <row r="464" spans="1:21" ht="15.75" customHeight="1">
      <c r="A464" s="259">
        <v>444</v>
      </c>
      <c r="B464" s="259">
        <v>3000</v>
      </c>
      <c r="C464" s="367"/>
      <c r="D464" s="260"/>
      <c r="E464" s="304" t="s">
        <v>2585</v>
      </c>
      <c r="F464" s="402"/>
      <c r="G464" s="231"/>
      <c r="H464" s="231"/>
      <c r="I464" s="231"/>
      <c r="J464" s="231"/>
      <c r="K464" s="231"/>
      <c r="L464" s="232"/>
      <c r="R464" s="230"/>
      <c r="S464" s="233"/>
      <c r="T464" s="233"/>
      <c r="U464" s="234"/>
    </row>
    <row r="465" spans="1:21" ht="15.75" customHeight="1">
      <c r="A465" s="259">
        <v>445</v>
      </c>
      <c r="B465" s="259">
        <v>3000</v>
      </c>
      <c r="C465" s="367"/>
      <c r="D465" s="260"/>
      <c r="E465" s="304" t="s">
        <v>2586</v>
      </c>
      <c r="F465" s="402"/>
      <c r="G465" s="231"/>
      <c r="H465" s="231"/>
      <c r="I465" s="231"/>
      <c r="J465" s="231"/>
      <c r="K465" s="231"/>
      <c r="L465" s="232"/>
      <c r="R465" s="230"/>
      <c r="S465" s="233"/>
      <c r="T465" s="233"/>
      <c r="U465" s="234"/>
    </row>
    <row r="466" spans="1:21" ht="15.75" customHeight="1">
      <c r="A466" s="259">
        <v>446</v>
      </c>
      <c r="B466" s="259">
        <v>3000</v>
      </c>
      <c r="C466" s="367"/>
      <c r="D466" s="260"/>
      <c r="E466" s="304" t="s">
        <v>2587</v>
      </c>
      <c r="F466" s="402"/>
      <c r="G466" s="231"/>
      <c r="H466" s="231"/>
      <c r="I466" s="231"/>
      <c r="J466" s="231"/>
      <c r="K466" s="231"/>
      <c r="L466" s="232"/>
      <c r="R466" s="230"/>
      <c r="S466" s="233"/>
      <c r="T466" s="233"/>
      <c r="U466" s="234"/>
    </row>
    <row r="467" spans="1:21" ht="15.75" customHeight="1">
      <c r="A467" s="259">
        <v>447</v>
      </c>
      <c r="B467" s="259">
        <v>3000</v>
      </c>
      <c r="C467" s="367"/>
      <c r="D467" s="260"/>
      <c r="E467" s="304" t="s">
        <v>2588</v>
      </c>
      <c r="F467" s="403"/>
      <c r="G467" s="231"/>
      <c r="H467" s="231"/>
      <c r="I467" s="231"/>
      <c r="J467" s="231"/>
      <c r="K467" s="231"/>
      <c r="L467" s="232"/>
      <c r="R467" s="230"/>
      <c r="S467" s="233"/>
      <c r="T467" s="233"/>
      <c r="U467" s="234"/>
    </row>
    <row r="468" spans="1:21" ht="15.75" customHeight="1">
      <c r="A468" s="259">
        <v>448</v>
      </c>
      <c r="B468" s="259">
        <v>3000</v>
      </c>
      <c r="C468" s="370" t="s">
        <v>2659</v>
      </c>
      <c r="D468" s="260"/>
      <c r="E468" s="304" t="s">
        <v>2589</v>
      </c>
      <c r="F468" s="401" t="s">
        <v>2722</v>
      </c>
      <c r="G468" s="231"/>
      <c r="H468" s="231"/>
      <c r="I468" s="231"/>
      <c r="J468" s="231"/>
      <c r="K468" s="231"/>
      <c r="L468" s="232"/>
      <c r="R468" s="230"/>
      <c r="S468" s="233"/>
      <c r="T468" s="233"/>
      <c r="U468" s="234"/>
    </row>
    <row r="469" spans="1:21" ht="15.75" customHeight="1">
      <c r="A469" s="259">
        <v>449</v>
      </c>
      <c r="B469" s="259">
        <v>3000</v>
      </c>
      <c r="C469" s="367"/>
      <c r="D469" s="260"/>
      <c r="E469" s="304" t="s">
        <v>2590</v>
      </c>
      <c r="F469" s="402"/>
      <c r="G469" s="231"/>
      <c r="H469" s="231"/>
      <c r="I469" s="231"/>
      <c r="J469" s="231"/>
      <c r="K469" s="231"/>
      <c r="L469" s="232"/>
      <c r="R469" s="230"/>
      <c r="S469" s="233"/>
      <c r="T469" s="233"/>
      <c r="U469" s="234"/>
    </row>
    <row r="470" spans="1:21" ht="15.75" customHeight="1">
      <c r="A470" s="259">
        <v>450</v>
      </c>
      <c r="B470" s="259">
        <v>3000</v>
      </c>
      <c r="C470" s="367"/>
      <c r="D470" s="260"/>
      <c r="E470" s="304" t="s">
        <v>2591</v>
      </c>
      <c r="F470" s="402"/>
      <c r="G470" s="231"/>
      <c r="H470" s="231"/>
      <c r="I470" s="231"/>
      <c r="J470" s="231"/>
      <c r="K470" s="231"/>
      <c r="L470" s="232"/>
      <c r="R470" s="230"/>
      <c r="S470" s="233"/>
      <c r="T470" s="233"/>
      <c r="U470" s="234"/>
    </row>
    <row r="471" spans="1:21" ht="15.75" customHeight="1">
      <c r="A471" s="259">
        <v>451</v>
      </c>
      <c r="B471" s="259">
        <v>3000</v>
      </c>
      <c r="C471" s="367"/>
      <c r="D471" s="260"/>
      <c r="E471" s="304" t="s">
        <v>2592</v>
      </c>
      <c r="F471" s="402"/>
      <c r="G471" s="231"/>
      <c r="H471" s="231"/>
      <c r="I471" s="231"/>
      <c r="J471" s="231"/>
      <c r="K471" s="231"/>
      <c r="L471" s="232"/>
      <c r="R471" s="230"/>
      <c r="S471" s="233"/>
      <c r="T471" s="233"/>
      <c r="U471" s="234"/>
    </row>
    <row r="472" spans="1:21" ht="15.75" customHeight="1">
      <c r="A472" s="259">
        <v>452</v>
      </c>
      <c r="B472" s="259">
        <v>3000</v>
      </c>
      <c r="C472" s="367"/>
      <c r="D472" s="260"/>
      <c r="E472" s="304" t="s">
        <v>2593</v>
      </c>
      <c r="F472" s="402"/>
      <c r="G472" s="231"/>
      <c r="H472" s="231"/>
      <c r="I472" s="231"/>
      <c r="J472" s="231"/>
      <c r="K472" s="231"/>
      <c r="L472" s="232"/>
      <c r="R472" s="230"/>
      <c r="S472" s="233"/>
      <c r="T472" s="233"/>
      <c r="U472" s="234"/>
    </row>
    <row r="473" spans="1:21" ht="15.75" customHeight="1">
      <c r="A473" s="259">
        <v>453</v>
      </c>
      <c r="B473" s="259">
        <v>3000</v>
      </c>
      <c r="C473" s="367"/>
      <c r="D473" s="260"/>
      <c r="E473" s="304" t="s">
        <v>2594</v>
      </c>
      <c r="F473" s="402"/>
      <c r="G473" s="231"/>
      <c r="H473" s="231"/>
      <c r="I473" s="231"/>
      <c r="J473" s="231"/>
      <c r="K473" s="231"/>
      <c r="L473" s="232"/>
      <c r="R473" s="230"/>
      <c r="S473" s="233"/>
      <c r="T473" s="233"/>
      <c r="U473" s="234"/>
    </row>
    <row r="474" spans="1:21" ht="15.75" customHeight="1">
      <c r="A474" s="259">
        <v>454</v>
      </c>
      <c r="B474" s="259">
        <v>3000</v>
      </c>
      <c r="C474" s="367"/>
      <c r="D474" s="260"/>
      <c r="E474" s="304" t="s">
        <v>2595</v>
      </c>
      <c r="F474" s="402"/>
      <c r="G474" s="231"/>
      <c r="H474" s="231"/>
      <c r="I474" s="231"/>
      <c r="J474" s="231"/>
      <c r="K474" s="231"/>
      <c r="L474" s="232"/>
      <c r="R474" s="230"/>
      <c r="S474" s="233"/>
      <c r="T474" s="233"/>
      <c r="U474" s="234"/>
    </row>
    <row r="475" spans="1:21" ht="15.75" customHeight="1">
      <c r="A475" s="259">
        <v>455</v>
      </c>
      <c r="B475" s="259">
        <v>3000</v>
      </c>
      <c r="C475" s="367"/>
      <c r="D475" s="260"/>
      <c r="E475" s="304" t="s">
        <v>2596</v>
      </c>
      <c r="F475" s="402"/>
      <c r="G475" s="231"/>
      <c r="H475" s="231"/>
      <c r="I475" s="231"/>
      <c r="J475" s="231"/>
      <c r="K475" s="231"/>
      <c r="L475" s="232"/>
      <c r="R475" s="230"/>
      <c r="S475" s="233"/>
      <c r="T475" s="233"/>
      <c r="U475" s="234"/>
    </row>
    <row r="476" spans="1:21" ht="15.75" customHeight="1">
      <c r="A476" s="259">
        <v>456</v>
      </c>
      <c r="B476" s="259">
        <v>3000</v>
      </c>
      <c r="C476" s="367"/>
      <c r="D476" s="260"/>
      <c r="E476" s="304" t="s">
        <v>2597</v>
      </c>
      <c r="F476" s="402"/>
      <c r="G476" s="231"/>
      <c r="H476" s="231"/>
      <c r="I476" s="231"/>
      <c r="J476" s="231"/>
      <c r="K476" s="231"/>
      <c r="L476" s="232"/>
      <c r="R476" s="230"/>
      <c r="S476" s="233"/>
      <c r="T476" s="233"/>
      <c r="U476" s="234"/>
    </row>
    <row r="477" spans="1:21" ht="15.75" customHeight="1">
      <c r="A477" s="259">
        <v>457</v>
      </c>
      <c r="B477" s="259">
        <v>3000</v>
      </c>
      <c r="C477" s="367"/>
      <c r="D477" s="260"/>
      <c r="E477" s="304" t="s">
        <v>2598</v>
      </c>
      <c r="F477" s="402"/>
      <c r="G477" s="231"/>
      <c r="H477" s="231"/>
      <c r="I477" s="231"/>
      <c r="J477" s="231"/>
      <c r="K477" s="231"/>
      <c r="L477" s="232"/>
      <c r="R477" s="230"/>
      <c r="S477" s="233"/>
      <c r="T477" s="233"/>
      <c r="U477" s="234"/>
    </row>
    <row r="478" spans="1:21" ht="15.75" customHeight="1">
      <c r="A478" s="259">
        <v>458</v>
      </c>
      <c r="B478" s="259">
        <v>3000</v>
      </c>
      <c r="C478" s="367"/>
      <c r="D478" s="260"/>
      <c r="E478" s="304" t="s">
        <v>2599</v>
      </c>
      <c r="F478" s="402"/>
      <c r="G478" s="231"/>
      <c r="H478" s="231"/>
      <c r="I478" s="231"/>
      <c r="J478" s="231"/>
      <c r="K478" s="231"/>
      <c r="L478" s="232"/>
      <c r="R478" s="230"/>
      <c r="S478" s="233"/>
      <c r="T478" s="233"/>
      <c r="U478" s="234"/>
    </row>
    <row r="479" spans="1:21" ht="15.75" customHeight="1">
      <c r="A479" s="259">
        <v>459</v>
      </c>
      <c r="B479" s="259">
        <v>3000</v>
      </c>
      <c r="C479" s="367"/>
      <c r="D479" s="260"/>
      <c r="E479" s="304" t="s">
        <v>2600</v>
      </c>
      <c r="F479" s="402"/>
      <c r="G479" s="231"/>
      <c r="H479" s="231"/>
      <c r="I479" s="231"/>
      <c r="J479" s="231"/>
      <c r="K479" s="231"/>
      <c r="L479" s="232"/>
      <c r="R479" s="230"/>
      <c r="S479" s="233"/>
      <c r="T479" s="233"/>
      <c r="U479" s="234"/>
    </row>
    <row r="480" spans="1:21" ht="15.75" customHeight="1">
      <c r="A480" s="259">
        <v>460</v>
      </c>
      <c r="B480" s="259">
        <v>3000</v>
      </c>
      <c r="C480" s="367"/>
      <c r="D480" s="260"/>
      <c r="E480" s="304" t="s">
        <v>2601</v>
      </c>
      <c r="F480" s="402"/>
      <c r="G480" s="231"/>
      <c r="H480" s="231"/>
      <c r="I480" s="231"/>
      <c r="J480" s="231"/>
      <c r="K480" s="231"/>
      <c r="L480" s="232"/>
      <c r="R480" s="230"/>
      <c r="S480" s="233"/>
      <c r="T480" s="233"/>
      <c r="U480" s="234"/>
    </row>
    <row r="481" spans="1:21" ht="15.75" customHeight="1">
      <c r="A481" s="259">
        <v>461</v>
      </c>
      <c r="B481" s="259">
        <v>3000</v>
      </c>
      <c r="C481" s="367"/>
      <c r="D481" s="260"/>
      <c r="E481" s="304" t="s">
        <v>2602</v>
      </c>
      <c r="F481" s="402"/>
      <c r="G481" s="231"/>
      <c r="H481" s="231"/>
      <c r="I481" s="231"/>
      <c r="J481" s="231"/>
      <c r="K481" s="231"/>
      <c r="L481" s="232"/>
      <c r="R481" s="230"/>
      <c r="S481" s="233"/>
      <c r="T481" s="233"/>
      <c r="U481" s="234"/>
    </row>
    <row r="482" spans="1:21" ht="15.75" customHeight="1">
      <c r="A482" s="259">
        <v>462</v>
      </c>
      <c r="B482" s="259">
        <v>3000</v>
      </c>
      <c r="C482" s="367"/>
      <c r="D482" s="260"/>
      <c r="E482" s="304" t="s">
        <v>2603</v>
      </c>
      <c r="F482" s="402"/>
      <c r="G482" s="231"/>
      <c r="H482" s="231"/>
      <c r="I482" s="231"/>
      <c r="J482" s="231"/>
      <c r="K482" s="231"/>
      <c r="L482" s="232"/>
      <c r="R482" s="230"/>
      <c r="S482" s="233"/>
      <c r="T482" s="233"/>
      <c r="U482" s="234"/>
    </row>
    <row r="483" spans="1:21" ht="15.75" customHeight="1">
      <c r="A483" s="259">
        <v>463</v>
      </c>
      <c r="B483" s="259">
        <v>3000</v>
      </c>
      <c r="C483" s="367"/>
      <c r="D483" s="260"/>
      <c r="E483" s="304" t="s">
        <v>2604</v>
      </c>
      <c r="F483" s="402"/>
      <c r="G483" s="231"/>
      <c r="H483" s="231"/>
      <c r="I483" s="231"/>
      <c r="J483" s="231"/>
      <c r="K483" s="231"/>
      <c r="L483" s="232"/>
      <c r="R483" s="230"/>
      <c r="S483" s="233"/>
      <c r="T483" s="233"/>
      <c r="U483" s="234"/>
    </row>
    <row r="484" spans="1:21" ht="15.75" customHeight="1">
      <c r="A484" s="259">
        <v>464</v>
      </c>
      <c r="B484" s="259">
        <v>3000</v>
      </c>
      <c r="C484" s="367"/>
      <c r="D484" s="260"/>
      <c r="E484" s="304" t="s">
        <v>2605</v>
      </c>
      <c r="F484" s="402"/>
      <c r="G484" s="231"/>
      <c r="H484" s="231"/>
      <c r="I484" s="231"/>
      <c r="J484" s="231"/>
      <c r="K484" s="231"/>
      <c r="L484" s="232"/>
      <c r="R484" s="230"/>
      <c r="S484" s="233"/>
      <c r="T484" s="233"/>
      <c r="U484" s="234"/>
    </row>
    <row r="485" spans="1:21" ht="15.75" customHeight="1">
      <c r="A485" s="259">
        <v>465</v>
      </c>
      <c r="B485" s="259">
        <v>3000</v>
      </c>
      <c r="C485" s="367"/>
      <c r="D485" s="260"/>
      <c r="E485" s="304" t="s">
        <v>2606</v>
      </c>
      <c r="F485" s="402"/>
      <c r="G485" s="231"/>
      <c r="H485" s="231"/>
      <c r="I485" s="231"/>
      <c r="J485" s="231"/>
      <c r="K485" s="231"/>
      <c r="L485" s="232"/>
      <c r="R485" s="230"/>
      <c r="S485" s="233"/>
      <c r="T485" s="233"/>
      <c r="U485" s="234"/>
    </row>
    <row r="486" spans="1:21" ht="15.75" customHeight="1">
      <c r="A486" s="259">
        <v>466</v>
      </c>
      <c r="B486" s="259">
        <v>3000</v>
      </c>
      <c r="C486" s="367"/>
      <c r="D486" s="260"/>
      <c r="E486" s="304" t="s">
        <v>2607</v>
      </c>
      <c r="F486" s="402"/>
      <c r="G486" s="231"/>
      <c r="H486" s="231"/>
      <c r="I486" s="231"/>
      <c r="J486" s="231"/>
      <c r="K486" s="231"/>
      <c r="L486" s="232"/>
      <c r="R486" s="230"/>
      <c r="S486" s="233"/>
      <c r="T486" s="233"/>
      <c r="U486" s="234"/>
    </row>
    <row r="487" spans="1:21" ht="15.75" customHeight="1">
      <c r="A487" s="259">
        <v>467</v>
      </c>
      <c r="B487" s="259">
        <v>3000</v>
      </c>
      <c r="C487" s="367"/>
      <c r="D487" s="260"/>
      <c r="E487" s="304" t="s">
        <v>2608</v>
      </c>
      <c r="F487" s="402"/>
      <c r="G487" s="231"/>
      <c r="H487" s="231"/>
      <c r="I487" s="231"/>
      <c r="J487" s="231"/>
      <c r="K487" s="231"/>
      <c r="L487" s="232"/>
      <c r="R487" s="230"/>
      <c r="S487" s="233"/>
      <c r="T487" s="233"/>
      <c r="U487" s="234"/>
    </row>
    <row r="488" spans="1:21" ht="15.75" customHeight="1">
      <c r="A488" s="259">
        <v>468</v>
      </c>
      <c r="B488" s="259">
        <v>3000</v>
      </c>
      <c r="C488" s="367"/>
      <c r="D488" s="260"/>
      <c r="E488" s="304" t="s">
        <v>2609</v>
      </c>
      <c r="F488" s="402"/>
      <c r="G488" s="231"/>
      <c r="H488" s="231"/>
      <c r="I488" s="231"/>
      <c r="J488" s="231"/>
      <c r="K488" s="231"/>
      <c r="L488" s="232"/>
      <c r="R488" s="230"/>
      <c r="S488" s="233"/>
      <c r="T488" s="233"/>
      <c r="U488" s="234"/>
    </row>
    <row r="489" spans="1:21" ht="15.75" customHeight="1">
      <c r="A489" s="259">
        <v>469</v>
      </c>
      <c r="B489" s="259">
        <v>3000</v>
      </c>
      <c r="C489" s="367"/>
      <c r="D489" s="260"/>
      <c r="E489" s="304" t="s">
        <v>2610</v>
      </c>
      <c r="F489" s="402"/>
      <c r="G489" s="231"/>
      <c r="H489" s="231"/>
      <c r="I489" s="231"/>
      <c r="J489" s="231"/>
      <c r="K489" s="231"/>
      <c r="L489" s="232"/>
      <c r="R489" s="230"/>
      <c r="S489" s="233"/>
      <c r="T489" s="233"/>
      <c r="U489" s="234"/>
    </row>
    <row r="490" spans="1:21" ht="15.75" customHeight="1">
      <c r="A490" s="259">
        <v>470</v>
      </c>
      <c r="B490" s="259">
        <v>3000</v>
      </c>
      <c r="C490" s="367"/>
      <c r="D490" s="260"/>
      <c r="E490" s="304" t="s">
        <v>2611</v>
      </c>
      <c r="F490" s="402"/>
      <c r="G490" s="231"/>
      <c r="H490" s="231"/>
      <c r="I490" s="231"/>
      <c r="J490" s="231"/>
      <c r="K490" s="231"/>
      <c r="L490" s="232"/>
      <c r="R490" s="230"/>
      <c r="S490" s="233"/>
      <c r="T490" s="233"/>
      <c r="U490" s="234"/>
    </row>
    <row r="491" spans="1:21" ht="15.75" customHeight="1">
      <c r="A491" s="259">
        <v>471</v>
      </c>
      <c r="B491" s="259">
        <v>3000</v>
      </c>
      <c r="C491" s="367"/>
      <c r="D491" s="260"/>
      <c r="E491" s="304" t="s">
        <v>2612</v>
      </c>
      <c r="F491" s="402"/>
      <c r="G491" s="231"/>
      <c r="H491" s="231"/>
      <c r="I491" s="231"/>
      <c r="J491" s="231"/>
      <c r="K491" s="231"/>
      <c r="L491" s="232"/>
      <c r="R491" s="230"/>
      <c r="S491" s="233"/>
      <c r="T491" s="233"/>
      <c r="U491" s="234"/>
    </row>
    <row r="492" spans="1:21" ht="15.75" customHeight="1">
      <c r="A492" s="259">
        <v>472</v>
      </c>
      <c r="B492" s="259">
        <v>3000</v>
      </c>
      <c r="C492" s="367"/>
      <c r="D492" s="260"/>
      <c r="E492" s="304" t="s">
        <v>2613</v>
      </c>
      <c r="F492" s="402"/>
      <c r="G492" s="231"/>
      <c r="H492" s="231"/>
      <c r="I492" s="231"/>
      <c r="J492" s="231"/>
      <c r="K492" s="231"/>
      <c r="L492" s="232"/>
      <c r="R492" s="230"/>
      <c r="S492" s="233"/>
      <c r="T492" s="233"/>
      <c r="U492" s="234"/>
    </row>
    <row r="493" spans="1:21" ht="15.75" customHeight="1">
      <c r="A493" s="259">
        <v>473</v>
      </c>
      <c r="B493" s="259">
        <v>3000</v>
      </c>
      <c r="C493" s="367"/>
      <c r="D493" s="260"/>
      <c r="E493" s="304" t="s">
        <v>2614</v>
      </c>
      <c r="F493" s="402"/>
      <c r="G493" s="231"/>
      <c r="H493" s="231"/>
      <c r="I493" s="231"/>
      <c r="J493" s="231"/>
      <c r="K493" s="231"/>
      <c r="L493" s="232"/>
      <c r="R493" s="230"/>
      <c r="S493" s="233"/>
      <c r="T493" s="233"/>
      <c r="U493" s="234"/>
    </row>
    <row r="494" spans="1:21" ht="15.75" customHeight="1">
      <c r="A494" s="259">
        <v>474</v>
      </c>
      <c r="B494" s="259">
        <v>3000</v>
      </c>
      <c r="C494" s="367"/>
      <c r="D494" s="260"/>
      <c r="E494" s="304" t="s">
        <v>2615</v>
      </c>
      <c r="F494" s="402"/>
      <c r="G494" s="231"/>
      <c r="H494" s="231"/>
      <c r="I494" s="231"/>
      <c r="J494" s="231"/>
      <c r="K494" s="231"/>
      <c r="L494" s="232"/>
      <c r="R494" s="230"/>
      <c r="S494" s="233"/>
      <c r="T494" s="233"/>
      <c r="U494" s="234"/>
    </row>
    <row r="495" spans="1:21" ht="15.75" customHeight="1">
      <c r="A495" s="259">
        <v>475</v>
      </c>
      <c r="B495" s="259">
        <v>3000</v>
      </c>
      <c r="C495" s="367"/>
      <c r="D495" s="260"/>
      <c r="E495" s="304" t="s">
        <v>2616</v>
      </c>
      <c r="F495" s="403"/>
      <c r="G495" s="231"/>
      <c r="H495" s="231"/>
      <c r="I495" s="231"/>
      <c r="J495" s="231"/>
      <c r="K495" s="231"/>
      <c r="L495" s="232"/>
      <c r="R495" s="230"/>
      <c r="S495" s="233"/>
      <c r="T495" s="233"/>
      <c r="U495" s="234"/>
    </row>
    <row r="496" spans="1:21" ht="15.75" customHeight="1">
      <c r="A496" s="259">
        <v>476</v>
      </c>
      <c r="B496" s="259">
        <v>3000</v>
      </c>
      <c r="C496" s="301" t="s">
        <v>2526</v>
      </c>
      <c r="D496" s="260"/>
      <c r="E496" s="302" t="s">
        <v>1122</v>
      </c>
      <c r="F496" s="259">
        <v>3004</v>
      </c>
      <c r="G496" s="231"/>
      <c r="H496" s="231"/>
      <c r="I496" s="231"/>
      <c r="J496" s="231"/>
      <c r="K496" s="231"/>
      <c r="L496" s="232"/>
      <c r="R496" s="230"/>
      <c r="S496" s="233"/>
      <c r="T496" s="233"/>
      <c r="U496" s="234"/>
    </row>
    <row r="497" spans="1:21" ht="15.75" customHeight="1">
      <c r="A497" s="259">
        <v>477</v>
      </c>
      <c r="B497" s="259">
        <v>3000</v>
      </c>
      <c r="C497" s="370" t="s">
        <v>2660</v>
      </c>
      <c r="D497" s="260"/>
      <c r="E497" s="303" t="s">
        <v>1143</v>
      </c>
      <c r="F497" s="259"/>
      <c r="G497" s="231"/>
      <c r="H497" s="231"/>
      <c r="I497" s="231"/>
      <c r="J497" s="231"/>
      <c r="K497" s="231"/>
      <c r="L497" s="232"/>
      <c r="R497" s="230"/>
      <c r="S497" s="233"/>
      <c r="T497" s="233"/>
      <c r="U497" s="234"/>
    </row>
    <row r="498" spans="1:21" ht="15.75" customHeight="1">
      <c r="A498" s="259">
        <v>478</v>
      </c>
      <c r="B498" s="259">
        <v>3000</v>
      </c>
      <c r="C498" s="367"/>
      <c r="D498" s="260"/>
      <c r="E498" s="303" t="s">
        <v>1147</v>
      </c>
      <c r="F498" s="259"/>
      <c r="G498" s="231"/>
      <c r="H498" s="231"/>
      <c r="I498" s="231"/>
      <c r="J498" s="231"/>
      <c r="K498" s="231"/>
      <c r="L498" s="232"/>
      <c r="R498" s="230"/>
      <c r="S498" s="233"/>
      <c r="T498" s="233"/>
      <c r="U498" s="234"/>
    </row>
    <row r="499" spans="1:21" ht="15.75" customHeight="1">
      <c r="A499" s="259">
        <v>479</v>
      </c>
      <c r="B499" s="259">
        <v>3000</v>
      </c>
      <c r="C499" s="367"/>
      <c r="D499" s="260"/>
      <c r="E499" s="303" t="s">
        <v>1151</v>
      </c>
      <c r="F499" s="259"/>
      <c r="G499" s="231"/>
      <c r="H499" s="231"/>
      <c r="I499" s="231"/>
      <c r="J499" s="231"/>
      <c r="K499" s="231"/>
      <c r="L499" s="232"/>
      <c r="R499" s="230"/>
      <c r="S499" s="233"/>
      <c r="T499" s="233"/>
      <c r="U499" s="234"/>
    </row>
    <row r="500" spans="1:21" ht="15.75" customHeight="1">
      <c r="A500" s="259">
        <v>480</v>
      </c>
      <c r="B500" s="259">
        <v>3000</v>
      </c>
      <c r="C500" s="367"/>
      <c r="D500" s="260"/>
      <c r="E500" s="303" t="s">
        <v>1280</v>
      </c>
      <c r="F500" s="259"/>
      <c r="G500" s="231"/>
      <c r="H500" s="231"/>
      <c r="I500" s="231"/>
      <c r="J500" s="231"/>
      <c r="K500" s="231"/>
      <c r="L500" s="232"/>
      <c r="R500" s="230"/>
      <c r="S500" s="233"/>
      <c r="T500" s="233"/>
      <c r="U500" s="234"/>
    </row>
    <row r="501" spans="1:21" ht="15.75" customHeight="1">
      <c r="A501" s="259">
        <v>481</v>
      </c>
      <c r="B501" s="259">
        <v>3000</v>
      </c>
      <c r="C501" s="367"/>
      <c r="D501" s="260"/>
      <c r="E501" s="303" t="s">
        <v>1285</v>
      </c>
      <c r="F501" s="259"/>
      <c r="G501" s="231"/>
      <c r="H501" s="231"/>
      <c r="I501" s="231"/>
      <c r="J501" s="231"/>
      <c r="K501" s="231"/>
      <c r="L501" s="232"/>
      <c r="R501" s="230"/>
      <c r="S501" s="233"/>
      <c r="T501" s="233"/>
      <c r="U501" s="234"/>
    </row>
    <row r="502" spans="1:21" ht="15.75" customHeight="1">
      <c r="A502" s="259">
        <v>482</v>
      </c>
      <c r="B502" s="259">
        <v>3000</v>
      </c>
      <c r="C502" s="367"/>
      <c r="D502" s="260"/>
      <c r="E502" s="303" t="s">
        <v>1290</v>
      </c>
      <c r="F502" s="259"/>
      <c r="G502" s="231"/>
      <c r="H502" s="231"/>
      <c r="I502" s="231"/>
      <c r="J502" s="231"/>
      <c r="K502" s="231"/>
      <c r="L502" s="232"/>
      <c r="R502" s="230"/>
      <c r="S502" s="233"/>
      <c r="T502" s="233"/>
      <c r="U502" s="234"/>
    </row>
    <row r="503" spans="1:21" ht="15.75" customHeight="1">
      <c r="A503" s="259">
        <v>483</v>
      </c>
      <c r="B503" s="259">
        <v>3000</v>
      </c>
      <c r="C503" s="367"/>
      <c r="D503" s="260"/>
      <c r="E503" s="303" t="s">
        <v>1295</v>
      </c>
      <c r="F503" s="259"/>
      <c r="G503" s="231"/>
      <c r="H503" s="231"/>
      <c r="I503" s="231"/>
      <c r="J503" s="231"/>
      <c r="K503" s="231"/>
      <c r="L503" s="232"/>
      <c r="R503" s="230"/>
      <c r="S503" s="233"/>
      <c r="T503" s="233"/>
      <c r="U503" s="234"/>
    </row>
    <row r="504" spans="1:21" ht="15.75" customHeight="1">
      <c r="A504" s="259">
        <v>484</v>
      </c>
      <c r="B504" s="259">
        <v>3000</v>
      </c>
      <c r="C504" s="367"/>
      <c r="D504" s="260"/>
      <c r="E504" s="303" t="s">
        <v>1300</v>
      </c>
      <c r="F504" s="259"/>
      <c r="G504" s="231"/>
      <c r="H504" s="231"/>
      <c r="I504" s="231"/>
      <c r="J504" s="231"/>
      <c r="K504" s="231"/>
      <c r="L504" s="232"/>
      <c r="R504" s="230"/>
      <c r="S504" s="233"/>
      <c r="T504" s="233"/>
      <c r="U504" s="234"/>
    </row>
    <row r="505" spans="1:21" ht="15.75" customHeight="1">
      <c r="A505" s="259">
        <v>485</v>
      </c>
      <c r="B505" s="259">
        <v>3000</v>
      </c>
      <c r="C505" s="367"/>
      <c r="D505" s="260"/>
      <c r="E505" s="303" t="s">
        <v>1305</v>
      </c>
      <c r="F505" s="259"/>
      <c r="G505" s="231"/>
      <c r="H505" s="231"/>
      <c r="I505" s="231"/>
      <c r="J505" s="231"/>
      <c r="K505" s="231"/>
      <c r="L505" s="232"/>
      <c r="R505" s="230"/>
      <c r="S505" s="233"/>
      <c r="T505" s="233"/>
      <c r="U505" s="234"/>
    </row>
    <row r="506" spans="1:21" ht="15.75" customHeight="1">
      <c r="A506" s="259">
        <v>486</v>
      </c>
      <c r="B506" s="259">
        <v>3000</v>
      </c>
      <c r="C506" s="367"/>
      <c r="D506" s="260"/>
      <c r="E506" s="303" t="s">
        <v>1309</v>
      </c>
      <c r="F506" s="259"/>
      <c r="G506" s="231"/>
      <c r="H506" s="231"/>
      <c r="I506" s="231"/>
      <c r="J506" s="231"/>
      <c r="K506" s="231"/>
      <c r="L506" s="232"/>
      <c r="R506" s="230"/>
      <c r="S506" s="233"/>
      <c r="T506" s="233"/>
      <c r="U506" s="234"/>
    </row>
    <row r="507" spans="1:21" ht="15.75" customHeight="1">
      <c r="A507" s="259">
        <v>487</v>
      </c>
      <c r="B507" s="259">
        <v>3000</v>
      </c>
      <c r="C507" s="367"/>
      <c r="D507" s="260"/>
      <c r="E507" s="303" t="s">
        <v>1313</v>
      </c>
      <c r="F507" s="259"/>
      <c r="G507" s="231"/>
      <c r="H507" s="231"/>
      <c r="I507" s="231"/>
      <c r="J507" s="231"/>
      <c r="K507" s="231"/>
      <c r="L507" s="232"/>
      <c r="R507" s="230"/>
      <c r="S507" s="233"/>
      <c r="T507" s="233"/>
      <c r="U507" s="234"/>
    </row>
    <row r="508" spans="1:21" ht="15.75" customHeight="1">
      <c r="A508" s="259">
        <v>488</v>
      </c>
      <c r="B508" s="259">
        <v>3000</v>
      </c>
      <c r="C508" s="367"/>
      <c r="D508" s="260"/>
      <c r="E508" s="303" t="s">
        <v>1317</v>
      </c>
      <c r="F508" s="259"/>
      <c r="G508" s="231"/>
      <c r="H508" s="231"/>
      <c r="I508" s="231"/>
      <c r="J508" s="231"/>
      <c r="K508" s="231"/>
      <c r="L508" s="232"/>
      <c r="R508" s="230"/>
      <c r="S508" s="233"/>
      <c r="T508" s="233"/>
      <c r="U508" s="234"/>
    </row>
    <row r="509" spans="1:21" ht="15.75" customHeight="1">
      <c r="A509" s="259">
        <v>489</v>
      </c>
      <c r="B509" s="259">
        <v>3000</v>
      </c>
      <c r="C509" s="367"/>
      <c r="D509" s="260"/>
      <c r="E509" s="303" t="s">
        <v>1321</v>
      </c>
      <c r="F509" s="259"/>
      <c r="G509" s="231"/>
      <c r="H509" s="231"/>
      <c r="I509" s="231"/>
      <c r="J509" s="231"/>
      <c r="K509" s="231"/>
      <c r="L509" s="232"/>
      <c r="R509" s="230"/>
      <c r="S509" s="233"/>
      <c r="T509" s="233"/>
      <c r="U509" s="234"/>
    </row>
    <row r="510" spans="1:21" ht="15.75" customHeight="1">
      <c r="A510" s="259">
        <v>490</v>
      </c>
      <c r="B510" s="259">
        <v>3000</v>
      </c>
      <c r="C510" s="367"/>
      <c r="D510" s="260"/>
      <c r="E510" s="304" t="s">
        <v>1325</v>
      </c>
      <c r="F510" s="401">
        <v>3010</v>
      </c>
      <c r="G510" s="231"/>
      <c r="H510" s="231"/>
      <c r="I510" s="231"/>
      <c r="J510" s="231"/>
      <c r="K510" s="231"/>
      <c r="L510" s="232"/>
      <c r="R510" s="230"/>
      <c r="S510" s="233"/>
      <c r="T510" s="233"/>
      <c r="U510" s="234"/>
    </row>
    <row r="511" spans="1:21" ht="15.75" customHeight="1">
      <c r="A511" s="259">
        <v>491</v>
      </c>
      <c r="B511" s="259">
        <v>3000</v>
      </c>
      <c r="C511" s="367"/>
      <c r="D511" s="260"/>
      <c r="E511" s="304" t="s">
        <v>1329</v>
      </c>
      <c r="F511" s="402"/>
      <c r="G511" s="231"/>
      <c r="H511" s="231"/>
      <c r="I511" s="231"/>
      <c r="J511" s="231"/>
      <c r="K511" s="231"/>
      <c r="L511" s="232"/>
      <c r="R511" s="230"/>
      <c r="S511" s="233"/>
      <c r="T511" s="233"/>
      <c r="U511" s="234"/>
    </row>
    <row r="512" spans="1:21" ht="15.75" customHeight="1">
      <c r="A512" s="259">
        <v>492</v>
      </c>
      <c r="B512" s="259">
        <v>3000</v>
      </c>
      <c r="C512" s="367"/>
      <c r="D512" s="260"/>
      <c r="E512" s="304" t="s">
        <v>1333</v>
      </c>
      <c r="F512" s="402"/>
      <c r="G512" s="231"/>
      <c r="H512" s="231"/>
      <c r="I512" s="231"/>
      <c r="J512" s="231"/>
      <c r="K512" s="231"/>
      <c r="L512" s="232"/>
      <c r="R512" s="230"/>
      <c r="S512" s="233"/>
      <c r="T512" s="233"/>
      <c r="U512" s="234"/>
    </row>
    <row r="513" spans="1:21" ht="15.75" customHeight="1">
      <c r="A513" s="259">
        <v>493</v>
      </c>
      <c r="B513" s="259">
        <v>3000</v>
      </c>
      <c r="C513" s="367"/>
      <c r="D513" s="260"/>
      <c r="E513" s="304" t="s">
        <v>1337</v>
      </c>
      <c r="F513" s="402"/>
      <c r="G513" s="231"/>
      <c r="H513" s="231"/>
      <c r="I513" s="231"/>
      <c r="J513" s="231"/>
      <c r="K513" s="231"/>
      <c r="L513" s="232"/>
      <c r="R513" s="230"/>
      <c r="S513" s="233"/>
      <c r="T513" s="233"/>
      <c r="U513" s="234"/>
    </row>
    <row r="514" spans="1:21" ht="15.75" customHeight="1">
      <c r="A514" s="259">
        <v>494</v>
      </c>
      <c r="B514" s="259">
        <v>3000</v>
      </c>
      <c r="C514" s="367"/>
      <c r="D514" s="260"/>
      <c r="E514" s="304" t="s">
        <v>1341</v>
      </c>
      <c r="F514" s="402"/>
      <c r="G514" s="231"/>
      <c r="H514" s="231"/>
      <c r="I514" s="231"/>
      <c r="J514" s="231"/>
      <c r="K514" s="231"/>
      <c r="L514" s="232"/>
      <c r="R514" s="230"/>
      <c r="S514" s="233"/>
      <c r="T514" s="233"/>
      <c r="U514" s="234"/>
    </row>
    <row r="515" spans="1:21" ht="15.75" customHeight="1">
      <c r="A515" s="259">
        <v>495</v>
      </c>
      <c r="B515" s="259">
        <v>3000</v>
      </c>
      <c r="C515" s="367"/>
      <c r="D515" s="260"/>
      <c r="E515" s="304" t="s">
        <v>1345</v>
      </c>
      <c r="F515" s="402"/>
      <c r="G515" s="231"/>
      <c r="H515" s="231"/>
      <c r="I515" s="231"/>
      <c r="J515" s="231"/>
      <c r="K515" s="231"/>
      <c r="L515" s="232"/>
      <c r="R515" s="230"/>
      <c r="S515" s="233"/>
      <c r="T515" s="233"/>
      <c r="U515" s="234"/>
    </row>
    <row r="516" spans="1:21" ht="15.75" customHeight="1">
      <c r="A516" s="259">
        <v>496</v>
      </c>
      <c r="B516" s="259">
        <v>3000</v>
      </c>
      <c r="C516" s="367"/>
      <c r="D516" s="260"/>
      <c r="E516" s="304" t="s">
        <v>1349</v>
      </c>
      <c r="F516" s="403"/>
      <c r="G516" s="231"/>
      <c r="H516" s="231"/>
      <c r="I516" s="231"/>
      <c r="J516" s="231"/>
      <c r="K516" s="231"/>
      <c r="L516" s="232"/>
      <c r="R516" s="230"/>
      <c r="S516" s="233"/>
      <c r="T516" s="233"/>
      <c r="U516" s="234"/>
    </row>
    <row r="517" spans="1:21" ht="15.75" customHeight="1">
      <c r="A517" s="259">
        <v>497</v>
      </c>
      <c r="B517" s="259">
        <v>3000</v>
      </c>
      <c r="C517" s="259" t="s">
        <v>1984</v>
      </c>
      <c r="D517" s="260"/>
      <c r="E517" s="302" t="s">
        <v>1155</v>
      </c>
      <c r="F517" s="259"/>
      <c r="G517" s="231"/>
      <c r="H517" s="231"/>
      <c r="I517" s="231"/>
      <c r="J517" s="231"/>
      <c r="K517" s="231"/>
      <c r="L517" s="232"/>
      <c r="R517" s="230"/>
      <c r="S517" s="233"/>
      <c r="T517" s="233"/>
      <c r="U517" s="234"/>
    </row>
    <row r="518" spans="1:21" ht="15.75" customHeight="1">
      <c r="A518" s="259">
        <v>498</v>
      </c>
      <c r="B518" s="259">
        <v>3000</v>
      </c>
      <c r="C518" s="377" t="s">
        <v>2661</v>
      </c>
      <c r="D518" s="260"/>
      <c r="E518" s="304" t="s">
        <v>1513</v>
      </c>
      <c r="F518" s="401">
        <v>3022</v>
      </c>
      <c r="G518" s="231"/>
      <c r="H518" s="231"/>
      <c r="I518" s="231"/>
      <c r="J518" s="231"/>
      <c r="K518" s="231"/>
      <c r="L518" s="232"/>
      <c r="R518" s="230"/>
      <c r="S518" s="233"/>
      <c r="T518" s="233"/>
      <c r="U518" s="234"/>
    </row>
    <row r="519" spans="1:21" ht="15.75" customHeight="1">
      <c r="A519" s="259">
        <v>499</v>
      </c>
      <c r="B519" s="259">
        <v>3000</v>
      </c>
      <c r="C519" s="377"/>
      <c r="D519" s="260"/>
      <c r="E519" s="304" t="s">
        <v>1516</v>
      </c>
      <c r="F519" s="403"/>
      <c r="G519" s="231"/>
      <c r="H519" s="231"/>
      <c r="I519" s="231"/>
      <c r="J519" s="231"/>
      <c r="K519" s="231"/>
      <c r="L519" s="232"/>
      <c r="R519" s="230"/>
      <c r="S519" s="233"/>
      <c r="T519" s="233"/>
      <c r="U519" s="234"/>
    </row>
    <row r="520" spans="1:21" ht="15.75" customHeight="1">
      <c r="A520" s="259">
        <v>500</v>
      </c>
      <c r="B520" s="259">
        <v>3000</v>
      </c>
      <c r="C520" s="370" t="s">
        <v>2662</v>
      </c>
      <c r="D520" s="260"/>
      <c r="E520" s="306" t="s">
        <v>1159</v>
      </c>
      <c r="F520" s="401">
        <v>3012</v>
      </c>
      <c r="G520" s="231"/>
      <c r="H520" s="231"/>
      <c r="I520" s="231"/>
      <c r="J520" s="231"/>
      <c r="K520" s="231"/>
      <c r="L520" s="232"/>
      <c r="R520" s="230"/>
      <c r="S520" s="233"/>
      <c r="T520" s="233"/>
      <c r="U520" s="234"/>
    </row>
    <row r="521" spans="1:21" ht="15.75" customHeight="1">
      <c r="A521" s="259">
        <v>501</v>
      </c>
      <c r="B521" s="259">
        <v>3000</v>
      </c>
      <c r="C521" s="370"/>
      <c r="D521" s="260"/>
      <c r="E521" s="306" t="s">
        <v>1163</v>
      </c>
      <c r="F521" s="402"/>
      <c r="G521" s="231"/>
      <c r="H521" s="231"/>
      <c r="I521" s="231"/>
      <c r="J521" s="231"/>
      <c r="K521" s="231"/>
      <c r="L521" s="232"/>
      <c r="R521" s="230"/>
      <c r="S521" s="233"/>
      <c r="T521" s="233"/>
      <c r="U521" s="234"/>
    </row>
    <row r="522" spans="1:21" ht="15.75" customHeight="1">
      <c r="A522" s="259">
        <v>502</v>
      </c>
      <c r="B522" s="259">
        <v>3000</v>
      </c>
      <c r="C522" s="370"/>
      <c r="D522" s="260"/>
      <c r="E522" s="306" t="s">
        <v>1167</v>
      </c>
      <c r="F522" s="402"/>
      <c r="G522" s="231"/>
      <c r="H522" s="231"/>
      <c r="I522" s="231"/>
      <c r="J522" s="231"/>
      <c r="K522" s="231"/>
      <c r="L522" s="232"/>
      <c r="R522" s="230"/>
      <c r="S522" s="233"/>
      <c r="T522" s="233"/>
      <c r="U522" s="234"/>
    </row>
    <row r="523" spans="1:21" ht="15.75" customHeight="1">
      <c r="A523" s="259">
        <v>503</v>
      </c>
      <c r="B523" s="259">
        <v>3000</v>
      </c>
      <c r="C523" s="370"/>
      <c r="D523" s="260"/>
      <c r="E523" s="306" t="s">
        <v>1173</v>
      </c>
      <c r="F523" s="402"/>
      <c r="G523" s="231"/>
      <c r="H523" s="231"/>
      <c r="I523" s="231"/>
      <c r="J523" s="231"/>
      <c r="K523" s="231"/>
      <c r="L523" s="232"/>
      <c r="R523" s="230"/>
      <c r="S523" s="233"/>
      <c r="T523" s="233"/>
      <c r="U523" s="234"/>
    </row>
    <row r="524" spans="1:21" ht="15.75" customHeight="1">
      <c r="A524" s="259">
        <v>504</v>
      </c>
      <c r="B524" s="259">
        <v>3000</v>
      </c>
      <c r="C524" s="370"/>
      <c r="D524" s="260"/>
      <c r="E524" s="306" t="s">
        <v>1178</v>
      </c>
      <c r="F524" s="402"/>
      <c r="G524" s="231"/>
      <c r="H524" s="231"/>
      <c r="I524" s="231"/>
      <c r="J524" s="231"/>
      <c r="K524" s="231"/>
      <c r="L524" s="232"/>
      <c r="R524" s="230"/>
      <c r="S524" s="233"/>
      <c r="T524" s="233"/>
      <c r="U524" s="234"/>
    </row>
    <row r="525" spans="1:21" ht="15.75" customHeight="1">
      <c r="A525" s="259">
        <v>505</v>
      </c>
      <c r="B525" s="259">
        <v>3000</v>
      </c>
      <c r="C525" s="370"/>
      <c r="D525" s="260"/>
      <c r="E525" s="306" t="s">
        <v>1182</v>
      </c>
      <c r="F525" s="402"/>
      <c r="G525" s="231"/>
      <c r="H525" s="231"/>
      <c r="I525" s="231"/>
      <c r="J525" s="231"/>
      <c r="K525" s="231"/>
      <c r="L525" s="232"/>
      <c r="R525" s="230"/>
      <c r="S525" s="233"/>
      <c r="T525" s="233"/>
      <c r="U525" s="234"/>
    </row>
    <row r="526" spans="1:21" ht="15.75" customHeight="1">
      <c r="A526" s="259">
        <v>506</v>
      </c>
      <c r="B526" s="259">
        <v>3000</v>
      </c>
      <c r="C526" s="370"/>
      <c r="D526" s="260"/>
      <c r="E526" s="306" t="s">
        <v>1186</v>
      </c>
      <c r="F526" s="402"/>
      <c r="G526" s="231"/>
      <c r="H526" s="231"/>
      <c r="I526" s="231"/>
      <c r="J526" s="231"/>
      <c r="K526" s="231"/>
      <c r="L526" s="232"/>
      <c r="R526" s="230"/>
      <c r="S526" s="233"/>
      <c r="T526" s="233"/>
      <c r="U526" s="234"/>
    </row>
    <row r="527" spans="1:21" ht="15.75" customHeight="1">
      <c r="A527" s="259">
        <v>507</v>
      </c>
      <c r="B527" s="259">
        <v>3000</v>
      </c>
      <c r="C527" s="370"/>
      <c r="D527" s="260"/>
      <c r="E527" s="306" t="s">
        <v>1190</v>
      </c>
      <c r="F527" s="402"/>
      <c r="G527" s="231"/>
      <c r="H527" s="231"/>
      <c r="I527" s="231"/>
      <c r="J527" s="231"/>
      <c r="K527" s="231"/>
      <c r="L527" s="232"/>
      <c r="R527" s="230"/>
      <c r="S527" s="233"/>
      <c r="T527" s="233"/>
      <c r="U527" s="234"/>
    </row>
    <row r="528" spans="1:21" ht="15.75" customHeight="1">
      <c r="A528" s="259">
        <v>508</v>
      </c>
      <c r="B528" s="259">
        <v>3000</v>
      </c>
      <c r="C528" s="370"/>
      <c r="D528" s="260"/>
      <c r="E528" s="306" t="s">
        <v>1194</v>
      </c>
      <c r="F528" s="402"/>
      <c r="G528" s="231"/>
      <c r="H528" s="231"/>
      <c r="I528" s="231"/>
      <c r="J528" s="231"/>
      <c r="K528" s="231"/>
      <c r="L528" s="232"/>
      <c r="R528" s="230"/>
      <c r="S528" s="233"/>
      <c r="T528" s="233"/>
      <c r="U528" s="234"/>
    </row>
    <row r="529" spans="1:21" ht="15.75" customHeight="1">
      <c r="A529" s="259">
        <v>509</v>
      </c>
      <c r="B529" s="259">
        <v>3000</v>
      </c>
      <c r="C529" s="370"/>
      <c r="D529" s="260"/>
      <c r="E529" s="306" t="s">
        <v>1198</v>
      </c>
      <c r="F529" s="402"/>
      <c r="G529" s="231"/>
      <c r="H529" s="231"/>
      <c r="I529" s="231"/>
      <c r="J529" s="231"/>
      <c r="K529" s="231"/>
      <c r="L529" s="232"/>
      <c r="R529" s="230"/>
      <c r="S529" s="233"/>
      <c r="T529" s="233"/>
      <c r="U529" s="234"/>
    </row>
    <row r="530" spans="1:21" ht="15.75" customHeight="1">
      <c r="A530" s="259">
        <v>510</v>
      </c>
      <c r="B530" s="259">
        <v>3000</v>
      </c>
      <c r="C530" s="370"/>
      <c r="D530" s="260"/>
      <c r="E530" s="306" t="s">
        <v>1202</v>
      </c>
      <c r="F530" s="402"/>
      <c r="G530" s="231"/>
      <c r="H530" s="231"/>
      <c r="I530" s="231"/>
      <c r="J530" s="231"/>
      <c r="K530" s="231"/>
      <c r="L530" s="232"/>
      <c r="R530" s="230"/>
      <c r="S530" s="233"/>
      <c r="T530" s="233"/>
      <c r="U530" s="234"/>
    </row>
    <row r="531" spans="1:21" ht="15.75" customHeight="1">
      <c r="A531" s="259">
        <v>511</v>
      </c>
      <c r="B531" s="259">
        <v>3000</v>
      </c>
      <c r="C531" s="370"/>
      <c r="D531" s="260"/>
      <c r="E531" s="306" t="s">
        <v>1205</v>
      </c>
      <c r="F531" s="402"/>
      <c r="G531" s="231"/>
      <c r="H531" s="231"/>
      <c r="I531" s="231"/>
      <c r="J531" s="231"/>
      <c r="K531" s="231"/>
      <c r="L531" s="232"/>
      <c r="R531" s="230"/>
      <c r="S531" s="233"/>
      <c r="T531" s="233"/>
      <c r="U531" s="234"/>
    </row>
    <row r="532" spans="1:21" ht="15.75" customHeight="1">
      <c r="A532" s="259">
        <v>512</v>
      </c>
      <c r="B532" s="259">
        <v>3000</v>
      </c>
      <c r="C532" s="370"/>
      <c r="D532" s="260"/>
      <c r="E532" s="306" t="s">
        <v>1208</v>
      </c>
      <c r="F532" s="402"/>
      <c r="G532" s="231"/>
      <c r="H532" s="231"/>
      <c r="I532" s="231"/>
      <c r="J532" s="231"/>
      <c r="K532" s="231"/>
      <c r="L532" s="232"/>
      <c r="R532" s="230"/>
      <c r="S532" s="233"/>
      <c r="T532" s="233"/>
      <c r="U532" s="234"/>
    </row>
    <row r="533" spans="1:21" ht="15.75" customHeight="1">
      <c r="A533" s="259">
        <v>513</v>
      </c>
      <c r="B533" s="259">
        <v>3000</v>
      </c>
      <c r="C533" s="370"/>
      <c r="D533" s="260"/>
      <c r="E533" s="306" t="s">
        <v>1211</v>
      </c>
      <c r="F533" s="402"/>
      <c r="G533" s="231"/>
      <c r="H533" s="231"/>
      <c r="I533" s="231"/>
      <c r="J533" s="231"/>
      <c r="K533" s="231"/>
      <c r="L533" s="232"/>
      <c r="R533" s="230"/>
      <c r="S533" s="233"/>
      <c r="T533" s="233"/>
      <c r="U533" s="234"/>
    </row>
    <row r="534" spans="1:21" ht="15.75" customHeight="1">
      <c r="A534" s="259">
        <v>514</v>
      </c>
      <c r="B534" s="259">
        <v>3000</v>
      </c>
      <c r="C534" s="370"/>
      <c r="D534" s="260"/>
      <c r="E534" s="306" t="s">
        <v>1214</v>
      </c>
      <c r="F534" s="402"/>
      <c r="G534" s="231"/>
      <c r="H534" s="231"/>
      <c r="I534" s="231"/>
      <c r="J534" s="231"/>
      <c r="K534" s="231"/>
      <c r="L534" s="232"/>
      <c r="R534" s="230"/>
      <c r="S534" s="233"/>
      <c r="T534" s="233"/>
      <c r="U534" s="234"/>
    </row>
    <row r="535" spans="1:21" ht="15.75" customHeight="1">
      <c r="A535" s="259">
        <v>515</v>
      </c>
      <c r="B535" s="259">
        <v>3000</v>
      </c>
      <c r="C535" s="370"/>
      <c r="D535" s="260"/>
      <c r="E535" s="306" t="s">
        <v>1217</v>
      </c>
      <c r="F535" s="402"/>
      <c r="G535" s="231"/>
      <c r="H535" s="231"/>
      <c r="I535" s="231"/>
      <c r="J535" s="231"/>
      <c r="K535" s="231"/>
      <c r="L535" s="232"/>
      <c r="R535" s="230"/>
      <c r="S535" s="233"/>
      <c r="T535" s="233"/>
      <c r="U535" s="234"/>
    </row>
    <row r="536" spans="1:21" ht="15.75" customHeight="1">
      <c r="A536" s="259">
        <v>516</v>
      </c>
      <c r="B536" s="259">
        <v>3000</v>
      </c>
      <c r="C536" s="370"/>
      <c r="D536" s="260"/>
      <c r="E536" s="306" t="s">
        <v>1220</v>
      </c>
      <c r="F536" s="402"/>
      <c r="G536" s="231"/>
      <c r="H536" s="231"/>
      <c r="I536" s="231"/>
      <c r="J536" s="231"/>
      <c r="K536" s="231"/>
      <c r="L536" s="232"/>
      <c r="R536" s="230"/>
      <c r="S536" s="233"/>
      <c r="T536" s="233"/>
      <c r="U536" s="234"/>
    </row>
    <row r="537" spans="1:21" ht="15.75" customHeight="1">
      <c r="A537" s="259">
        <v>517</v>
      </c>
      <c r="B537" s="259">
        <v>3000</v>
      </c>
      <c r="C537" s="370"/>
      <c r="D537" s="260"/>
      <c r="E537" s="306" t="s">
        <v>1224</v>
      </c>
      <c r="F537" s="402"/>
      <c r="G537" s="231"/>
      <c r="H537" s="231"/>
      <c r="I537" s="231"/>
      <c r="J537" s="231"/>
      <c r="K537" s="231"/>
      <c r="L537" s="232"/>
      <c r="R537" s="230"/>
      <c r="S537" s="233"/>
      <c r="T537" s="233"/>
      <c r="U537" s="234"/>
    </row>
    <row r="538" spans="1:21" ht="15.75" customHeight="1">
      <c r="A538" s="259">
        <v>518</v>
      </c>
      <c r="B538" s="259">
        <v>3000</v>
      </c>
      <c r="C538" s="370"/>
      <c r="D538" s="260"/>
      <c r="E538" s="306" t="s">
        <v>1228</v>
      </c>
      <c r="F538" s="402"/>
      <c r="G538" s="231"/>
      <c r="H538" s="231"/>
      <c r="I538" s="231"/>
      <c r="J538" s="231"/>
      <c r="K538" s="231"/>
      <c r="L538" s="232"/>
      <c r="R538" s="230"/>
      <c r="S538" s="233"/>
      <c r="T538" s="233"/>
      <c r="U538" s="234"/>
    </row>
    <row r="539" spans="1:21" ht="15.75" customHeight="1">
      <c r="A539" s="259">
        <v>519</v>
      </c>
      <c r="B539" s="259">
        <v>3000</v>
      </c>
      <c r="C539" s="370"/>
      <c r="D539" s="260"/>
      <c r="E539" s="306" t="s">
        <v>1232</v>
      </c>
      <c r="F539" s="403"/>
      <c r="G539" s="231"/>
      <c r="H539" s="231"/>
      <c r="I539" s="231"/>
      <c r="J539" s="231"/>
      <c r="K539" s="231"/>
      <c r="L539" s="232"/>
      <c r="R539" s="230"/>
      <c r="S539" s="233"/>
      <c r="T539" s="233"/>
      <c r="U539" s="234"/>
    </row>
    <row r="540" spans="1:21" ht="15.75" customHeight="1">
      <c r="A540" s="259">
        <v>520</v>
      </c>
      <c r="B540" s="259">
        <v>3000</v>
      </c>
      <c r="C540" s="375" t="s">
        <v>2663</v>
      </c>
      <c r="D540" s="260"/>
      <c r="E540" s="304" t="s">
        <v>1236</v>
      </c>
      <c r="F540" s="401">
        <v>3013</v>
      </c>
      <c r="G540" s="231"/>
      <c r="H540" s="231"/>
      <c r="I540" s="231"/>
      <c r="J540" s="231"/>
      <c r="K540" s="231"/>
      <c r="L540" s="232"/>
      <c r="R540" s="230"/>
      <c r="S540" s="233"/>
      <c r="T540" s="233"/>
      <c r="U540" s="234"/>
    </row>
    <row r="541" spans="1:21" ht="15.75" customHeight="1">
      <c r="A541" s="259">
        <v>521</v>
      </c>
      <c r="B541" s="259">
        <v>3000</v>
      </c>
      <c r="C541" s="376"/>
      <c r="D541" s="260"/>
      <c r="E541" s="304" t="s">
        <v>1240</v>
      </c>
      <c r="F541" s="402"/>
      <c r="G541" s="231"/>
      <c r="H541" s="231"/>
      <c r="I541" s="231"/>
      <c r="J541" s="231"/>
      <c r="K541" s="231"/>
      <c r="L541" s="232"/>
      <c r="R541" s="230"/>
      <c r="S541" s="233"/>
      <c r="T541" s="233"/>
      <c r="U541" s="234"/>
    </row>
    <row r="542" spans="1:21" ht="15.75" customHeight="1">
      <c r="A542" s="259">
        <v>522</v>
      </c>
      <c r="B542" s="259">
        <v>3000</v>
      </c>
      <c r="C542" s="376"/>
      <c r="D542" s="260"/>
      <c r="E542" s="304" t="s">
        <v>1244</v>
      </c>
      <c r="F542" s="403"/>
      <c r="G542" s="231"/>
      <c r="H542" s="231"/>
      <c r="I542" s="231"/>
      <c r="J542" s="231"/>
      <c r="K542" s="231"/>
      <c r="L542" s="232"/>
      <c r="R542" s="230"/>
      <c r="S542" s="233"/>
      <c r="T542" s="233"/>
      <c r="U542" s="234"/>
    </row>
    <row r="543" spans="1:21" ht="15.75" customHeight="1">
      <c r="A543" s="259">
        <v>523</v>
      </c>
      <c r="B543" s="259">
        <v>3000</v>
      </c>
      <c r="C543" s="398" t="s">
        <v>2665</v>
      </c>
      <c r="D543" s="260"/>
      <c r="E543" s="304" t="s">
        <v>1814</v>
      </c>
      <c r="F543" s="401">
        <v>3014</v>
      </c>
      <c r="G543" s="231"/>
      <c r="H543" s="397" t="s">
        <v>2664</v>
      </c>
      <c r="I543" s="231"/>
      <c r="J543" s="231"/>
      <c r="K543" s="231"/>
      <c r="L543" s="232"/>
      <c r="R543" s="230"/>
      <c r="S543" s="233"/>
      <c r="T543" s="233"/>
      <c r="U543" s="234"/>
    </row>
    <row r="544" spans="1:21" ht="15.75" customHeight="1">
      <c r="A544" s="259">
        <v>524</v>
      </c>
      <c r="B544" s="259">
        <v>3000</v>
      </c>
      <c r="C544" s="399"/>
      <c r="D544" s="260"/>
      <c r="E544" s="304" t="s">
        <v>1275</v>
      </c>
      <c r="F544" s="402"/>
      <c r="G544" s="231"/>
      <c r="H544" s="397"/>
      <c r="I544" s="231"/>
      <c r="J544" s="231"/>
      <c r="K544" s="231"/>
      <c r="L544" s="232"/>
      <c r="R544" s="230"/>
      <c r="S544" s="233"/>
      <c r="T544" s="233"/>
      <c r="U544" s="234"/>
    </row>
    <row r="545" spans="1:21" ht="15.75" customHeight="1">
      <c r="A545" s="259">
        <v>525</v>
      </c>
      <c r="B545" s="259">
        <v>3000</v>
      </c>
      <c r="C545" s="399"/>
      <c r="D545" s="260"/>
      <c r="E545" s="304" t="s">
        <v>2617</v>
      </c>
      <c r="F545" s="402"/>
      <c r="G545" s="231"/>
      <c r="H545" s="397"/>
      <c r="I545" s="231"/>
      <c r="J545" s="231"/>
      <c r="K545" s="231"/>
      <c r="L545" s="232"/>
      <c r="R545" s="230"/>
      <c r="S545" s="233"/>
      <c r="T545" s="233"/>
      <c r="U545" s="234"/>
    </row>
    <row r="546" spans="1:21" ht="15.75" customHeight="1">
      <c r="A546" s="259">
        <v>526</v>
      </c>
      <c r="B546" s="259">
        <v>3000</v>
      </c>
      <c r="C546" s="399"/>
      <c r="D546" s="260"/>
      <c r="E546" s="304" t="s">
        <v>1279</v>
      </c>
      <c r="F546" s="402"/>
      <c r="G546" s="231"/>
      <c r="H546" s="397"/>
      <c r="I546" s="231"/>
      <c r="J546" s="231"/>
      <c r="K546" s="231"/>
      <c r="L546" s="232"/>
      <c r="R546" s="230"/>
      <c r="S546" s="233"/>
      <c r="T546" s="233"/>
      <c r="U546" s="234"/>
    </row>
    <row r="547" spans="1:21" ht="15.75" customHeight="1">
      <c r="A547" s="259">
        <v>527</v>
      </c>
      <c r="B547" s="259">
        <v>3000</v>
      </c>
      <c r="C547" s="399"/>
      <c r="D547" s="260"/>
      <c r="E547" s="304" t="s">
        <v>1845</v>
      </c>
      <c r="F547" s="402"/>
      <c r="G547" s="231"/>
      <c r="H547" s="397"/>
      <c r="I547" s="231"/>
      <c r="J547" s="231"/>
      <c r="K547" s="231"/>
      <c r="L547" s="232"/>
      <c r="R547" s="230"/>
      <c r="S547" s="233"/>
      <c r="T547" s="233"/>
      <c r="U547" s="234"/>
    </row>
    <row r="548" spans="1:21" ht="15.75" customHeight="1">
      <c r="A548" s="259">
        <v>528</v>
      </c>
      <c r="B548" s="259">
        <v>3000</v>
      </c>
      <c r="C548" s="399"/>
      <c r="D548" s="260"/>
      <c r="E548" s="312" t="s">
        <v>2618</v>
      </c>
      <c r="F548" s="402"/>
      <c r="G548" s="231"/>
      <c r="H548" s="231"/>
      <c r="I548" s="231"/>
      <c r="J548" s="231"/>
      <c r="K548" s="231"/>
      <c r="L548" s="232"/>
      <c r="R548" s="230"/>
      <c r="S548" s="233"/>
      <c r="T548" s="233"/>
      <c r="U548" s="234"/>
    </row>
    <row r="549" spans="1:21" ht="15.75" customHeight="1">
      <c r="A549" s="259">
        <v>529</v>
      </c>
      <c r="B549" s="259">
        <v>3000</v>
      </c>
      <c r="C549" s="399"/>
      <c r="D549" s="260"/>
      <c r="E549" s="304" t="s">
        <v>1846</v>
      </c>
      <c r="F549" s="402"/>
      <c r="G549" s="231"/>
      <c r="H549" s="231"/>
      <c r="I549" s="231"/>
      <c r="J549" s="231"/>
      <c r="K549" s="231"/>
      <c r="L549" s="232"/>
      <c r="R549" s="230"/>
      <c r="S549" s="233"/>
      <c r="T549" s="233"/>
      <c r="U549" s="234"/>
    </row>
    <row r="550" spans="1:21" ht="15.75" customHeight="1">
      <c r="A550" s="259">
        <v>530</v>
      </c>
      <c r="B550" s="259">
        <v>3000</v>
      </c>
      <c r="C550" s="399"/>
      <c r="D550" s="260"/>
      <c r="E550" s="304" t="s">
        <v>1847</v>
      </c>
      <c r="F550" s="402"/>
      <c r="G550" s="231"/>
      <c r="H550" s="231"/>
      <c r="I550" s="231"/>
      <c r="J550" s="231"/>
      <c r="K550" s="231"/>
      <c r="L550" s="232"/>
      <c r="R550" s="230"/>
      <c r="S550" s="233"/>
      <c r="T550" s="233"/>
      <c r="U550" s="234"/>
    </row>
    <row r="551" spans="1:21" ht="15.75" customHeight="1">
      <c r="A551" s="259">
        <v>531</v>
      </c>
      <c r="B551" s="259">
        <v>3000</v>
      </c>
      <c r="C551" s="399"/>
      <c r="D551" s="260"/>
      <c r="E551" s="304" t="s">
        <v>1848</v>
      </c>
      <c r="F551" s="402"/>
      <c r="G551" s="231"/>
      <c r="H551" s="231"/>
      <c r="I551" s="231"/>
      <c r="J551" s="231"/>
      <c r="K551" s="231"/>
      <c r="L551" s="232"/>
      <c r="R551" s="230"/>
      <c r="S551" s="233"/>
      <c r="T551" s="233"/>
      <c r="U551" s="234"/>
    </row>
    <row r="552" spans="1:21" ht="15.75" customHeight="1">
      <c r="A552" s="259">
        <v>532</v>
      </c>
      <c r="B552" s="259">
        <v>3000</v>
      </c>
      <c r="C552" s="399"/>
      <c r="D552" s="260"/>
      <c r="E552" s="313" t="s">
        <v>1849</v>
      </c>
      <c r="F552" s="402"/>
      <c r="G552" s="231"/>
      <c r="H552" s="231"/>
      <c r="I552" s="231"/>
      <c r="J552" s="231"/>
      <c r="K552" s="231"/>
      <c r="L552" s="232"/>
      <c r="R552" s="230"/>
      <c r="S552" s="233"/>
      <c r="T552" s="233"/>
      <c r="U552" s="234"/>
    </row>
    <row r="553" spans="1:21" ht="15.75" customHeight="1">
      <c r="A553" s="259">
        <v>533</v>
      </c>
      <c r="B553" s="259">
        <v>3000</v>
      </c>
      <c r="C553" s="399"/>
      <c r="D553" s="260"/>
      <c r="E553" s="312" t="s">
        <v>2619</v>
      </c>
      <c r="F553" s="402"/>
      <c r="G553" s="231"/>
      <c r="H553" s="231"/>
      <c r="I553" s="231"/>
      <c r="J553" s="231"/>
      <c r="K553" s="231"/>
      <c r="L553" s="232"/>
      <c r="R553" s="230"/>
      <c r="S553" s="233"/>
      <c r="T553" s="233"/>
      <c r="U553" s="234"/>
    </row>
    <row r="554" spans="1:21" ht="15.75" customHeight="1">
      <c r="A554" s="259">
        <v>534</v>
      </c>
      <c r="B554" s="259">
        <v>3000</v>
      </c>
      <c r="C554" s="399"/>
      <c r="D554" s="260"/>
      <c r="E554" s="313" t="s">
        <v>1850</v>
      </c>
      <c r="F554" s="402"/>
      <c r="G554" s="231"/>
      <c r="H554" s="231"/>
      <c r="I554" s="231"/>
      <c r="J554" s="231"/>
      <c r="K554" s="231"/>
      <c r="L554" s="232"/>
      <c r="R554" s="230"/>
      <c r="S554" s="233"/>
      <c r="T554" s="233"/>
      <c r="U554" s="234"/>
    </row>
    <row r="555" spans="1:21" ht="15.75" customHeight="1">
      <c r="A555" s="259">
        <v>535</v>
      </c>
      <c r="B555" s="259">
        <v>3000</v>
      </c>
      <c r="C555" s="399"/>
      <c r="D555" s="260"/>
      <c r="E555" s="313" t="s">
        <v>1851</v>
      </c>
      <c r="F555" s="402"/>
      <c r="G555" s="231"/>
      <c r="H555" s="231"/>
      <c r="I555" s="231"/>
      <c r="J555" s="231"/>
      <c r="K555" s="231"/>
      <c r="L555" s="232"/>
      <c r="R555" s="230"/>
      <c r="S555" s="233"/>
      <c r="T555" s="233"/>
      <c r="U555" s="234"/>
    </row>
    <row r="556" spans="1:21" ht="15.75" customHeight="1">
      <c r="A556" s="259">
        <v>536</v>
      </c>
      <c r="B556" s="259">
        <v>3000</v>
      </c>
      <c r="C556" s="399"/>
      <c r="D556" s="260"/>
      <c r="E556" s="313" t="s">
        <v>1852</v>
      </c>
      <c r="F556" s="402"/>
      <c r="G556" s="231"/>
      <c r="H556" s="231"/>
      <c r="I556" s="231"/>
      <c r="J556" s="231"/>
      <c r="K556" s="231"/>
      <c r="L556" s="232"/>
      <c r="R556" s="230"/>
      <c r="S556" s="233"/>
      <c r="T556" s="233"/>
      <c r="U556" s="234"/>
    </row>
    <row r="557" spans="1:21" ht="15.75" customHeight="1">
      <c r="A557" s="259">
        <v>537</v>
      </c>
      <c r="B557" s="259">
        <v>3000</v>
      </c>
      <c r="C557" s="399"/>
      <c r="D557" s="260"/>
      <c r="E557" s="313" t="s">
        <v>1853</v>
      </c>
      <c r="F557" s="402"/>
      <c r="G557" s="231"/>
      <c r="H557" s="231"/>
      <c r="I557" s="231"/>
      <c r="J557" s="231"/>
      <c r="K557" s="231"/>
      <c r="L557" s="232"/>
      <c r="R557" s="230"/>
      <c r="S557" s="233"/>
      <c r="T557" s="233"/>
      <c r="U557" s="234"/>
    </row>
    <row r="558" spans="1:21" ht="15.75" customHeight="1">
      <c r="A558" s="259">
        <v>538</v>
      </c>
      <c r="B558" s="259">
        <v>3000</v>
      </c>
      <c r="C558" s="399"/>
      <c r="D558" s="260"/>
      <c r="E558" s="314" t="s">
        <v>2620</v>
      </c>
      <c r="F558" s="402"/>
      <c r="G558" s="231"/>
      <c r="H558" s="231"/>
      <c r="I558" s="231"/>
      <c r="J558" s="231"/>
      <c r="K558" s="231"/>
      <c r="L558" s="232"/>
      <c r="R558" s="230"/>
      <c r="S558" s="233"/>
      <c r="T558" s="233"/>
      <c r="U558" s="234"/>
    </row>
    <row r="559" spans="1:21" ht="15.75" customHeight="1">
      <c r="A559" s="259">
        <v>539</v>
      </c>
      <c r="B559" s="259">
        <v>3000</v>
      </c>
      <c r="C559" s="399"/>
      <c r="D559" s="260"/>
      <c r="E559" s="304" t="s">
        <v>1854</v>
      </c>
      <c r="F559" s="402"/>
      <c r="G559" s="231"/>
      <c r="H559" s="231"/>
      <c r="I559" s="231"/>
      <c r="J559" s="231"/>
      <c r="K559" s="231"/>
      <c r="L559" s="232"/>
      <c r="R559" s="230"/>
      <c r="S559" s="233"/>
      <c r="T559" s="233"/>
      <c r="U559" s="234"/>
    </row>
    <row r="560" spans="1:21" ht="15.75" customHeight="1">
      <c r="A560" s="259">
        <v>540</v>
      </c>
      <c r="B560" s="259">
        <v>3000</v>
      </c>
      <c r="C560" s="399"/>
      <c r="D560" s="260"/>
      <c r="E560" s="304" t="s">
        <v>1855</v>
      </c>
      <c r="F560" s="402"/>
      <c r="G560" s="231"/>
      <c r="H560" s="231"/>
      <c r="I560" s="231"/>
      <c r="J560" s="231"/>
      <c r="K560" s="231"/>
      <c r="L560" s="232"/>
      <c r="R560" s="230"/>
      <c r="S560" s="233"/>
      <c r="T560" s="233"/>
      <c r="U560" s="234"/>
    </row>
    <row r="561" spans="1:21" ht="15.75" customHeight="1">
      <c r="A561" s="259">
        <v>541</v>
      </c>
      <c r="B561" s="259">
        <v>3000</v>
      </c>
      <c r="C561" s="399"/>
      <c r="D561" s="260"/>
      <c r="E561" s="304" t="s">
        <v>1856</v>
      </c>
      <c r="F561" s="402"/>
      <c r="G561" s="231"/>
      <c r="H561" s="231"/>
      <c r="I561" s="231"/>
      <c r="J561" s="231"/>
      <c r="K561" s="231"/>
      <c r="L561" s="232"/>
      <c r="R561" s="230"/>
      <c r="S561" s="233"/>
      <c r="T561" s="233"/>
      <c r="U561" s="234"/>
    </row>
    <row r="562" spans="1:21" ht="15.75" customHeight="1">
      <c r="A562" s="259">
        <v>542</v>
      </c>
      <c r="B562" s="259">
        <v>3000</v>
      </c>
      <c r="C562" s="399"/>
      <c r="D562" s="260"/>
      <c r="E562" s="314" t="s">
        <v>2621</v>
      </c>
      <c r="F562" s="402"/>
      <c r="G562" s="231"/>
      <c r="H562" s="231"/>
      <c r="I562" s="231"/>
      <c r="J562" s="231"/>
      <c r="K562" s="231"/>
      <c r="L562" s="232"/>
      <c r="R562" s="230"/>
      <c r="S562" s="233"/>
      <c r="T562" s="233"/>
      <c r="U562" s="234"/>
    </row>
    <row r="563" spans="1:21" ht="15.75" customHeight="1">
      <c r="A563" s="259">
        <v>543</v>
      </c>
      <c r="B563" s="259">
        <v>3000</v>
      </c>
      <c r="C563" s="399"/>
      <c r="D563" s="260"/>
      <c r="E563" s="304" t="s">
        <v>1857</v>
      </c>
      <c r="F563" s="402"/>
      <c r="G563" s="231"/>
      <c r="H563" s="231"/>
      <c r="I563" s="231"/>
      <c r="J563" s="231"/>
      <c r="K563" s="231"/>
      <c r="L563" s="232"/>
      <c r="R563" s="230"/>
      <c r="S563" s="233"/>
      <c r="T563" s="233"/>
      <c r="U563" s="234"/>
    </row>
    <row r="564" spans="1:21" ht="15.75" customHeight="1">
      <c r="A564" s="259">
        <v>544</v>
      </c>
      <c r="B564" s="259">
        <v>3000</v>
      </c>
      <c r="C564" s="399"/>
      <c r="D564" s="260"/>
      <c r="E564" s="304" t="s">
        <v>1858</v>
      </c>
      <c r="F564" s="402"/>
      <c r="G564" s="231"/>
      <c r="H564" s="231"/>
      <c r="I564" s="231"/>
      <c r="J564" s="231"/>
      <c r="K564" s="231"/>
      <c r="L564" s="232"/>
      <c r="R564" s="230"/>
      <c r="S564" s="233"/>
      <c r="T564" s="233"/>
      <c r="U564" s="234"/>
    </row>
    <row r="565" spans="1:21" ht="15.75" customHeight="1">
      <c r="A565" s="259">
        <v>545</v>
      </c>
      <c r="B565" s="259">
        <v>3000</v>
      </c>
      <c r="C565" s="399"/>
      <c r="D565" s="260"/>
      <c r="E565" s="304" t="s">
        <v>1859</v>
      </c>
      <c r="F565" s="402"/>
      <c r="G565" s="231"/>
      <c r="H565" s="231"/>
      <c r="I565" s="231"/>
      <c r="J565" s="231"/>
      <c r="K565" s="231"/>
      <c r="L565" s="232"/>
      <c r="R565" s="230"/>
      <c r="S565" s="233"/>
      <c r="T565" s="233"/>
      <c r="U565" s="234"/>
    </row>
    <row r="566" spans="1:21" ht="15.75" customHeight="1">
      <c r="A566" s="259">
        <v>546</v>
      </c>
      <c r="B566" s="259">
        <v>3000</v>
      </c>
      <c r="C566" s="399"/>
      <c r="D566" s="260"/>
      <c r="E566" s="304" t="s">
        <v>1860</v>
      </c>
      <c r="F566" s="402"/>
      <c r="G566" s="231"/>
      <c r="H566" s="231"/>
      <c r="I566" s="231"/>
      <c r="J566" s="231"/>
      <c r="K566" s="231"/>
      <c r="L566" s="232"/>
      <c r="R566" s="230"/>
      <c r="S566" s="233"/>
      <c r="T566" s="233"/>
      <c r="U566" s="234"/>
    </row>
    <row r="567" spans="1:21" ht="15.75" customHeight="1">
      <c r="A567" s="259">
        <v>547</v>
      </c>
      <c r="B567" s="259">
        <v>3000</v>
      </c>
      <c r="C567" s="399"/>
      <c r="D567" s="260"/>
      <c r="E567" s="314" t="s">
        <v>2622</v>
      </c>
      <c r="F567" s="402"/>
      <c r="G567" s="231"/>
      <c r="H567" s="231"/>
      <c r="I567" s="231"/>
      <c r="J567" s="231"/>
      <c r="K567" s="231"/>
      <c r="L567" s="232"/>
      <c r="R567" s="230"/>
      <c r="S567" s="233"/>
      <c r="T567" s="233"/>
      <c r="U567" s="234"/>
    </row>
    <row r="568" spans="1:21" ht="15.75" customHeight="1">
      <c r="A568" s="259">
        <v>548</v>
      </c>
      <c r="B568" s="259">
        <v>3000</v>
      </c>
      <c r="C568" s="399"/>
      <c r="D568" s="260"/>
      <c r="E568" s="304" t="s">
        <v>1861</v>
      </c>
      <c r="F568" s="402"/>
      <c r="G568" s="231"/>
      <c r="H568" s="231"/>
      <c r="I568" s="231"/>
      <c r="J568" s="231"/>
      <c r="K568" s="231"/>
      <c r="L568" s="232"/>
      <c r="R568" s="230"/>
      <c r="S568" s="233"/>
      <c r="T568" s="233"/>
      <c r="U568" s="234"/>
    </row>
    <row r="569" spans="1:21" ht="15.75" customHeight="1">
      <c r="A569" s="259">
        <v>549</v>
      </c>
      <c r="B569" s="259">
        <v>3000</v>
      </c>
      <c r="C569" s="399"/>
      <c r="D569" s="260"/>
      <c r="E569" s="304" t="s">
        <v>1862</v>
      </c>
      <c r="F569" s="402"/>
      <c r="G569" s="231"/>
      <c r="H569" s="231"/>
      <c r="I569" s="231"/>
      <c r="J569" s="231"/>
      <c r="K569" s="231"/>
      <c r="L569" s="232"/>
      <c r="R569" s="230"/>
      <c r="S569" s="233"/>
      <c r="T569" s="233"/>
      <c r="U569" s="234"/>
    </row>
    <row r="570" spans="1:21" ht="15.75" customHeight="1">
      <c r="A570" s="259">
        <v>550</v>
      </c>
      <c r="B570" s="259">
        <v>3000</v>
      </c>
      <c r="C570" s="399"/>
      <c r="D570" s="260"/>
      <c r="E570" s="304" t="s">
        <v>1863</v>
      </c>
      <c r="F570" s="402"/>
      <c r="G570" s="231"/>
      <c r="H570" s="231"/>
      <c r="I570" s="231"/>
      <c r="J570" s="231"/>
      <c r="K570" s="231"/>
      <c r="L570" s="232"/>
      <c r="R570" s="230"/>
      <c r="S570" s="233"/>
      <c r="T570" s="233"/>
      <c r="U570" s="234"/>
    </row>
    <row r="571" spans="1:21" ht="15.75" customHeight="1">
      <c r="A571" s="259">
        <v>551</v>
      </c>
      <c r="B571" s="259">
        <v>3000</v>
      </c>
      <c r="C571" s="399"/>
      <c r="D571" s="260"/>
      <c r="E571" s="304" t="s">
        <v>1864</v>
      </c>
      <c r="F571" s="402"/>
      <c r="G571" s="231"/>
      <c r="H571" s="231"/>
      <c r="I571" s="231"/>
      <c r="J571" s="231"/>
      <c r="K571" s="231"/>
      <c r="L571" s="232"/>
      <c r="R571" s="230"/>
      <c r="S571" s="233"/>
      <c r="T571" s="233"/>
      <c r="U571" s="234"/>
    </row>
    <row r="572" spans="1:21" ht="15.75" customHeight="1">
      <c r="A572" s="259">
        <v>552</v>
      </c>
      <c r="B572" s="259">
        <v>3000</v>
      </c>
      <c r="C572" s="399"/>
      <c r="D572" s="260"/>
      <c r="E572" s="314" t="s">
        <v>2623</v>
      </c>
      <c r="F572" s="402"/>
      <c r="G572" s="231"/>
      <c r="H572" s="231"/>
      <c r="I572" s="231"/>
      <c r="J572" s="231"/>
      <c r="K572" s="231"/>
      <c r="L572" s="232"/>
      <c r="R572" s="230"/>
      <c r="S572" s="233"/>
      <c r="T572" s="233"/>
      <c r="U572" s="234"/>
    </row>
    <row r="573" spans="1:21" ht="15.75" customHeight="1">
      <c r="A573" s="259">
        <v>553</v>
      </c>
      <c r="B573" s="259">
        <v>3000</v>
      </c>
      <c r="C573" s="399"/>
      <c r="D573" s="260"/>
      <c r="E573" s="304" t="s">
        <v>1865</v>
      </c>
      <c r="F573" s="402"/>
      <c r="G573" s="231"/>
      <c r="H573" s="231"/>
      <c r="I573" s="231"/>
      <c r="J573" s="231"/>
      <c r="K573" s="231"/>
      <c r="L573" s="232"/>
      <c r="R573" s="230"/>
      <c r="S573" s="233"/>
      <c r="T573" s="233"/>
      <c r="U573" s="234"/>
    </row>
    <row r="574" spans="1:21" ht="15.75" customHeight="1">
      <c r="A574" s="259">
        <v>554</v>
      </c>
      <c r="B574" s="259">
        <v>3000</v>
      </c>
      <c r="C574" s="399"/>
      <c r="D574" s="260"/>
      <c r="E574" s="304" t="s">
        <v>1866</v>
      </c>
      <c r="F574" s="402"/>
      <c r="G574" s="231"/>
      <c r="H574" s="231"/>
      <c r="I574" s="231"/>
      <c r="J574" s="231"/>
      <c r="K574" s="231"/>
      <c r="L574" s="232"/>
      <c r="R574" s="230"/>
      <c r="S574" s="233"/>
      <c r="T574" s="233"/>
      <c r="U574" s="234"/>
    </row>
    <row r="575" spans="1:21" ht="15.75" customHeight="1">
      <c r="A575" s="259">
        <v>555</v>
      </c>
      <c r="B575" s="259">
        <v>3000</v>
      </c>
      <c r="C575" s="399"/>
      <c r="D575" s="260"/>
      <c r="E575" s="304" t="s">
        <v>1867</v>
      </c>
      <c r="F575" s="402"/>
      <c r="G575" s="231"/>
      <c r="H575" s="231"/>
      <c r="I575" s="231"/>
      <c r="J575" s="231"/>
      <c r="K575" s="231"/>
      <c r="L575" s="232"/>
      <c r="R575" s="230"/>
      <c r="S575" s="233"/>
      <c r="T575" s="233"/>
      <c r="U575" s="234"/>
    </row>
    <row r="576" spans="1:21" ht="15.75" customHeight="1">
      <c r="A576" s="259">
        <v>556</v>
      </c>
      <c r="B576" s="259">
        <v>3000</v>
      </c>
      <c r="C576" s="400"/>
      <c r="D576" s="260"/>
      <c r="E576" s="304" t="s">
        <v>1868</v>
      </c>
      <c r="F576" s="403"/>
      <c r="G576" s="231"/>
      <c r="H576" s="231"/>
      <c r="I576" s="231"/>
      <c r="J576" s="231"/>
      <c r="K576" s="231"/>
      <c r="L576" s="232"/>
      <c r="R576" s="230"/>
      <c r="S576" s="233"/>
      <c r="T576" s="233"/>
      <c r="U576" s="234"/>
    </row>
    <row r="577" spans="1:21" ht="15.75" customHeight="1">
      <c r="A577" s="259">
        <v>557</v>
      </c>
      <c r="B577" s="259">
        <v>3000</v>
      </c>
      <c r="C577" s="407" t="s">
        <v>2666</v>
      </c>
      <c r="D577" s="260"/>
      <c r="E577" s="314" t="s">
        <v>2624</v>
      </c>
      <c r="F577" s="401">
        <v>3015</v>
      </c>
      <c r="G577" s="231"/>
      <c r="H577" s="231"/>
      <c r="I577" s="231"/>
      <c r="J577" s="231"/>
      <c r="K577" s="231"/>
      <c r="L577" s="232"/>
      <c r="R577" s="230"/>
      <c r="S577" s="233"/>
      <c r="T577" s="233"/>
      <c r="U577" s="234"/>
    </row>
    <row r="578" spans="1:21" ht="15.75" customHeight="1">
      <c r="A578" s="259">
        <v>558</v>
      </c>
      <c r="B578" s="259">
        <v>3000</v>
      </c>
      <c r="C578" s="367"/>
      <c r="D578" s="260"/>
      <c r="E578" s="304" t="s">
        <v>1284</v>
      </c>
      <c r="F578" s="402"/>
      <c r="G578" s="231"/>
      <c r="H578" s="231"/>
      <c r="I578" s="231"/>
      <c r="J578" s="231"/>
      <c r="K578" s="231"/>
      <c r="L578" s="232"/>
      <c r="R578" s="230"/>
      <c r="S578" s="233"/>
      <c r="T578" s="233"/>
      <c r="U578" s="234"/>
    </row>
    <row r="579" spans="1:21" ht="15.75" customHeight="1">
      <c r="A579" s="259">
        <v>559</v>
      </c>
      <c r="B579" s="259">
        <v>3000</v>
      </c>
      <c r="C579" s="367"/>
      <c r="D579" s="260"/>
      <c r="E579" s="304" t="s">
        <v>1289</v>
      </c>
      <c r="F579" s="402"/>
      <c r="G579" s="231"/>
      <c r="H579" s="231"/>
      <c r="I579" s="231"/>
      <c r="J579" s="231"/>
      <c r="K579" s="231"/>
      <c r="L579" s="232"/>
      <c r="R579" s="230"/>
      <c r="S579" s="233"/>
      <c r="T579" s="233"/>
      <c r="U579" s="234"/>
    </row>
    <row r="580" spans="1:21" ht="15.75" customHeight="1">
      <c r="A580" s="259">
        <v>560</v>
      </c>
      <c r="B580" s="259">
        <v>3000</v>
      </c>
      <c r="C580" s="367"/>
      <c r="D580" s="260"/>
      <c r="E580" s="304" t="s">
        <v>1294</v>
      </c>
      <c r="F580" s="402"/>
      <c r="G580" s="231"/>
      <c r="H580" s="231"/>
      <c r="I580" s="231"/>
      <c r="J580" s="231"/>
      <c r="K580" s="231"/>
      <c r="L580" s="232"/>
      <c r="R580" s="230"/>
      <c r="S580" s="233"/>
      <c r="T580" s="233"/>
      <c r="U580" s="234"/>
    </row>
    <row r="581" spans="1:21" ht="15.75" customHeight="1">
      <c r="A581" s="259">
        <v>561</v>
      </c>
      <c r="B581" s="259">
        <v>3000</v>
      </c>
      <c r="C581" s="367"/>
      <c r="D581" s="260"/>
      <c r="E581" s="304" t="s">
        <v>1304</v>
      </c>
      <c r="F581" s="402"/>
      <c r="G581" s="231"/>
      <c r="H581" s="231"/>
      <c r="I581" s="231"/>
      <c r="J581" s="231"/>
      <c r="K581" s="231"/>
      <c r="L581" s="232"/>
      <c r="R581" s="230"/>
      <c r="S581" s="233"/>
      <c r="T581" s="233"/>
      <c r="U581" s="234"/>
    </row>
    <row r="582" spans="1:21" ht="15.75" customHeight="1">
      <c r="A582" s="259">
        <v>562</v>
      </c>
      <c r="B582" s="259">
        <v>3000</v>
      </c>
      <c r="C582" s="367"/>
      <c r="D582" s="260"/>
      <c r="E582" s="314" t="s">
        <v>2625</v>
      </c>
      <c r="F582" s="402"/>
      <c r="G582" s="231"/>
      <c r="H582" s="231"/>
      <c r="I582" s="231"/>
      <c r="J582" s="231"/>
      <c r="K582" s="231"/>
      <c r="L582" s="232"/>
      <c r="R582" s="230"/>
      <c r="S582" s="233"/>
      <c r="T582" s="233"/>
      <c r="U582" s="234"/>
    </row>
    <row r="583" spans="1:21" ht="15.75" customHeight="1">
      <c r="A583" s="259">
        <v>563</v>
      </c>
      <c r="B583" s="259">
        <v>3000</v>
      </c>
      <c r="C583" s="367"/>
      <c r="D583" s="260"/>
      <c r="E583" s="304" t="s">
        <v>1308</v>
      </c>
      <c r="F583" s="402"/>
      <c r="G583" s="231"/>
      <c r="H583" s="231"/>
      <c r="I583" s="231"/>
      <c r="J583" s="231"/>
      <c r="K583" s="231"/>
      <c r="L583" s="232"/>
      <c r="R583" s="230"/>
      <c r="S583" s="233"/>
      <c r="T583" s="233"/>
      <c r="U583" s="234"/>
    </row>
    <row r="584" spans="1:21" ht="15.75" customHeight="1">
      <c r="A584" s="259">
        <v>564</v>
      </c>
      <c r="B584" s="259">
        <v>3000</v>
      </c>
      <c r="C584" s="367"/>
      <c r="D584" s="260"/>
      <c r="E584" s="304" t="s">
        <v>1312</v>
      </c>
      <c r="F584" s="402"/>
      <c r="G584" s="231"/>
      <c r="H584" s="231"/>
      <c r="I584" s="231"/>
      <c r="J584" s="231"/>
      <c r="K584" s="231"/>
      <c r="L584" s="232"/>
      <c r="R584" s="230"/>
      <c r="S584" s="233"/>
      <c r="T584" s="233"/>
      <c r="U584" s="234"/>
    </row>
    <row r="585" spans="1:21" ht="15.75" customHeight="1">
      <c r="A585" s="259">
        <v>565</v>
      </c>
      <c r="B585" s="259">
        <v>3000</v>
      </c>
      <c r="C585" s="367"/>
      <c r="D585" s="260"/>
      <c r="E585" s="304" t="s">
        <v>1316</v>
      </c>
      <c r="F585" s="402"/>
      <c r="G585" s="231"/>
      <c r="H585" s="231"/>
      <c r="I585" s="231"/>
      <c r="J585" s="231"/>
      <c r="K585" s="231"/>
      <c r="L585" s="232"/>
      <c r="R585" s="230"/>
      <c r="S585" s="233"/>
      <c r="T585" s="233"/>
      <c r="U585" s="234"/>
    </row>
    <row r="586" spans="1:21" ht="15.75" customHeight="1">
      <c r="A586" s="259">
        <v>566</v>
      </c>
      <c r="B586" s="259">
        <v>3000</v>
      </c>
      <c r="C586" s="367"/>
      <c r="D586" s="260"/>
      <c r="E586" s="304" t="s">
        <v>1320</v>
      </c>
      <c r="F586" s="402"/>
      <c r="G586" s="231"/>
      <c r="H586" s="231"/>
      <c r="I586" s="231"/>
      <c r="J586" s="231"/>
      <c r="K586" s="231"/>
      <c r="L586" s="232"/>
      <c r="R586" s="230"/>
      <c r="S586" s="233"/>
      <c r="T586" s="233"/>
      <c r="U586" s="234"/>
    </row>
    <row r="587" spans="1:21" ht="15.75" customHeight="1">
      <c r="A587" s="259">
        <v>567</v>
      </c>
      <c r="B587" s="259">
        <v>3000</v>
      </c>
      <c r="C587" s="367"/>
      <c r="D587" s="260"/>
      <c r="E587" s="303" t="s">
        <v>1324</v>
      </c>
      <c r="F587" s="402"/>
      <c r="G587" s="231"/>
      <c r="H587" s="231"/>
      <c r="I587" s="231"/>
      <c r="J587" s="231"/>
      <c r="K587" s="231"/>
      <c r="L587" s="232"/>
      <c r="R587" s="230"/>
      <c r="S587" s="233"/>
      <c r="T587" s="233"/>
      <c r="U587" s="234"/>
    </row>
    <row r="588" spans="1:21" ht="15.75" customHeight="1">
      <c r="A588" s="259">
        <v>568</v>
      </c>
      <c r="B588" s="259">
        <v>3000</v>
      </c>
      <c r="C588" s="367"/>
      <c r="D588" s="260"/>
      <c r="E588" s="303" t="s">
        <v>1869</v>
      </c>
      <c r="F588" s="402"/>
      <c r="G588" s="231"/>
      <c r="H588" s="231"/>
      <c r="I588" s="231"/>
      <c r="J588" s="231"/>
      <c r="K588" s="231"/>
      <c r="L588" s="232"/>
      <c r="R588" s="230"/>
      <c r="S588" s="233"/>
      <c r="T588" s="233"/>
      <c r="U588" s="234"/>
    </row>
    <row r="589" spans="1:21" ht="15.75" customHeight="1">
      <c r="A589" s="259">
        <v>569</v>
      </c>
      <c r="B589" s="259">
        <v>3000</v>
      </c>
      <c r="C589" s="367"/>
      <c r="D589" s="260"/>
      <c r="E589" s="303" t="s">
        <v>1870</v>
      </c>
      <c r="F589" s="402"/>
      <c r="G589" s="231"/>
      <c r="H589" s="231"/>
      <c r="I589" s="231"/>
      <c r="J589" s="231"/>
      <c r="K589" s="231"/>
      <c r="L589" s="232"/>
      <c r="R589" s="230"/>
      <c r="S589" s="233"/>
      <c r="T589" s="233"/>
      <c r="U589" s="234"/>
    </row>
    <row r="590" spans="1:21" ht="15.75" customHeight="1">
      <c r="A590" s="259">
        <v>570</v>
      </c>
      <c r="B590" s="259">
        <v>3000</v>
      </c>
      <c r="C590" s="367"/>
      <c r="D590" s="260"/>
      <c r="E590" s="303" t="s">
        <v>1299</v>
      </c>
      <c r="F590" s="402"/>
      <c r="G590" s="231"/>
      <c r="H590" s="231"/>
      <c r="I590" s="231"/>
      <c r="J590" s="231"/>
      <c r="K590" s="231"/>
      <c r="L590" s="232"/>
      <c r="R590" s="230"/>
      <c r="S590" s="233"/>
      <c r="T590" s="233"/>
      <c r="U590" s="234"/>
    </row>
    <row r="591" spans="1:21" ht="15.75" customHeight="1">
      <c r="A591" s="259">
        <v>571</v>
      </c>
      <c r="B591" s="259">
        <v>3000</v>
      </c>
      <c r="C591" s="367"/>
      <c r="D591" s="260"/>
      <c r="E591" s="314" t="s">
        <v>2626</v>
      </c>
      <c r="F591" s="402"/>
      <c r="G591" s="231"/>
      <c r="H591" s="231"/>
      <c r="I591" s="231"/>
      <c r="J591" s="231"/>
      <c r="K591" s="231"/>
      <c r="L591" s="232"/>
      <c r="R591" s="230"/>
      <c r="S591" s="233"/>
      <c r="T591" s="233"/>
      <c r="U591" s="234"/>
    </row>
    <row r="592" spans="1:21" ht="15.75" customHeight="1">
      <c r="A592" s="259">
        <v>572</v>
      </c>
      <c r="B592" s="259">
        <v>3000</v>
      </c>
      <c r="C592" s="367"/>
      <c r="D592" s="260"/>
      <c r="E592" s="304" t="s">
        <v>1872</v>
      </c>
      <c r="F592" s="402"/>
      <c r="G592" s="231"/>
      <c r="H592" s="231"/>
      <c r="I592" s="231"/>
      <c r="J592" s="231"/>
      <c r="K592" s="231"/>
      <c r="L592" s="232"/>
      <c r="R592" s="230"/>
      <c r="S592" s="233"/>
      <c r="T592" s="233"/>
      <c r="U592" s="234"/>
    </row>
    <row r="593" spans="1:21" ht="15.75" customHeight="1">
      <c r="A593" s="259">
        <v>573</v>
      </c>
      <c r="B593" s="259">
        <v>3000</v>
      </c>
      <c r="C593" s="367"/>
      <c r="D593" s="260"/>
      <c r="E593" s="304" t="s">
        <v>1873</v>
      </c>
      <c r="F593" s="402"/>
      <c r="G593" s="231"/>
      <c r="H593" s="231"/>
      <c r="I593" s="231"/>
      <c r="J593" s="231"/>
      <c r="K593" s="231"/>
      <c r="L593" s="232"/>
      <c r="R593" s="230"/>
      <c r="S593" s="233"/>
      <c r="T593" s="233"/>
      <c r="U593" s="234"/>
    </row>
    <row r="594" spans="1:21" ht="15.75" customHeight="1">
      <c r="A594" s="259">
        <v>574</v>
      </c>
      <c r="B594" s="259">
        <v>3000</v>
      </c>
      <c r="C594" s="367"/>
      <c r="D594" s="260"/>
      <c r="E594" s="304" t="s">
        <v>1874</v>
      </c>
      <c r="F594" s="402"/>
      <c r="G594" s="231"/>
      <c r="H594" s="231"/>
      <c r="I594" s="231"/>
      <c r="J594" s="231"/>
      <c r="K594" s="231"/>
      <c r="L594" s="232"/>
      <c r="R594" s="230"/>
      <c r="S594" s="233"/>
      <c r="T594" s="233"/>
      <c r="U594" s="234"/>
    </row>
    <row r="595" spans="1:21" ht="15.75" customHeight="1">
      <c r="A595" s="259">
        <v>575</v>
      </c>
      <c r="B595" s="259">
        <v>3000</v>
      </c>
      <c r="C595" s="367"/>
      <c r="D595" s="260"/>
      <c r="E595" s="304" t="s">
        <v>1299</v>
      </c>
      <c r="F595" s="402"/>
      <c r="G595" s="231"/>
      <c r="H595" s="231"/>
      <c r="I595" s="231"/>
      <c r="J595" s="231"/>
      <c r="K595" s="231"/>
      <c r="L595" s="232"/>
      <c r="R595" s="230"/>
      <c r="S595" s="233"/>
      <c r="T595" s="233"/>
      <c r="U595" s="234"/>
    </row>
    <row r="596" spans="1:21" ht="15.75" customHeight="1">
      <c r="A596" s="259">
        <v>576</v>
      </c>
      <c r="B596" s="259">
        <v>3000</v>
      </c>
      <c r="C596" s="367"/>
      <c r="D596" s="260"/>
      <c r="E596" s="303" t="s">
        <v>1875</v>
      </c>
      <c r="F596" s="402"/>
      <c r="G596" s="231"/>
      <c r="H596" s="231"/>
      <c r="I596" s="231"/>
      <c r="J596" s="231"/>
      <c r="K596" s="231"/>
      <c r="L596" s="232"/>
      <c r="R596" s="230"/>
      <c r="S596" s="233"/>
      <c r="T596" s="233"/>
      <c r="U596" s="234"/>
    </row>
    <row r="597" spans="1:21" ht="15.75" customHeight="1">
      <c r="A597" s="259">
        <v>577</v>
      </c>
      <c r="B597" s="259">
        <v>3000</v>
      </c>
      <c r="C597" s="367"/>
      <c r="D597" s="260"/>
      <c r="E597" s="303" t="s">
        <v>1876</v>
      </c>
      <c r="F597" s="402"/>
      <c r="G597" s="231"/>
      <c r="H597" s="231"/>
      <c r="I597" s="231"/>
      <c r="J597" s="231"/>
      <c r="K597" s="231"/>
      <c r="L597" s="232"/>
      <c r="R597" s="230"/>
      <c r="S597" s="233"/>
      <c r="T597" s="233"/>
      <c r="U597" s="234"/>
    </row>
    <row r="598" spans="1:21" ht="15.75" customHeight="1">
      <c r="A598" s="259">
        <v>578</v>
      </c>
      <c r="B598" s="259">
        <v>3000</v>
      </c>
      <c r="C598" s="367"/>
      <c r="D598" s="260"/>
      <c r="E598" s="303" t="s">
        <v>1877</v>
      </c>
      <c r="F598" s="402"/>
      <c r="G598" s="231"/>
      <c r="H598" s="231"/>
      <c r="I598" s="231"/>
      <c r="J598" s="231"/>
      <c r="K598" s="231"/>
      <c r="L598" s="232"/>
      <c r="R598" s="230"/>
      <c r="S598" s="233"/>
      <c r="T598" s="233"/>
      <c r="U598" s="234"/>
    </row>
    <row r="599" spans="1:21" ht="15.75" customHeight="1">
      <c r="A599" s="259">
        <v>579</v>
      </c>
      <c r="B599" s="259">
        <v>3000</v>
      </c>
      <c r="C599" s="367"/>
      <c r="D599" s="260"/>
      <c r="E599" s="303" t="s">
        <v>1878</v>
      </c>
      <c r="F599" s="402"/>
      <c r="G599" s="231"/>
      <c r="H599" s="231"/>
      <c r="I599" s="231"/>
      <c r="J599" s="231"/>
      <c r="K599" s="231"/>
      <c r="L599" s="232"/>
      <c r="R599" s="230"/>
      <c r="S599" s="233"/>
      <c r="T599" s="233"/>
      <c r="U599" s="234"/>
    </row>
    <row r="600" spans="1:21" ht="15.75" customHeight="1">
      <c r="A600" s="259">
        <v>580</v>
      </c>
      <c r="B600" s="259">
        <v>3000</v>
      </c>
      <c r="C600" s="367"/>
      <c r="D600" s="260"/>
      <c r="E600" s="303" t="s">
        <v>1879</v>
      </c>
      <c r="F600" s="402"/>
      <c r="G600" s="231"/>
      <c r="H600" s="231"/>
      <c r="I600" s="231"/>
      <c r="J600" s="231"/>
      <c r="K600" s="231"/>
      <c r="L600" s="232"/>
      <c r="R600" s="230"/>
      <c r="S600" s="233"/>
      <c r="T600" s="233"/>
      <c r="U600" s="234"/>
    </row>
    <row r="601" spans="1:21" ht="15.75" customHeight="1">
      <c r="A601" s="259">
        <v>581</v>
      </c>
      <c r="B601" s="259">
        <v>3000</v>
      </c>
      <c r="C601" s="367"/>
      <c r="D601" s="260"/>
      <c r="E601" s="314" t="s">
        <v>2627</v>
      </c>
      <c r="F601" s="402"/>
      <c r="G601" s="231"/>
      <c r="H601" s="231"/>
      <c r="I601" s="231"/>
      <c r="J601" s="231"/>
      <c r="K601" s="231"/>
      <c r="L601" s="232"/>
      <c r="R601" s="230"/>
      <c r="S601" s="233"/>
      <c r="T601" s="233"/>
      <c r="U601" s="234"/>
    </row>
    <row r="602" spans="1:21" ht="15.75" customHeight="1">
      <c r="A602" s="259">
        <v>582</v>
      </c>
      <c r="B602" s="259">
        <v>3000</v>
      </c>
      <c r="C602" s="367"/>
      <c r="D602" s="260"/>
      <c r="E602" s="304" t="s">
        <v>1871</v>
      </c>
      <c r="F602" s="402"/>
      <c r="G602" s="231"/>
      <c r="H602" s="231"/>
      <c r="I602" s="231"/>
      <c r="J602" s="231"/>
      <c r="K602" s="231"/>
      <c r="L602" s="232"/>
      <c r="R602" s="230"/>
      <c r="S602" s="233"/>
      <c r="T602" s="233"/>
      <c r="U602" s="234"/>
    </row>
    <row r="603" spans="1:21" ht="15.75" customHeight="1">
      <c r="A603" s="259">
        <v>583</v>
      </c>
      <c r="B603" s="259">
        <v>3000</v>
      </c>
      <c r="C603" s="367"/>
      <c r="D603" s="260"/>
      <c r="E603" s="304" t="s">
        <v>1886</v>
      </c>
      <c r="F603" s="402"/>
      <c r="G603" s="231"/>
      <c r="H603" s="231"/>
      <c r="I603" s="231"/>
      <c r="J603" s="231"/>
      <c r="K603" s="231"/>
      <c r="L603" s="232"/>
      <c r="R603" s="230"/>
      <c r="S603" s="233"/>
      <c r="T603" s="233"/>
      <c r="U603" s="234"/>
    </row>
    <row r="604" spans="1:21" ht="15.75" customHeight="1">
      <c r="A604" s="259">
        <v>584</v>
      </c>
      <c r="B604" s="259">
        <v>3000</v>
      </c>
      <c r="C604" s="367"/>
      <c r="D604" s="260"/>
      <c r="E604" s="304" t="s">
        <v>1887</v>
      </c>
      <c r="F604" s="402"/>
      <c r="G604" s="231"/>
      <c r="H604" s="231"/>
      <c r="I604" s="231"/>
      <c r="J604" s="231"/>
      <c r="K604" s="231"/>
      <c r="L604" s="232"/>
      <c r="R604" s="230"/>
      <c r="S604" s="233"/>
      <c r="T604" s="233"/>
      <c r="U604" s="234"/>
    </row>
    <row r="605" spans="1:21" ht="15.75" customHeight="1">
      <c r="A605" s="259">
        <v>585</v>
      </c>
      <c r="B605" s="259">
        <v>3000</v>
      </c>
      <c r="C605" s="367"/>
      <c r="D605" s="260"/>
      <c r="E605" s="304" t="s">
        <v>1888</v>
      </c>
      <c r="F605" s="402"/>
      <c r="G605" s="231"/>
      <c r="H605" s="231"/>
      <c r="I605" s="231"/>
      <c r="J605" s="231"/>
      <c r="K605" s="231"/>
      <c r="L605" s="232"/>
      <c r="R605" s="230"/>
      <c r="S605" s="233"/>
      <c r="T605" s="233"/>
      <c r="U605" s="234"/>
    </row>
    <row r="606" spans="1:21" ht="15.75" customHeight="1">
      <c r="A606" s="259">
        <v>586</v>
      </c>
      <c r="B606" s="259">
        <v>3000</v>
      </c>
      <c r="C606" s="367"/>
      <c r="D606" s="260"/>
      <c r="E606" s="304" t="s">
        <v>1889</v>
      </c>
      <c r="F606" s="402"/>
      <c r="G606" s="231"/>
      <c r="H606" s="231"/>
      <c r="I606" s="231"/>
      <c r="J606" s="231"/>
      <c r="K606" s="231"/>
      <c r="L606" s="232"/>
      <c r="R606" s="230"/>
      <c r="S606" s="233"/>
      <c r="T606" s="233"/>
      <c r="U606" s="234"/>
    </row>
    <row r="607" spans="1:21" ht="15.75" customHeight="1">
      <c r="A607" s="259">
        <v>587</v>
      </c>
      <c r="B607" s="259">
        <v>3000</v>
      </c>
      <c r="C607" s="367"/>
      <c r="D607" s="260"/>
      <c r="E607" s="303" t="s">
        <v>1880</v>
      </c>
      <c r="F607" s="402"/>
      <c r="G607" s="231"/>
      <c r="H607" s="231"/>
      <c r="I607" s="231"/>
      <c r="J607" s="231"/>
      <c r="K607" s="231"/>
      <c r="L607" s="232"/>
      <c r="R607" s="230"/>
      <c r="S607" s="233"/>
      <c r="T607" s="233"/>
      <c r="U607" s="234"/>
    </row>
    <row r="608" spans="1:21" ht="15.75" customHeight="1">
      <c r="A608" s="259">
        <v>588</v>
      </c>
      <c r="B608" s="259">
        <v>3000</v>
      </c>
      <c r="C608" s="367"/>
      <c r="D608" s="260"/>
      <c r="E608" s="303" t="s">
        <v>1881</v>
      </c>
      <c r="F608" s="402"/>
      <c r="G608" s="231"/>
      <c r="H608" s="231"/>
      <c r="I608" s="231"/>
      <c r="J608" s="231"/>
      <c r="K608" s="231"/>
      <c r="L608" s="232"/>
      <c r="R608" s="230"/>
      <c r="S608" s="233"/>
      <c r="T608" s="233"/>
      <c r="U608" s="234"/>
    </row>
    <row r="609" spans="1:21" ht="15.75" customHeight="1">
      <c r="A609" s="259">
        <v>589</v>
      </c>
      <c r="B609" s="259">
        <v>3000</v>
      </c>
      <c r="C609" s="367"/>
      <c r="D609" s="260"/>
      <c r="E609" s="303" t="s">
        <v>1882</v>
      </c>
      <c r="F609" s="402"/>
      <c r="G609" s="231"/>
      <c r="H609" s="231"/>
      <c r="I609" s="231"/>
      <c r="J609" s="231"/>
      <c r="K609" s="231"/>
      <c r="L609" s="232"/>
      <c r="R609" s="230"/>
      <c r="S609" s="233"/>
      <c r="T609" s="233"/>
      <c r="U609" s="234"/>
    </row>
    <row r="610" spans="1:21" ht="15.75" customHeight="1">
      <c r="A610" s="259">
        <v>590</v>
      </c>
      <c r="B610" s="259">
        <v>3000</v>
      </c>
      <c r="C610" s="367"/>
      <c r="D610" s="260"/>
      <c r="E610" s="303" t="s">
        <v>1883</v>
      </c>
      <c r="F610" s="402"/>
      <c r="G610" s="231"/>
      <c r="H610" s="231"/>
      <c r="I610" s="231"/>
      <c r="J610" s="231"/>
      <c r="K610" s="231"/>
      <c r="L610" s="232"/>
      <c r="R610" s="230"/>
      <c r="S610" s="233"/>
      <c r="T610" s="233"/>
      <c r="U610" s="234"/>
    </row>
    <row r="611" spans="1:21" ht="15.75" customHeight="1">
      <c r="A611" s="259">
        <v>591</v>
      </c>
      <c r="B611" s="259">
        <v>3000</v>
      </c>
      <c r="C611" s="367"/>
      <c r="D611" s="260"/>
      <c r="E611" s="303" t="s">
        <v>1884</v>
      </c>
      <c r="F611" s="402"/>
      <c r="G611" s="231"/>
      <c r="H611" s="231"/>
      <c r="I611" s="231"/>
      <c r="J611" s="231"/>
      <c r="K611" s="231"/>
      <c r="L611" s="232"/>
      <c r="R611" s="230"/>
      <c r="S611" s="233"/>
      <c r="T611" s="233"/>
      <c r="U611" s="234"/>
    </row>
    <row r="612" spans="1:21" ht="15.75" customHeight="1">
      <c r="A612" s="259">
        <v>592</v>
      </c>
      <c r="B612" s="259">
        <v>3000</v>
      </c>
      <c r="C612" s="367"/>
      <c r="D612" s="260"/>
      <c r="E612" s="303" t="s">
        <v>1885</v>
      </c>
      <c r="F612" s="402"/>
      <c r="G612" s="231"/>
      <c r="H612" s="231"/>
      <c r="I612" s="231"/>
      <c r="J612" s="231"/>
      <c r="K612" s="231"/>
      <c r="L612" s="232"/>
      <c r="R612" s="230"/>
      <c r="S612" s="233"/>
      <c r="T612" s="233"/>
      <c r="U612" s="234"/>
    </row>
    <row r="613" spans="1:21" ht="15.75" customHeight="1">
      <c r="A613" s="259">
        <v>593</v>
      </c>
      <c r="B613" s="259">
        <v>3000</v>
      </c>
      <c r="C613" s="367"/>
      <c r="D613" s="260"/>
      <c r="E613" s="303" t="s">
        <v>1886</v>
      </c>
      <c r="F613" s="402"/>
      <c r="G613" s="231"/>
      <c r="H613" s="231"/>
      <c r="I613" s="231"/>
      <c r="J613" s="231"/>
      <c r="K613" s="231"/>
      <c r="L613" s="232"/>
      <c r="R613" s="230"/>
      <c r="S613" s="233"/>
      <c r="T613" s="233"/>
      <c r="U613" s="234"/>
    </row>
    <row r="614" spans="1:21" ht="15.75" customHeight="1">
      <c r="A614" s="259">
        <v>594</v>
      </c>
      <c r="B614" s="259">
        <v>3000</v>
      </c>
      <c r="C614" s="367"/>
      <c r="D614" s="260"/>
      <c r="E614" s="303" t="s">
        <v>1887</v>
      </c>
      <c r="F614" s="402"/>
      <c r="G614" s="231"/>
      <c r="H614" s="231"/>
      <c r="I614" s="231"/>
      <c r="J614" s="231"/>
      <c r="K614" s="231"/>
      <c r="L614" s="232"/>
      <c r="R614" s="230"/>
      <c r="S614" s="233"/>
      <c r="T614" s="233"/>
      <c r="U614" s="234"/>
    </row>
    <row r="615" spans="1:21" ht="15.75" customHeight="1">
      <c r="A615" s="259">
        <v>595</v>
      </c>
      <c r="B615" s="259">
        <v>3000</v>
      </c>
      <c r="C615" s="367"/>
      <c r="D615" s="260"/>
      <c r="E615" s="303" t="s">
        <v>1888</v>
      </c>
      <c r="F615" s="402"/>
      <c r="G615" s="231"/>
      <c r="H615" s="231"/>
      <c r="I615" s="231"/>
      <c r="J615" s="231"/>
      <c r="K615" s="231"/>
      <c r="L615" s="232"/>
      <c r="R615" s="230"/>
      <c r="S615" s="233"/>
      <c r="T615" s="233"/>
      <c r="U615" s="234"/>
    </row>
    <row r="616" spans="1:21" ht="15.75" customHeight="1">
      <c r="A616" s="259">
        <v>596</v>
      </c>
      <c r="B616" s="259">
        <v>3000</v>
      </c>
      <c r="C616" s="367"/>
      <c r="D616" s="260"/>
      <c r="E616" s="303" t="s">
        <v>1889</v>
      </c>
      <c r="F616" s="402"/>
      <c r="G616" s="231"/>
      <c r="H616" s="231"/>
      <c r="I616" s="231"/>
      <c r="J616" s="231"/>
      <c r="K616" s="231"/>
      <c r="L616" s="232"/>
      <c r="R616" s="230"/>
      <c r="S616" s="233"/>
      <c r="T616" s="233"/>
      <c r="U616" s="234"/>
    </row>
    <row r="617" spans="1:21" ht="15.75" customHeight="1">
      <c r="A617" s="259">
        <v>597</v>
      </c>
      <c r="B617" s="259">
        <v>3000</v>
      </c>
      <c r="C617" s="367"/>
      <c r="D617" s="260"/>
      <c r="E617" s="314" t="s">
        <v>2628</v>
      </c>
      <c r="F617" s="402"/>
      <c r="G617" s="231"/>
      <c r="H617" s="231"/>
      <c r="I617" s="231"/>
      <c r="J617" s="231"/>
      <c r="K617" s="231"/>
      <c r="L617" s="232"/>
      <c r="R617" s="230"/>
      <c r="S617" s="233"/>
      <c r="T617" s="233"/>
      <c r="U617" s="234"/>
    </row>
    <row r="618" spans="1:21" ht="15.75" customHeight="1">
      <c r="A618" s="259">
        <v>598</v>
      </c>
      <c r="B618" s="259">
        <v>3000</v>
      </c>
      <c r="C618" s="367"/>
      <c r="D618" s="260"/>
      <c r="E618" s="304" t="s">
        <v>1890</v>
      </c>
      <c r="F618" s="402"/>
      <c r="G618" s="231"/>
      <c r="H618" s="231"/>
      <c r="I618" s="231"/>
      <c r="J618" s="231"/>
      <c r="K618" s="231"/>
      <c r="L618" s="232"/>
      <c r="R618" s="230"/>
      <c r="S618" s="233"/>
      <c r="T618" s="233"/>
      <c r="U618" s="234"/>
    </row>
    <row r="619" spans="1:21" ht="15.75" customHeight="1">
      <c r="A619" s="259">
        <v>599</v>
      </c>
      <c r="B619" s="259">
        <v>3000</v>
      </c>
      <c r="C619" s="367"/>
      <c r="D619" s="260"/>
      <c r="E619" s="304" t="s">
        <v>1891</v>
      </c>
      <c r="F619" s="402"/>
      <c r="G619" s="231"/>
      <c r="H619" s="231"/>
      <c r="I619" s="231"/>
      <c r="J619" s="231"/>
      <c r="K619" s="231"/>
      <c r="L619" s="232"/>
      <c r="R619" s="230"/>
      <c r="S619" s="233"/>
      <c r="T619" s="233"/>
      <c r="U619" s="234"/>
    </row>
    <row r="620" spans="1:21" ht="15.75" customHeight="1">
      <c r="A620" s="259">
        <v>600</v>
      </c>
      <c r="B620" s="259">
        <v>3000</v>
      </c>
      <c r="C620" s="367"/>
      <c r="D620" s="260"/>
      <c r="E620" s="304" t="s">
        <v>1892</v>
      </c>
      <c r="F620" s="402"/>
      <c r="G620" s="231"/>
      <c r="H620" s="231"/>
      <c r="I620" s="231"/>
      <c r="J620" s="231"/>
      <c r="K620" s="231"/>
      <c r="L620" s="232"/>
      <c r="R620" s="230"/>
      <c r="S620" s="233"/>
      <c r="T620" s="233"/>
      <c r="U620" s="234"/>
    </row>
    <row r="621" spans="1:21" ht="15.75" customHeight="1">
      <c r="A621" s="259">
        <v>601</v>
      </c>
      <c r="B621" s="259">
        <v>3000</v>
      </c>
      <c r="C621" s="367"/>
      <c r="D621" s="260"/>
      <c r="E621" s="304" t="s">
        <v>1893</v>
      </c>
      <c r="F621" s="402"/>
      <c r="G621" s="231"/>
      <c r="H621" s="231"/>
      <c r="I621" s="231"/>
      <c r="J621" s="231"/>
      <c r="K621" s="231"/>
      <c r="L621" s="232"/>
      <c r="R621" s="230"/>
      <c r="S621" s="233"/>
      <c r="T621" s="233"/>
      <c r="U621" s="234"/>
    </row>
    <row r="622" spans="1:21" ht="15.75" customHeight="1">
      <c r="A622" s="259">
        <v>602</v>
      </c>
      <c r="B622" s="259">
        <v>3000</v>
      </c>
      <c r="C622" s="367"/>
      <c r="D622" s="260"/>
      <c r="E622" s="314" t="s">
        <v>2629</v>
      </c>
      <c r="F622" s="402"/>
      <c r="G622" s="231"/>
      <c r="H622" s="231"/>
      <c r="I622" s="231"/>
      <c r="J622" s="231"/>
      <c r="K622" s="231"/>
      <c r="L622" s="232"/>
      <c r="R622" s="230"/>
      <c r="S622" s="233"/>
      <c r="T622" s="233"/>
      <c r="U622" s="234"/>
    </row>
    <row r="623" spans="1:21" ht="15.75" customHeight="1">
      <c r="A623" s="259">
        <v>603</v>
      </c>
      <c r="B623" s="259">
        <v>3000</v>
      </c>
      <c r="C623" s="367"/>
      <c r="D623" s="260"/>
      <c r="E623" s="304" t="s">
        <v>1894</v>
      </c>
      <c r="F623" s="402"/>
      <c r="G623" s="231"/>
      <c r="H623" s="231"/>
      <c r="I623" s="231"/>
      <c r="J623" s="231"/>
      <c r="K623" s="231"/>
      <c r="L623" s="232"/>
      <c r="R623" s="230"/>
      <c r="S623" s="233"/>
      <c r="T623" s="233"/>
      <c r="U623" s="234"/>
    </row>
    <row r="624" spans="1:21" ht="15.75" customHeight="1">
      <c r="A624" s="259">
        <v>604</v>
      </c>
      <c r="B624" s="259">
        <v>3000</v>
      </c>
      <c r="C624" s="367"/>
      <c r="D624" s="260"/>
      <c r="E624" s="304" t="s">
        <v>1895</v>
      </c>
      <c r="F624" s="402"/>
      <c r="G624" s="231"/>
      <c r="H624" s="231"/>
      <c r="I624" s="231"/>
      <c r="J624" s="231"/>
      <c r="K624" s="231"/>
      <c r="L624" s="232"/>
      <c r="R624" s="230"/>
      <c r="S624" s="233"/>
      <c r="T624" s="233"/>
      <c r="U624" s="234"/>
    </row>
    <row r="625" spans="1:21" ht="15.75" customHeight="1">
      <c r="A625" s="259">
        <v>605</v>
      </c>
      <c r="B625" s="259">
        <v>3000</v>
      </c>
      <c r="C625" s="367"/>
      <c r="D625" s="260"/>
      <c r="E625" s="304" t="s">
        <v>1896</v>
      </c>
      <c r="F625" s="402"/>
      <c r="G625" s="231"/>
      <c r="H625" s="231"/>
      <c r="I625" s="231"/>
      <c r="J625" s="231"/>
      <c r="K625" s="231"/>
      <c r="L625" s="232"/>
      <c r="R625" s="230"/>
      <c r="S625" s="233"/>
      <c r="T625" s="233"/>
      <c r="U625" s="234"/>
    </row>
    <row r="626" spans="1:21" ht="15.75" customHeight="1">
      <c r="A626" s="259">
        <v>606</v>
      </c>
      <c r="B626" s="259">
        <v>3000</v>
      </c>
      <c r="C626" s="367"/>
      <c r="D626" s="260"/>
      <c r="E626" s="303" t="s">
        <v>1897</v>
      </c>
      <c r="F626" s="402"/>
      <c r="G626" s="231"/>
      <c r="H626" s="231"/>
      <c r="I626" s="231"/>
      <c r="J626" s="231"/>
      <c r="K626" s="231"/>
      <c r="L626" s="232"/>
      <c r="R626" s="230"/>
      <c r="S626" s="233"/>
      <c r="T626" s="233"/>
      <c r="U626" s="234"/>
    </row>
    <row r="627" spans="1:21" ht="15.75" customHeight="1">
      <c r="A627" s="259">
        <v>607</v>
      </c>
      <c r="B627" s="259">
        <v>3000</v>
      </c>
      <c r="C627" s="367"/>
      <c r="D627" s="260"/>
      <c r="E627" s="303" t="s">
        <v>1898</v>
      </c>
      <c r="F627" s="402"/>
      <c r="G627" s="231"/>
      <c r="H627" s="231"/>
      <c r="I627" s="231"/>
      <c r="J627" s="231"/>
      <c r="K627" s="231"/>
      <c r="L627" s="232"/>
      <c r="R627" s="230"/>
      <c r="S627" s="233"/>
      <c r="T627" s="233"/>
      <c r="U627" s="234"/>
    </row>
    <row r="628" spans="1:21" ht="15.75" customHeight="1">
      <c r="A628" s="259">
        <v>608</v>
      </c>
      <c r="B628" s="259">
        <v>3000</v>
      </c>
      <c r="C628" s="367"/>
      <c r="D628" s="260"/>
      <c r="E628" s="303" t="s">
        <v>1899</v>
      </c>
      <c r="F628" s="402"/>
      <c r="G628" s="231"/>
      <c r="H628" s="231"/>
      <c r="I628" s="231"/>
      <c r="J628" s="231"/>
      <c r="K628" s="231"/>
      <c r="L628" s="232"/>
      <c r="R628" s="230"/>
      <c r="S628" s="233"/>
      <c r="T628" s="233"/>
      <c r="U628" s="234"/>
    </row>
    <row r="629" spans="1:21" ht="15.75" customHeight="1">
      <c r="A629" s="259">
        <v>609</v>
      </c>
      <c r="B629" s="259">
        <v>3000</v>
      </c>
      <c r="C629" s="367"/>
      <c r="D629" s="260"/>
      <c r="E629" s="303" t="s">
        <v>1900</v>
      </c>
      <c r="F629" s="403"/>
      <c r="G629" s="231"/>
      <c r="H629" s="231"/>
      <c r="I629" s="231"/>
      <c r="J629" s="231"/>
      <c r="K629" s="231"/>
      <c r="L629" s="232"/>
      <c r="R629" s="230"/>
      <c r="S629" s="233"/>
      <c r="T629" s="233"/>
      <c r="U629" s="234"/>
    </row>
    <row r="630" spans="1:21" ht="15.75" customHeight="1">
      <c r="A630" s="259">
        <v>610</v>
      </c>
      <c r="B630" s="259">
        <v>3000</v>
      </c>
      <c r="C630" s="408" t="s">
        <v>2667</v>
      </c>
      <c r="D630" s="260"/>
      <c r="E630" s="314" t="s">
        <v>2630</v>
      </c>
      <c r="F630" s="401">
        <v>3016</v>
      </c>
      <c r="G630" s="231"/>
      <c r="H630" s="231"/>
      <c r="I630" s="231"/>
      <c r="J630" s="231"/>
      <c r="K630" s="231"/>
      <c r="L630" s="232"/>
      <c r="R630" s="230"/>
      <c r="S630" s="233"/>
      <c r="T630" s="233"/>
      <c r="U630" s="234"/>
    </row>
    <row r="631" spans="1:21" ht="15.75" customHeight="1">
      <c r="A631" s="259">
        <v>611</v>
      </c>
      <c r="B631" s="259">
        <v>3000</v>
      </c>
      <c r="C631" s="367"/>
      <c r="D631" s="260"/>
      <c r="E631" s="304" t="s">
        <v>1328</v>
      </c>
      <c r="F631" s="402"/>
      <c r="G631" s="231"/>
      <c r="H631" s="231"/>
      <c r="I631" s="231"/>
      <c r="J631" s="231"/>
      <c r="K631" s="231"/>
      <c r="L631" s="232"/>
      <c r="R631" s="230"/>
      <c r="S631" s="233"/>
      <c r="T631" s="233"/>
      <c r="U631" s="234"/>
    </row>
    <row r="632" spans="1:21" ht="15.75" customHeight="1">
      <c r="A632" s="259">
        <v>612</v>
      </c>
      <c r="B632" s="259">
        <v>3000</v>
      </c>
      <c r="C632" s="367"/>
      <c r="D632" s="260"/>
      <c r="E632" s="304" t="s">
        <v>1332</v>
      </c>
      <c r="F632" s="402"/>
      <c r="G632" s="231"/>
      <c r="H632" s="231"/>
      <c r="I632" s="231"/>
      <c r="J632" s="231"/>
      <c r="K632" s="231"/>
      <c r="L632" s="232"/>
      <c r="R632" s="230"/>
      <c r="S632" s="233"/>
      <c r="T632" s="233"/>
      <c r="U632" s="234"/>
    </row>
    <row r="633" spans="1:21" ht="15.75" customHeight="1">
      <c r="A633" s="259">
        <v>613</v>
      </c>
      <c r="B633" s="259">
        <v>3000</v>
      </c>
      <c r="C633" s="367"/>
      <c r="D633" s="260"/>
      <c r="E633" s="314" t="s">
        <v>2631</v>
      </c>
      <c r="F633" s="402"/>
      <c r="G633" s="231"/>
      <c r="H633" s="231"/>
      <c r="I633" s="231"/>
      <c r="J633" s="231"/>
      <c r="K633" s="231"/>
      <c r="L633" s="232"/>
      <c r="R633" s="230"/>
      <c r="S633" s="233"/>
      <c r="T633" s="233"/>
      <c r="U633" s="234"/>
    </row>
    <row r="634" spans="1:21" ht="15.75" customHeight="1">
      <c r="A634" s="259">
        <v>614</v>
      </c>
      <c r="B634" s="259">
        <v>3000</v>
      </c>
      <c r="C634" s="367"/>
      <c r="D634" s="260"/>
      <c r="E634" s="304" t="s">
        <v>1336</v>
      </c>
      <c r="F634" s="402"/>
      <c r="G634" s="231"/>
      <c r="H634" s="231"/>
      <c r="I634" s="231"/>
      <c r="J634" s="231"/>
      <c r="K634" s="231"/>
      <c r="L634" s="232"/>
      <c r="R634" s="230"/>
      <c r="S634" s="233"/>
      <c r="T634" s="233"/>
      <c r="U634" s="234"/>
    </row>
    <row r="635" spans="1:21" ht="15.75" customHeight="1">
      <c r="A635" s="259">
        <v>615</v>
      </c>
      <c r="B635" s="259">
        <v>3000</v>
      </c>
      <c r="C635" s="367"/>
      <c r="D635" s="260"/>
      <c r="E635" s="304" t="s">
        <v>1340</v>
      </c>
      <c r="F635" s="402"/>
      <c r="G635" s="231"/>
      <c r="H635" s="231"/>
      <c r="I635" s="231"/>
      <c r="J635" s="231"/>
      <c r="K635" s="231"/>
      <c r="L635" s="232"/>
      <c r="R635" s="230"/>
      <c r="S635" s="233"/>
      <c r="T635" s="233"/>
      <c r="U635" s="234"/>
    </row>
    <row r="636" spans="1:21" ht="15.75" customHeight="1">
      <c r="A636" s="259">
        <v>616</v>
      </c>
      <c r="B636" s="259">
        <v>3000</v>
      </c>
      <c r="C636" s="367"/>
      <c r="D636" s="260"/>
      <c r="E636" s="304" t="s">
        <v>1344</v>
      </c>
      <c r="F636" s="403"/>
      <c r="G636" s="231"/>
      <c r="H636" s="231"/>
      <c r="I636" s="231"/>
      <c r="J636" s="231"/>
      <c r="K636" s="231"/>
      <c r="L636" s="232"/>
      <c r="R636" s="230"/>
      <c r="S636" s="233"/>
      <c r="T636" s="233"/>
      <c r="U636" s="234"/>
    </row>
    <row r="637" spans="1:21" ht="15.75" customHeight="1">
      <c r="A637" s="259">
        <v>617</v>
      </c>
      <c r="B637" s="259">
        <v>3000</v>
      </c>
      <c r="C637" s="367"/>
      <c r="D637" s="260"/>
      <c r="E637" s="303" t="s">
        <v>1348</v>
      </c>
      <c r="F637" s="259"/>
      <c r="G637" s="231"/>
      <c r="H637" s="231"/>
      <c r="I637" s="231"/>
      <c r="J637" s="231"/>
      <c r="K637" s="231"/>
      <c r="L637" s="232"/>
      <c r="R637" s="230"/>
      <c r="S637" s="233"/>
      <c r="T637" s="233"/>
      <c r="U637" s="234"/>
    </row>
    <row r="638" spans="1:21" ht="15.75" customHeight="1">
      <c r="A638" s="259">
        <v>618</v>
      </c>
      <c r="B638" s="259">
        <v>3000</v>
      </c>
      <c r="C638" s="367"/>
      <c r="D638" s="260"/>
      <c r="E638" s="303" t="s">
        <v>1353</v>
      </c>
      <c r="F638" s="259"/>
      <c r="G638" s="231"/>
      <c r="H638" s="231"/>
      <c r="I638" s="231"/>
      <c r="J638" s="231"/>
      <c r="K638" s="231"/>
      <c r="L638" s="232"/>
      <c r="R638" s="230"/>
      <c r="S638" s="233"/>
      <c r="T638" s="233"/>
      <c r="U638" s="234"/>
    </row>
    <row r="639" spans="1:21" ht="15.75" customHeight="1">
      <c r="A639" s="259">
        <v>619</v>
      </c>
      <c r="B639" s="259">
        <v>3000</v>
      </c>
      <c r="C639" s="367"/>
      <c r="D639" s="260"/>
      <c r="E639" s="303" t="s">
        <v>1358</v>
      </c>
      <c r="F639" s="259"/>
      <c r="G639" s="231"/>
      <c r="H639" s="231"/>
      <c r="I639" s="231"/>
      <c r="J639" s="231"/>
      <c r="K639" s="231"/>
      <c r="L639" s="232"/>
      <c r="R639" s="230"/>
      <c r="S639" s="233"/>
      <c r="T639" s="233"/>
      <c r="U639" s="234"/>
    </row>
    <row r="640" spans="1:21" ht="15.75" customHeight="1">
      <c r="A640" s="259">
        <v>620</v>
      </c>
      <c r="B640" s="259">
        <v>3000</v>
      </c>
      <c r="C640" s="367"/>
      <c r="D640" s="260"/>
      <c r="E640" s="303" t="s">
        <v>1364</v>
      </c>
      <c r="F640" s="259"/>
      <c r="G640" s="231"/>
      <c r="H640" s="231"/>
      <c r="I640" s="231"/>
      <c r="J640" s="231"/>
      <c r="K640" s="231"/>
      <c r="L640" s="232"/>
      <c r="R640" s="230"/>
      <c r="S640" s="233"/>
      <c r="T640" s="233"/>
      <c r="U640" s="234"/>
    </row>
    <row r="641" spans="1:21" ht="15.75" customHeight="1">
      <c r="A641" s="259">
        <v>621</v>
      </c>
      <c r="B641" s="259">
        <v>3000</v>
      </c>
      <c r="C641" s="367"/>
      <c r="D641" s="260"/>
      <c r="E641" s="303" t="s">
        <v>1368</v>
      </c>
      <c r="F641" s="259"/>
      <c r="G641" s="231"/>
      <c r="H641" s="231"/>
      <c r="I641" s="231"/>
      <c r="J641" s="231"/>
      <c r="K641" s="231"/>
      <c r="L641" s="232"/>
      <c r="R641" s="230"/>
      <c r="S641" s="233"/>
      <c r="T641" s="233"/>
      <c r="U641" s="234"/>
    </row>
    <row r="642" spans="1:21" ht="15.75" customHeight="1">
      <c r="A642" s="259">
        <v>622</v>
      </c>
      <c r="B642" s="259">
        <v>3000</v>
      </c>
      <c r="C642" s="367"/>
      <c r="D642" s="260"/>
      <c r="E642" s="303" t="s">
        <v>2632</v>
      </c>
      <c r="F642" s="259"/>
      <c r="G642" s="231"/>
      <c r="H642" s="231"/>
      <c r="I642" s="231"/>
      <c r="J642" s="231"/>
      <c r="K642" s="231"/>
      <c r="L642" s="232"/>
      <c r="R642" s="230"/>
      <c r="S642" s="233"/>
      <c r="T642" s="233"/>
      <c r="U642" s="234"/>
    </row>
    <row r="643" spans="1:21" ht="15.75" customHeight="1">
      <c r="A643" s="259">
        <v>623</v>
      </c>
      <c r="B643" s="259">
        <v>3000</v>
      </c>
      <c r="C643" s="302" t="s">
        <v>1751</v>
      </c>
      <c r="D643" s="260"/>
      <c r="E643" s="302" t="s">
        <v>2633</v>
      </c>
      <c r="F643" s="259"/>
      <c r="G643" s="231"/>
      <c r="H643" s="231"/>
      <c r="I643" s="231"/>
      <c r="J643" s="231"/>
      <c r="K643" s="231"/>
      <c r="L643" s="232"/>
      <c r="R643" s="230"/>
      <c r="S643" s="233"/>
      <c r="T643" s="233"/>
      <c r="U643" s="234"/>
    </row>
    <row r="644" spans="1:21" ht="15.75" customHeight="1">
      <c r="A644" s="259">
        <v>624</v>
      </c>
      <c r="B644" s="259">
        <v>3000</v>
      </c>
      <c r="C644" s="367" t="s">
        <v>2635</v>
      </c>
      <c r="D644" s="260"/>
      <c r="E644" s="304" t="s">
        <v>2632</v>
      </c>
      <c r="F644" s="259"/>
      <c r="G644" s="231"/>
      <c r="H644" s="231"/>
      <c r="I644" s="231"/>
      <c r="J644" s="231"/>
      <c r="K644" s="231"/>
      <c r="L644" s="232"/>
      <c r="R644" s="230"/>
      <c r="S644" s="233"/>
      <c r="T644" s="233"/>
      <c r="U644" s="234"/>
    </row>
    <row r="645" spans="1:21" ht="15.75" customHeight="1">
      <c r="A645" s="259">
        <v>625</v>
      </c>
      <c r="B645" s="259">
        <v>3000</v>
      </c>
      <c r="C645" s="367"/>
      <c r="D645" s="260"/>
      <c r="E645" s="304" t="s">
        <v>2634</v>
      </c>
      <c r="F645" s="259"/>
      <c r="G645" s="231"/>
      <c r="H645" s="231"/>
      <c r="I645" s="231"/>
      <c r="J645" s="231"/>
      <c r="K645" s="231"/>
      <c r="L645" s="232"/>
      <c r="R645" s="230"/>
      <c r="S645" s="233"/>
      <c r="T645" s="233"/>
      <c r="U645" s="234"/>
    </row>
    <row r="646" spans="1:21" ht="15.75" customHeight="1">
      <c r="A646" s="259">
        <v>626</v>
      </c>
      <c r="B646" s="259">
        <v>3000</v>
      </c>
      <c r="C646" s="367" t="s">
        <v>2637</v>
      </c>
      <c r="D646" s="260"/>
      <c r="E646" s="304" t="s">
        <v>1109</v>
      </c>
      <c r="F646" s="259"/>
      <c r="G646" s="231"/>
      <c r="H646" s="231"/>
      <c r="I646" s="231"/>
      <c r="J646" s="231"/>
      <c r="K646" s="231"/>
      <c r="L646" s="232"/>
      <c r="R646" s="230"/>
      <c r="S646" s="233"/>
      <c r="T646" s="233"/>
      <c r="U646" s="234"/>
    </row>
    <row r="647" spans="1:21" ht="15.75" customHeight="1">
      <c r="A647" s="259">
        <v>627</v>
      </c>
      <c r="B647" s="259">
        <v>3000</v>
      </c>
      <c r="C647" s="367"/>
      <c r="D647" s="260"/>
      <c r="E647" s="304" t="s">
        <v>2636</v>
      </c>
      <c r="F647" s="259"/>
      <c r="G647" s="231"/>
      <c r="H647" s="231"/>
      <c r="I647" s="231"/>
      <c r="J647" s="231"/>
      <c r="K647" s="231"/>
      <c r="L647" s="232"/>
      <c r="R647" s="230"/>
      <c r="S647" s="233"/>
      <c r="T647" s="233"/>
      <c r="U647" s="234"/>
    </row>
    <row r="648" spans="1:21" ht="15.75" customHeight="1">
      <c r="A648" s="259">
        <v>628</v>
      </c>
      <c r="B648" s="259">
        <v>3000</v>
      </c>
      <c r="C648" s="367" t="s">
        <v>2641</v>
      </c>
      <c r="D648" s="260"/>
      <c r="E648" s="304" t="s">
        <v>2638</v>
      </c>
      <c r="F648" s="259"/>
      <c r="G648" s="231"/>
      <c r="H648" s="231"/>
      <c r="I648" s="231"/>
      <c r="J648" s="231"/>
      <c r="K648" s="231"/>
      <c r="L648" s="232"/>
      <c r="R648" s="230"/>
      <c r="S648" s="233"/>
      <c r="T648" s="233"/>
      <c r="U648" s="234"/>
    </row>
    <row r="649" spans="1:21" ht="15.75" customHeight="1">
      <c r="A649" s="259">
        <v>629</v>
      </c>
      <c r="B649" s="259">
        <v>3000</v>
      </c>
      <c r="C649" s="367"/>
      <c r="D649" s="260"/>
      <c r="E649" s="308" t="s">
        <v>2639</v>
      </c>
      <c r="F649" s="259"/>
      <c r="G649" s="231"/>
      <c r="H649" s="231"/>
      <c r="I649" s="231"/>
      <c r="J649" s="231"/>
      <c r="K649" s="231"/>
      <c r="L649" s="232"/>
      <c r="R649" s="230"/>
      <c r="S649" s="233"/>
      <c r="T649" s="233"/>
      <c r="U649" s="234"/>
    </row>
    <row r="650" spans="1:21" ht="15.75" customHeight="1">
      <c r="A650" s="259">
        <v>630</v>
      </c>
      <c r="B650" s="259">
        <v>3000</v>
      </c>
      <c r="C650" s="367"/>
      <c r="D650" s="260"/>
      <c r="E650" s="304" t="s">
        <v>2640</v>
      </c>
      <c r="F650" s="259"/>
      <c r="G650" s="231"/>
      <c r="H650" s="231"/>
      <c r="I650" s="231"/>
      <c r="J650" s="231"/>
      <c r="K650" s="231"/>
      <c r="L650" s="232"/>
      <c r="R650" s="230"/>
      <c r="S650" s="233"/>
      <c r="T650" s="233"/>
      <c r="U650" s="234"/>
    </row>
    <row r="651" spans="1:21" ht="15.75" customHeight="1">
      <c r="A651" s="259">
        <v>631</v>
      </c>
      <c r="B651" s="259">
        <v>3000</v>
      </c>
      <c r="C651" s="367" t="s">
        <v>2645</v>
      </c>
      <c r="D651" s="260"/>
      <c r="E651" s="304" t="s">
        <v>2642</v>
      </c>
      <c r="F651" s="259"/>
      <c r="G651" s="231"/>
      <c r="H651" s="231"/>
      <c r="I651" s="231"/>
      <c r="J651" s="231"/>
      <c r="K651" s="231"/>
      <c r="L651" s="232"/>
      <c r="R651" s="230"/>
      <c r="S651" s="233"/>
      <c r="T651" s="233"/>
      <c r="U651" s="234"/>
    </row>
    <row r="652" spans="1:21" ht="15.75" customHeight="1">
      <c r="A652" s="259">
        <v>632</v>
      </c>
      <c r="B652" s="259">
        <v>3000</v>
      </c>
      <c r="C652" s="367"/>
      <c r="D652" s="260"/>
      <c r="E652" s="304" t="s">
        <v>2643</v>
      </c>
      <c r="F652" s="259"/>
      <c r="G652" s="231"/>
      <c r="H652" s="231"/>
      <c r="I652" s="231"/>
      <c r="J652" s="231"/>
      <c r="K652" s="231"/>
      <c r="L652" s="232"/>
      <c r="R652" s="230"/>
      <c r="S652" s="233"/>
      <c r="T652" s="233"/>
      <c r="U652" s="234"/>
    </row>
    <row r="653" spans="1:21" ht="15.75" customHeight="1">
      <c r="A653" s="259">
        <v>633</v>
      </c>
      <c r="B653" s="259">
        <v>3000</v>
      </c>
      <c r="C653" s="367"/>
      <c r="D653" s="260"/>
      <c r="E653" s="304" t="s">
        <v>2644</v>
      </c>
      <c r="F653" s="259"/>
      <c r="G653" s="231"/>
      <c r="H653" s="231"/>
      <c r="I653" s="231"/>
      <c r="J653" s="231"/>
      <c r="K653" s="231"/>
      <c r="L653" s="232"/>
      <c r="R653" s="230"/>
      <c r="S653" s="233"/>
      <c r="T653" s="233"/>
      <c r="U653" s="234"/>
    </row>
    <row r="654" spans="1:21" ht="15.75" customHeight="1">
      <c r="A654" s="259">
        <v>634</v>
      </c>
      <c r="B654" s="259">
        <v>3000</v>
      </c>
      <c r="C654" s="301" t="s">
        <v>168</v>
      </c>
      <c r="D654" s="260"/>
      <c r="E654" s="301" t="s">
        <v>1557</v>
      </c>
      <c r="F654" s="259"/>
      <c r="G654" s="231"/>
      <c r="H654" s="231"/>
      <c r="I654" s="231"/>
      <c r="J654" s="231"/>
      <c r="K654" s="231"/>
      <c r="L654" s="232"/>
      <c r="R654" s="230"/>
      <c r="S654" s="233"/>
      <c r="T654" s="233"/>
      <c r="U654" s="234"/>
    </row>
    <row r="655" spans="1:21" ht="15.75" customHeight="1">
      <c r="A655" s="259">
        <v>635</v>
      </c>
      <c r="B655" s="259">
        <v>3000</v>
      </c>
      <c r="C655" s="367" t="s">
        <v>2649</v>
      </c>
      <c r="D655" s="260"/>
      <c r="E655" s="304" t="s">
        <v>1560</v>
      </c>
      <c r="F655" s="259"/>
      <c r="G655" s="231"/>
      <c r="H655" s="231"/>
      <c r="I655" s="231"/>
      <c r="J655" s="231"/>
      <c r="K655" s="231"/>
      <c r="L655" s="232"/>
      <c r="R655" s="230"/>
      <c r="S655" s="233"/>
      <c r="T655" s="233"/>
      <c r="U655" s="234"/>
    </row>
    <row r="656" spans="1:21" ht="15.75" customHeight="1">
      <c r="A656" s="259">
        <v>636</v>
      </c>
      <c r="B656" s="259">
        <v>3000</v>
      </c>
      <c r="C656" s="367"/>
      <c r="D656" s="260"/>
      <c r="E656" s="304" t="s">
        <v>1563</v>
      </c>
      <c r="F656" s="259"/>
      <c r="G656" s="231"/>
      <c r="H656" s="231"/>
      <c r="I656" s="231"/>
      <c r="J656" s="231"/>
      <c r="K656" s="231"/>
      <c r="L656" s="232"/>
      <c r="R656" s="230"/>
      <c r="S656" s="233"/>
      <c r="T656" s="233"/>
      <c r="U656" s="234"/>
    </row>
    <row r="657" spans="1:21" ht="15.75" customHeight="1">
      <c r="A657" s="259">
        <v>637</v>
      </c>
      <c r="B657" s="259">
        <v>3000</v>
      </c>
      <c r="C657" s="367"/>
      <c r="D657" s="260"/>
      <c r="E657" s="304" t="s">
        <v>1568</v>
      </c>
      <c r="F657" s="259"/>
      <c r="G657" s="231"/>
      <c r="H657" s="231"/>
      <c r="I657" s="231"/>
      <c r="J657" s="231"/>
      <c r="K657" s="231"/>
      <c r="L657" s="232"/>
      <c r="R657" s="230"/>
      <c r="S657" s="233"/>
      <c r="T657" s="233"/>
      <c r="U657" s="234"/>
    </row>
    <row r="658" spans="1:21" ht="15.75" customHeight="1">
      <c r="A658" s="259">
        <v>638</v>
      </c>
      <c r="B658" s="259">
        <v>3000</v>
      </c>
      <c r="C658" s="367"/>
      <c r="D658" s="260"/>
      <c r="E658" s="304" t="s">
        <v>2646</v>
      </c>
      <c r="F658" s="259"/>
      <c r="G658" s="231"/>
      <c r="H658" s="231"/>
      <c r="I658" s="231"/>
      <c r="J658" s="231"/>
      <c r="K658" s="231"/>
      <c r="L658" s="232"/>
      <c r="R658" s="230"/>
      <c r="S658" s="233"/>
      <c r="T658" s="233"/>
      <c r="U658" s="234"/>
    </row>
    <row r="659" spans="1:21" ht="15.75" customHeight="1">
      <c r="A659" s="259">
        <v>639</v>
      </c>
      <c r="B659" s="259">
        <v>3000</v>
      </c>
      <c r="C659" s="367"/>
      <c r="D659" s="260"/>
      <c r="E659" s="304" t="s">
        <v>2647</v>
      </c>
      <c r="F659" s="259"/>
      <c r="G659" s="231"/>
      <c r="H659" s="231"/>
      <c r="I659" s="231"/>
      <c r="J659" s="231"/>
      <c r="K659" s="231"/>
      <c r="L659" s="232"/>
      <c r="R659" s="230"/>
      <c r="S659" s="233"/>
      <c r="T659" s="233"/>
      <c r="U659" s="234"/>
    </row>
    <row r="660" spans="1:21" ht="15.75" customHeight="1">
      <c r="A660" s="259">
        <v>640</v>
      </c>
      <c r="B660" s="259">
        <v>3000</v>
      </c>
      <c r="C660" s="367"/>
      <c r="D660" s="260"/>
      <c r="E660" s="304" t="s">
        <v>2648</v>
      </c>
      <c r="F660" s="259"/>
      <c r="G660" s="231"/>
      <c r="H660" s="231"/>
      <c r="I660" s="231"/>
      <c r="J660" s="231"/>
      <c r="K660" s="231"/>
      <c r="L660" s="232"/>
      <c r="R660" s="230"/>
      <c r="S660" s="233"/>
      <c r="T660" s="233"/>
      <c r="U660" s="234"/>
    </row>
    <row r="661" spans="1:21" ht="15.75" customHeight="1">
      <c r="A661" s="259">
        <v>641</v>
      </c>
      <c r="B661" s="259">
        <v>3000</v>
      </c>
      <c r="C661" s="301" t="s">
        <v>1984</v>
      </c>
      <c r="D661" s="260"/>
      <c r="E661" s="301" t="s">
        <v>1832</v>
      </c>
      <c r="F661" s="259"/>
      <c r="G661" s="231"/>
      <c r="H661" s="231"/>
      <c r="I661" s="231"/>
      <c r="J661" s="231"/>
      <c r="K661" s="231"/>
      <c r="L661" s="232"/>
      <c r="R661" s="230"/>
      <c r="S661" s="233"/>
      <c r="T661" s="233"/>
      <c r="U661" s="234"/>
    </row>
    <row r="662" spans="1:21" ht="15.75" customHeight="1">
      <c r="A662" s="259">
        <v>642</v>
      </c>
      <c r="B662" s="259">
        <v>2000</v>
      </c>
      <c r="C662" s="366" t="s">
        <v>2683</v>
      </c>
      <c r="D662" s="260"/>
      <c r="E662" s="317" t="s">
        <v>2688</v>
      </c>
      <c r="F662" s="259"/>
      <c r="G662" s="231"/>
      <c r="H662" s="231"/>
      <c r="I662" s="231"/>
      <c r="J662" s="231"/>
      <c r="K662" s="231"/>
      <c r="L662" s="232"/>
      <c r="R662" s="230"/>
      <c r="S662" s="233"/>
      <c r="T662" s="233"/>
      <c r="U662" s="234"/>
    </row>
    <row r="663" spans="1:21" ht="15.75" customHeight="1">
      <c r="A663" s="259">
        <v>643</v>
      </c>
      <c r="B663" s="259">
        <v>2000</v>
      </c>
      <c r="C663" s="366"/>
      <c r="D663" s="260"/>
      <c r="E663" s="317" t="s">
        <v>2689</v>
      </c>
      <c r="F663" s="259"/>
      <c r="G663" s="231"/>
      <c r="H663" s="231"/>
      <c r="I663" s="231"/>
      <c r="J663" s="231"/>
      <c r="K663" s="231"/>
      <c r="L663" s="232"/>
      <c r="R663" s="230"/>
      <c r="S663" s="233"/>
      <c r="T663" s="233"/>
      <c r="U663" s="234"/>
    </row>
    <row r="664" spans="1:21" ht="15.75" customHeight="1">
      <c r="A664" s="259">
        <v>644</v>
      </c>
      <c r="B664" s="259">
        <v>2000</v>
      </c>
      <c r="C664" s="366"/>
      <c r="D664" s="260"/>
      <c r="E664" s="317" t="s">
        <v>2690</v>
      </c>
      <c r="F664" s="259"/>
      <c r="G664" s="231"/>
      <c r="H664" s="231"/>
      <c r="I664" s="231"/>
      <c r="J664" s="231"/>
      <c r="K664" s="231"/>
      <c r="L664" s="232"/>
      <c r="R664" s="230"/>
      <c r="S664" s="233"/>
      <c r="T664" s="233"/>
      <c r="U664" s="234"/>
    </row>
    <row r="665" spans="1:21" ht="15.75" customHeight="1">
      <c r="A665" s="259">
        <v>645</v>
      </c>
      <c r="B665" s="259">
        <v>2000</v>
      </c>
      <c r="C665" s="366"/>
      <c r="D665" s="260"/>
      <c r="E665" s="317" t="s">
        <v>2691</v>
      </c>
      <c r="F665" s="259"/>
      <c r="G665" s="231"/>
      <c r="H665" s="231"/>
      <c r="I665" s="231"/>
      <c r="J665" s="231"/>
      <c r="K665" s="231"/>
      <c r="L665" s="232"/>
      <c r="R665" s="230"/>
      <c r="S665" s="233"/>
      <c r="T665" s="233"/>
      <c r="U665" s="234"/>
    </row>
    <row r="666" spans="1:21" ht="15.75" customHeight="1">
      <c r="A666" s="259">
        <v>646</v>
      </c>
      <c r="B666" s="259">
        <v>2000</v>
      </c>
      <c r="C666" s="366"/>
      <c r="D666" s="260"/>
      <c r="E666" s="317" t="s">
        <v>2692</v>
      </c>
      <c r="F666" s="259"/>
      <c r="G666" s="231"/>
      <c r="H666" s="231"/>
      <c r="I666" s="231"/>
      <c r="J666" s="231"/>
      <c r="K666" s="231"/>
      <c r="L666" s="232"/>
      <c r="R666" s="230"/>
      <c r="S666" s="233"/>
      <c r="T666" s="233"/>
      <c r="U666" s="234"/>
    </row>
    <row r="667" spans="1:21" ht="15.75" customHeight="1">
      <c r="A667" s="259">
        <v>647</v>
      </c>
      <c r="B667" s="259">
        <v>2000</v>
      </c>
      <c r="C667" s="366"/>
      <c r="D667" s="260"/>
      <c r="E667" s="317" t="s">
        <v>2693</v>
      </c>
      <c r="F667" s="259"/>
      <c r="G667" s="231"/>
      <c r="H667" s="231"/>
      <c r="I667" s="231"/>
      <c r="J667" s="231"/>
      <c r="K667" s="231"/>
      <c r="L667" s="232"/>
      <c r="R667" s="230"/>
      <c r="S667" s="233"/>
      <c r="T667" s="233"/>
      <c r="U667" s="234"/>
    </row>
    <row r="668" spans="1:21" ht="15.75" customHeight="1">
      <c r="A668" s="259">
        <v>648</v>
      </c>
      <c r="B668" s="259">
        <v>2000</v>
      </c>
      <c r="C668" s="366"/>
      <c r="D668" s="260"/>
      <c r="E668" s="317" t="s">
        <v>2694</v>
      </c>
      <c r="F668" s="259"/>
      <c r="G668" s="231"/>
      <c r="H668" s="231"/>
      <c r="I668" s="231"/>
      <c r="J668" s="231"/>
      <c r="K668" s="231"/>
      <c r="L668" s="232"/>
      <c r="R668" s="230"/>
      <c r="S668" s="233"/>
      <c r="T668" s="233"/>
      <c r="U668" s="234"/>
    </row>
    <row r="669" spans="1:21" ht="15.75" customHeight="1">
      <c r="A669" s="259">
        <v>649</v>
      </c>
      <c r="B669" s="259">
        <v>2000</v>
      </c>
      <c r="C669" s="366"/>
      <c r="D669" s="260"/>
      <c r="E669" s="317" t="s">
        <v>2695</v>
      </c>
      <c r="F669" s="259"/>
      <c r="G669" s="231"/>
      <c r="H669" s="231"/>
      <c r="I669" s="231"/>
      <c r="J669" s="231"/>
      <c r="K669" s="231"/>
      <c r="L669" s="232"/>
      <c r="R669" s="230"/>
      <c r="S669" s="233"/>
      <c r="T669" s="233"/>
      <c r="U669" s="234"/>
    </row>
    <row r="670" spans="1:21" ht="15.75" customHeight="1">
      <c r="A670" s="259">
        <v>650</v>
      </c>
      <c r="B670" s="259">
        <v>2000</v>
      </c>
      <c r="C670" s="366"/>
      <c r="D670" s="260"/>
      <c r="E670" s="317" t="s">
        <v>2696</v>
      </c>
      <c r="F670" s="259"/>
      <c r="G670" s="231"/>
      <c r="H670" s="231"/>
      <c r="I670" s="231"/>
      <c r="J670" s="231"/>
      <c r="K670" s="231"/>
      <c r="L670" s="232"/>
      <c r="R670" s="230"/>
      <c r="S670" s="233"/>
      <c r="T670" s="233"/>
      <c r="U670" s="234"/>
    </row>
    <row r="671" spans="1:21" ht="15.75" customHeight="1">
      <c r="A671" s="259">
        <v>651</v>
      </c>
      <c r="B671" s="259">
        <v>2000</v>
      </c>
      <c r="C671" s="366"/>
      <c r="D671" s="260"/>
      <c r="E671" s="317" t="s">
        <v>2697</v>
      </c>
      <c r="F671" s="259"/>
      <c r="G671" s="231"/>
      <c r="H671" s="231"/>
      <c r="I671" s="231"/>
      <c r="J671" s="231"/>
      <c r="K671" s="231"/>
      <c r="L671" s="232"/>
      <c r="R671" s="230"/>
      <c r="S671" s="233"/>
      <c r="T671" s="233"/>
      <c r="U671" s="234"/>
    </row>
    <row r="672" spans="1:21" ht="15.75" customHeight="1">
      <c r="A672" s="259">
        <v>652</v>
      </c>
      <c r="B672" s="259">
        <v>2000</v>
      </c>
      <c r="C672" s="366"/>
      <c r="D672" s="260"/>
      <c r="E672" s="317" t="s">
        <v>2698</v>
      </c>
      <c r="F672" s="259"/>
      <c r="G672" s="231"/>
      <c r="H672" s="231"/>
      <c r="I672" s="231"/>
      <c r="J672" s="231"/>
      <c r="K672" s="231"/>
      <c r="L672" s="232"/>
      <c r="R672" s="230"/>
      <c r="S672" s="233"/>
      <c r="T672" s="233"/>
      <c r="U672" s="234"/>
    </row>
    <row r="673" spans="1:21" ht="15.75" customHeight="1">
      <c r="A673" s="259">
        <v>653</v>
      </c>
      <c r="B673" s="259">
        <v>2000</v>
      </c>
      <c r="C673" s="366"/>
      <c r="D673" s="260"/>
      <c r="E673" s="317" t="s">
        <v>2699</v>
      </c>
      <c r="F673" s="259">
        <v>2007</v>
      </c>
      <c r="G673" s="231"/>
      <c r="H673" s="231"/>
      <c r="I673" s="231"/>
      <c r="J673" s="231"/>
      <c r="K673" s="231"/>
      <c r="L673" s="232"/>
      <c r="R673" s="230"/>
      <c r="S673" s="233"/>
      <c r="T673" s="233"/>
      <c r="U673" s="234"/>
    </row>
    <row r="674" spans="1:21" ht="15.75" customHeight="1">
      <c r="A674" s="259">
        <v>654</v>
      </c>
      <c r="B674" s="259">
        <v>2000</v>
      </c>
      <c r="C674" s="366"/>
      <c r="D674" s="260"/>
      <c r="E674" s="317" t="s">
        <v>2700</v>
      </c>
      <c r="F674" s="259"/>
      <c r="G674" s="231"/>
      <c r="H674" s="231"/>
      <c r="I674" s="231"/>
      <c r="J674" s="231"/>
      <c r="K674" s="231"/>
      <c r="L674" s="232"/>
      <c r="R674" s="230"/>
      <c r="S674" s="233"/>
      <c r="T674" s="233"/>
      <c r="U674" s="234"/>
    </row>
    <row r="675" spans="1:21" ht="15.75" customHeight="1">
      <c r="A675" s="259">
        <v>655</v>
      </c>
      <c r="B675" s="259">
        <v>2000</v>
      </c>
      <c r="C675" s="366"/>
      <c r="D675" s="260"/>
      <c r="E675" s="317" t="s">
        <v>2701</v>
      </c>
      <c r="F675" s="259"/>
      <c r="G675" s="231"/>
      <c r="H675" s="231"/>
      <c r="I675" s="231"/>
      <c r="J675" s="231"/>
      <c r="K675" s="231"/>
      <c r="L675" s="232"/>
      <c r="R675" s="230"/>
      <c r="S675" s="233"/>
      <c r="T675" s="233"/>
      <c r="U675" s="234"/>
    </row>
    <row r="676" spans="1:21" ht="15.75" customHeight="1">
      <c r="A676" s="259">
        <v>656</v>
      </c>
      <c r="B676" s="259">
        <v>2000</v>
      </c>
      <c r="C676" s="366"/>
      <c r="D676" s="260"/>
      <c r="E676" s="317" t="s">
        <v>2702</v>
      </c>
      <c r="F676" s="259"/>
      <c r="G676" s="231"/>
      <c r="H676" s="231"/>
      <c r="I676" s="231"/>
      <c r="J676" s="231"/>
      <c r="K676" s="231"/>
      <c r="L676" s="232"/>
      <c r="R676" s="230"/>
      <c r="S676" s="233"/>
      <c r="T676" s="233"/>
      <c r="U676" s="234"/>
    </row>
    <row r="677" spans="1:21" ht="15.75" customHeight="1">
      <c r="A677" s="259">
        <v>657</v>
      </c>
      <c r="B677" s="259">
        <v>2000</v>
      </c>
      <c r="C677" s="366"/>
      <c r="D677" s="260"/>
      <c r="E677" s="317" t="s">
        <v>2703</v>
      </c>
      <c r="F677" s="259"/>
      <c r="G677" s="231"/>
      <c r="H677" s="231"/>
      <c r="I677" s="231"/>
      <c r="J677" s="231"/>
      <c r="K677" s="231"/>
      <c r="L677" s="232"/>
      <c r="R677" s="230"/>
      <c r="S677" s="233"/>
      <c r="T677" s="233"/>
      <c r="U677" s="234"/>
    </row>
    <row r="678" spans="1:21" ht="15.75" customHeight="1">
      <c r="A678" s="259">
        <v>658</v>
      </c>
      <c r="B678" s="259">
        <v>2000</v>
      </c>
      <c r="C678" s="366"/>
      <c r="D678" s="260"/>
      <c r="E678" s="317" t="s">
        <v>2704</v>
      </c>
      <c r="F678" s="259"/>
      <c r="G678" s="231"/>
      <c r="H678" s="231"/>
      <c r="I678" s="231"/>
      <c r="J678" s="231"/>
      <c r="K678" s="231"/>
      <c r="L678" s="232"/>
      <c r="R678" s="230"/>
      <c r="S678" s="233"/>
      <c r="T678" s="233"/>
      <c r="U678" s="234"/>
    </row>
    <row r="679" spans="1:21" ht="15.75" customHeight="1">
      <c r="A679" s="259">
        <v>659</v>
      </c>
      <c r="B679" s="259">
        <v>1000</v>
      </c>
      <c r="C679" s="259" t="s">
        <v>2705</v>
      </c>
      <c r="D679" s="260"/>
      <c r="E679" s="259" t="s">
        <v>92</v>
      </c>
      <c r="F679" s="259"/>
      <c r="G679" s="231"/>
      <c r="H679" s="231"/>
      <c r="I679" s="231"/>
      <c r="J679" s="231"/>
      <c r="K679" s="231"/>
      <c r="L679" s="232"/>
      <c r="R679" s="230"/>
      <c r="S679" s="233"/>
      <c r="T679" s="233"/>
      <c r="U679" s="234"/>
    </row>
    <row r="680" spans="1:21" ht="15.75" customHeight="1">
      <c r="A680" s="259">
        <v>660</v>
      </c>
      <c r="B680" s="259">
        <v>1000</v>
      </c>
      <c r="C680" s="259" t="s">
        <v>2706</v>
      </c>
      <c r="D680" s="260"/>
      <c r="E680" s="259" t="s">
        <v>95</v>
      </c>
      <c r="F680" s="259"/>
      <c r="G680" s="231"/>
      <c r="H680" s="231"/>
      <c r="I680" s="231"/>
      <c r="J680" s="231"/>
      <c r="K680" s="231"/>
      <c r="L680" s="232"/>
      <c r="R680" s="230"/>
      <c r="S680" s="233"/>
      <c r="T680" s="233"/>
      <c r="U680" s="234"/>
    </row>
    <row r="681" spans="1:21" ht="15.75" customHeight="1">
      <c r="A681" s="259">
        <v>661</v>
      </c>
      <c r="B681" s="259">
        <v>1000</v>
      </c>
      <c r="C681" s="259" t="s">
        <v>2707</v>
      </c>
      <c r="D681" s="260"/>
      <c r="E681" s="259" t="s">
        <v>79</v>
      </c>
      <c r="F681" s="259"/>
      <c r="G681" s="231"/>
      <c r="H681" s="231"/>
      <c r="I681" s="231"/>
      <c r="J681" s="231"/>
      <c r="K681" s="231"/>
      <c r="L681" s="232"/>
      <c r="R681" s="230"/>
      <c r="S681" s="233"/>
      <c r="T681" s="233"/>
      <c r="U681" s="234"/>
    </row>
    <row r="682" spans="1:21" ht="15.75" customHeight="1">
      <c r="A682" s="259">
        <v>662</v>
      </c>
      <c r="B682" s="259">
        <v>2000</v>
      </c>
      <c r="C682" s="259" t="s">
        <v>2708</v>
      </c>
      <c r="D682" s="260"/>
      <c r="E682" s="259" t="s">
        <v>594</v>
      </c>
      <c r="F682" s="259"/>
      <c r="G682" s="231"/>
      <c r="H682" s="231"/>
      <c r="I682" s="231"/>
      <c r="J682" s="231"/>
      <c r="K682" s="231"/>
      <c r="L682" s="232"/>
      <c r="R682" s="230"/>
      <c r="S682" s="233"/>
      <c r="T682" s="233"/>
      <c r="U682" s="234"/>
    </row>
    <row r="683" spans="1:21" ht="15.75" customHeight="1">
      <c r="A683" s="259">
        <v>663</v>
      </c>
      <c r="B683" s="259">
        <v>2000</v>
      </c>
      <c r="C683" s="259" t="s">
        <v>2708</v>
      </c>
      <c r="D683" s="260"/>
      <c r="E683" s="259" t="s">
        <v>991</v>
      </c>
      <c r="F683" s="259"/>
      <c r="G683" s="231"/>
      <c r="H683" s="231"/>
      <c r="I683" s="231"/>
      <c r="J683" s="231"/>
      <c r="K683" s="231"/>
      <c r="L683" s="232"/>
      <c r="R683" s="230"/>
      <c r="S683" s="233"/>
      <c r="T683" s="233"/>
      <c r="U683" s="234"/>
    </row>
    <row r="684" spans="1:21" ht="15.75" customHeight="1">
      <c r="A684" s="259">
        <v>664</v>
      </c>
      <c r="B684" s="259">
        <v>1000</v>
      </c>
      <c r="C684" s="259" t="s">
        <v>2681</v>
      </c>
      <c r="D684" s="260"/>
      <c r="E684" s="259" t="s">
        <v>94</v>
      </c>
      <c r="F684" s="259"/>
      <c r="G684" s="231"/>
      <c r="H684" s="231"/>
      <c r="I684" s="231"/>
      <c r="J684" s="231"/>
      <c r="K684" s="231"/>
      <c r="L684" s="232"/>
      <c r="R684" s="230"/>
      <c r="S684" s="233"/>
      <c r="T684" s="233"/>
      <c r="U684" s="234"/>
    </row>
    <row r="685" spans="1:21" ht="15.75" customHeight="1">
      <c r="A685" s="259">
        <v>665</v>
      </c>
      <c r="B685" s="259">
        <v>2000</v>
      </c>
      <c r="C685" s="366" t="s">
        <v>2673</v>
      </c>
      <c r="D685" s="260"/>
      <c r="E685" s="259" t="s">
        <v>316</v>
      </c>
      <c r="F685" s="401">
        <v>1013</v>
      </c>
      <c r="G685" s="231"/>
      <c r="H685" s="231"/>
      <c r="I685" s="231"/>
      <c r="J685" s="231"/>
      <c r="K685" s="231"/>
      <c r="L685" s="232"/>
      <c r="R685" s="230"/>
      <c r="S685" s="233"/>
      <c r="T685" s="233"/>
      <c r="U685" s="234"/>
    </row>
    <row r="686" spans="1:21" ht="15.75" customHeight="1">
      <c r="A686" s="259">
        <v>666</v>
      </c>
      <c r="B686" s="259">
        <v>2000</v>
      </c>
      <c r="C686" s="366"/>
      <c r="D686" s="260"/>
      <c r="E686" s="259" t="s">
        <v>325</v>
      </c>
      <c r="F686" s="403"/>
      <c r="G686" s="231"/>
      <c r="H686" s="231"/>
      <c r="I686" s="231"/>
      <c r="J686" s="231"/>
      <c r="K686" s="231"/>
      <c r="L686" s="232"/>
      <c r="R686" s="230"/>
      <c r="S686" s="233"/>
      <c r="T686" s="233"/>
      <c r="U686" s="234"/>
    </row>
    <row r="687" spans="1:21" ht="15.75" customHeight="1">
      <c r="A687" s="259">
        <v>667</v>
      </c>
      <c r="B687" s="259">
        <v>2000</v>
      </c>
      <c r="C687" s="366"/>
      <c r="D687" s="260"/>
      <c r="E687" s="259" t="s">
        <v>346</v>
      </c>
      <c r="F687" s="404">
        <v>1012</v>
      </c>
      <c r="G687" s="231"/>
      <c r="H687" s="231"/>
      <c r="I687" s="231"/>
      <c r="J687" s="231"/>
      <c r="K687" s="231"/>
      <c r="L687" s="232"/>
      <c r="R687" s="230"/>
      <c r="S687" s="233"/>
      <c r="T687" s="233"/>
      <c r="U687" s="234"/>
    </row>
    <row r="688" spans="1:21" ht="15.75" customHeight="1">
      <c r="A688" s="259">
        <v>668</v>
      </c>
      <c r="B688" s="259">
        <v>2000</v>
      </c>
      <c r="C688" s="366" t="s">
        <v>2674</v>
      </c>
      <c r="D688" s="260"/>
      <c r="E688" s="259" t="s">
        <v>461</v>
      </c>
      <c r="F688" s="405"/>
      <c r="G688" s="231"/>
      <c r="H688" s="231"/>
      <c r="I688" s="231"/>
      <c r="J688" s="231"/>
      <c r="K688" s="231"/>
      <c r="L688" s="232"/>
      <c r="R688" s="230"/>
      <c r="S688" s="233"/>
      <c r="T688" s="233"/>
      <c r="U688" s="234"/>
    </row>
    <row r="689" spans="1:21" ht="15.75" customHeight="1">
      <c r="A689" s="259">
        <v>669</v>
      </c>
      <c r="B689" s="259">
        <v>2000</v>
      </c>
      <c r="C689" s="366"/>
      <c r="D689" s="260"/>
      <c r="E689" s="259" t="s">
        <v>472</v>
      </c>
      <c r="F689" s="405"/>
      <c r="G689" s="231"/>
      <c r="H689" s="231"/>
      <c r="I689" s="231"/>
      <c r="J689" s="231"/>
      <c r="K689" s="231"/>
      <c r="L689" s="232"/>
      <c r="R689" s="230"/>
      <c r="S689" s="233"/>
      <c r="T689" s="233"/>
      <c r="U689" s="234"/>
    </row>
    <row r="690" spans="1:21" ht="15.75" customHeight="1">
      <c r="A690" s="259">
        <v>670</v>
      </c>
      <c r="B690" s="259">
        <v>2000</v>
      </c>
      <c r="C690" s="366"/>
      <c r="D690" s="260"/>
      <c r="E690" s="259" t="s">
        <v>476</v>
      </c>
      <c r="F690" s="405"/>
      <c r="G690" s="231"/>
      <c r="H690" s="231"/>
      <c r="I690" s="231"/>
      <c r="J690" s="231"/>
      <c r="K690" s="231"/>
      <c r="L690" s="232"/>
      <c r="R690" s="230"/>
      <c r="S690" s="233"/>
      <c r="T690" s="233"/>
      <c r="U690" s="234"/>
    </row>
    <row r="691" spans="1:21" ht="15.75" customHeight="1">
      <c r="A691" s="259">
        <v>671</v>
      </c>
      <c r="B691" s="259">
        <v>2000</v>
      </c>
      <c r="C691" s="366" t="s">
        <v>2673</v>
      </c>
      <c r="D691" s="260"/>
      <c r="E691" s="259" t="s">
        <v>480</v>
      </c>
      <c r="F691" s="406"/>
      <c r="G691" s="231"/>
      <c r="H691" s="231"/>
      <c r="I691" s="231"/>
      <c r="J691" s="231"/>
      <c r="K691" s="231"/>
      <c r="L691" s="232"/>
      <c r="R691" s="230"/>
      <c r="S691" s="233"/>
      <c r="T691" s="233"/>
      <c r="U691" s="234"/>
    </row>
    <row r="692" spans="1:21" ht="15.75" customHeight="1">
      <c r="A692" s="259">
        <v>672</v>
      </c>
      <c r="B692" s="259">
        <v>2000</v>
      </c>
      <c r="C692" s="366"/>
      <c r="D692" s="260"/>
      <c r="E692" s="259" t="s">
        <v>1392</v>
      </c>
      <c r="F692" s="259" t="s">
        <v>2723</v>
      </c>
      <c r="G692" s="231"/>
      <c r="H692" s="231"/>
      <c r="I692" s="231"/>
      <c r="J692" s="231"/>
      <c r="K692" s="231"/>
      <c r="L692" s="232"/>
      <c r="R692" s="230"/>
      <c r="S692" s="233"/>
      <c r="T692" s="233"/>
      <c r="U692" s="234"/>
    </row>
    <row r="693" spans="1:21" ht="15.75" customHeight="1">
      <c r="A693" s="259">
        <v>673</v>
      </c>
      <c r="B693" s="259">
        <v>2000</v>
      </c>
      <c r="C693" s="259" t="s">
        <v>2674</v>
      </c>
      <c r="D693" s="260"/>
      <c r="E693" s="259" t="s">
        <v>487</v>
      </c>
      <c r="F693" s="259">
        <v>1012</v>
      </c>
      <c r="G693" s="231"/>
      <c r="H693" s="231"/>
      <c r="I693" s="231"/>
      <c r="J693" s="231"/>
      <c r="K693" s="231"/>
      <c r="L693" s="232"/>
      <c r="R693" s="230"/>
      <c r="S693" s="233"/>
      <c r="T693" s="233"/>
      <c r="U693" s="234"/>
    </row>
    <row r="694" spans="1:21" ht="15.75" customHeight="1">
      <c r="A694" s="259">
        <v>674</v>
      </c>
      <c r="B694" s="259">
        <v>1000</v>
      </c>
      <c r="C694" s="259" t="s">
        <v>2672</v>
      </c>
      <c r="D694" s="260"/>
      <c r="E694" s="259" t="s">
        <v>2709</v>
      </c>
      <c r="F694" s="259"/>
      <c r="G694" s="231"/>
      <c r="H694" s="231"/>
      <c r="I694" s="231"/>
      <c r="J694" s="231"/>
      <c r="K694" s="231"/>
      <c r="L694" s="232"/>
      <c r="R694" s="230"/>
      <c r="S694" s="233"/>
      <c r="T694" s="233"/>
      <c r="U694" s="234"/>
    </row>
    <row r="695" spans="1:21" ht="15.75" customHeight="1">
      <c r="A695" s="259">
        <v>675</v>
      </c>
      <c r="B695" s="259">
        <v>2000</v>
      </c>
      <c r="C695" s="365" t="s">
        <v>2712</v>
      </c>
      <c r="D695" s="260"/>
      <c r="E695" s="259" t="s">
        <v>2710</v>
      </c>
      <c r="F695" s="259"/>
      <c r="G695" s="231"/>
      <c r="H695" s="231"/>
      <c r="I695" s="231"/>
      <c r="J695" s="231"/>
      <c r="K695" s="231"/>
      <c r="L695" s="232"/>
      <c r="R695" s="230"/>
      <c r="S695" s="233"/>
      <c r="T695" s="233"/>
      <c r="U695" s="234"/>
    </row>
    <row r="696" spans="1:21" ht="15.75" customHeight="1">
      <c r="A696" s="259">
        <v>676</v>
      </c>
      <c r="B696" s="259">
        <v>2000</v>
      </c>
      <c r="C696" s="366"/>
      <c r="D696" s="260"/>
      <c r="E696" s="259" t="s">
        <v>2711</v>
      </c>
      <c r="F696" s="259">
        <v>2007</v>
      </c>
      <c r="G696" s="231"/>
      <c r="H696" s="231"/>
      <c r="I696" s="231"/>
      <c r="J696" s="231"/>
      <c r="K696" s="231"/>
      <c r="L696" s="232"/>
      <c r="R696" s="230"/>
      <c r="S696" s="233"/>
      <c r="T696" s="233"/>
      <c r="U696" s="234"/>
    </row>
    <row r="697" spans="1:21" ht="15.75" customHeight="1">
      <c r="A697" s="259">
        <v>677</v>
      </c>
      <c r="B697" s="259">
        <v>2000</v>
      </c>
      <c r="C697" s="366"/>
      <c r="D697" s="260"/>
      <c r="E697" s="259" t="s">
        <v>2713</v>
      </c>
      <c r="F697" s="259"/>
      <c r="G697" s="231"/>
      <c r="H697" s="231"/>
      <c r="I697" s="231"/>
      <c r="J697" s="231"/>
      <c r="K697" s="231"/>
      <c r="L697" s="232"/>
      <c r="R697" s="230"/>
      <c r="S697" s="233"/>
      <c r="T697" s="233"/>
      <c r="U697" s="234"/>
    </row>
    <row r="698" spans="1:21" ht="15.75" customHeight="1">
      <c r="A698" s="259">
        <v>678</v>
      </c>
      <c r="B698" s="259">
        <v>3000</v>
      </c>
      <c r="C698" s="365" t="s">
        <v>2666</v>
      </c>
      <c r="D698" s="260"/>
      <c r="E698" s="320" t="s">
        <v>2718</v>
      </c>
      <c r="F698" s="366">
        <v>3015</v>
      </c>
      <c r="G698" s="231"/>
      <c r="H698" s="231"/>
      <c r="I698" s="231"/>
      <c r="J698" s="231"/>
      <c r="K698" s="231"/>
      <c r="L698" s="232"/>
      <c r="R698" s="230"/>
      <c r="S698" s="233"/>
      <c r="T698" s="233"/>
      <c r="U698" s="234"/>
    </row>
    <row r="699" spans="1:21" ht="15.75" customHeight="1">
      <c r="A699" s="259">
        <v>679</v>
      </c>
      <c r="B699" s="259">
        <v>3000</v>
      </c>
      <c r="C699" s="365"/>
      <c r="D699" s="260"/>
      <c r="E699" s="320" t="s">
        <v>2719</v>
      </c>
      <c r="F699" s="366"/>
      <c r="G699" s="231"/>
      <c r="H699" s="231"/>
      <c r="I699" s="231"/>
      <c r="J699" s="231"/>
      <c r="K699" s="231"/>
      <c r="L699" s="232"/>
      <c r="R699" s="230"/>
      <c r="S699" s="233"/>
      <c r="T699" s="233"/>
      <c r="U699" s="234"/>
    </row>
    <row r="700" spans="1:21" ht="15.75" customHeight="1">
      <c r="A700" s="259">
        <v>680</v>
      </c>
      <c r="B700" s="259">
        <v>3000</v>
      </c>
      <c r="C700" s="365"/>
      <c r="D700" s="260"/>
      <c r="E700" s="259" t="s">
        <v>1065</v>
      </c>
      <c r="F700" s="366"/>
      <c r="G700" s="231"/>
      <c r="H700" s="231"/>
      <c r="I700" s="231"/>
      <c r="J700" s="231"/>
      <c r="K700" s="231"/>
      <c r="L700" s="232"/>
      <c r="R700" s="230"/>
      <c r="S700" s="233"/>
      <c r="T700" s="233"/>
      <c r="U700" s="234"/>
    </row>
    <row r="701" spans="1:21" ht="15.75" customHeight="1">
      <c r="D701" s="315"/>
      <c r="G701" s="231"/>
      <c r="H701" s="231"/>
      <c r="I701" s="231"/>
      <c r="J701" s="231"/>
      <c r="K701" s="231"/>
      <c r="L701" s="232"/>
      <c r="R701" s="230"/>
      <c r="S701" s="233"/>
      <c r="T701" s="233"/>
      <c r="U701" s="234"/>
    </row>
    <row r="702" spans="1:21" ht="15.75" customHeight="1">
      <c r="D702" s="315"/>
      <c r="G702" s="231"/>
      <c r="H702" s="231"/>
      <c r="I702" s="231"/>
      <c r="J702" s="231"/>
      <c r="K702" s="231"/>
      <c r="L702" s="232"/>
      <c r="R702" s="230"/>
      <c r="S702" s="233"/>
      <c r="T702" s="233"/>
      <c r="U702" s="234"/>
    </row>
    <row r="703" spans="1:21" ht="15.75" customHeight="1">
      <c r="D703" s="315"/>
      <c r="G703" s="231"/>
      <c r="H703" s="231"/>
      <c r="I703" s="231"/>
      <c r="J703" s="231"/>
      <c r="K703" s="231"/>
      <c r="L703" s="232"/>
      <c r="R703" s="230"/>
      <c r="S703" s="233"/>
      <c r="T703" s="233"/>
      <c r="U703" s="234"/>
    </row>
    <row r="704" spans="1:21" ht="15.75" customHeight="1">
      <c r="D704" s="315"/>
      <c r="G704" s="231"/>
      <c r="H704" s="231"/>
      <c r="I704" s="231"/>
      <c r="J704" s="231"/>
      <c r="K704" s="231"/>
      <c r="L704" s="232"/>
      <c r="R704" s="230"/>
      <c r="S704" s="233"/>
      <c r="T704" s="233"/>
      <c r="U704" s="234"/>
    </row>
    <row r="705" spans="4:21" ht="15.75" customHeight="1">
      <c r="D705" s="315"/>
      <c r="G705" s="231"/>
      <c r="H705" s="231"/>
      <c r="I705" s="231"/>
      <c r="J705" s="231"/>
      <c r="K705" s="231"/>
      <c r="L705" s="232"/>
      <c r="R705" s="230"/>
      <c r="S705" s="233"/>
      <c r="T705" s="233"/>
      <c r="U705" s="234"/>
    </row>
    <row r="706" spans="4:21" ht="15.75" customHeight="1">
      <c r="D706" s="315"/>
      <c r="G706" s="231"/>
      <c r="H706" s="231"/>
      <c r="I706" s="231"/>
      <c r="J706" s="231"/>
      <c r="K706" s="231"/>
      <c r="L706" s="232"/>
      <c r="R706" s="230"/>
      <c r="S706" s="233"/>
      <c r="T706" s="233"/>
      <c r="U706" s="234"/>
    </row>
    <row r="707" spans="4:21" ht="15.75" customHeight="1">
      <c r="D707" s="315"/>
      <c r="G707" s="231"/>
      <c r="H707" s="231"/>
      <c r="I707" s="231"/>
      <c r="J707" s="231"/>
      <c r="K707" s="231"/>
      <c r="L707" s="232"/>
      <c r="R707" s="230"/>
      <c r="S707" s="233"/>
      <c r="T707" s="233"/>
      <c r="U707" s="234"/>
    </row>
    <row r="708" spans="4:21" ht="15.75" customHeight="1">
      <c r="D708" s="315"/>
      <c r="G708" s="231"/>
      <c r="H708" s="231"/>
      <c r="I708" s="231"/>
      <c r="J708" s="231"/>
      <c r="K708" s="231"/>
      <c r="L708" s="232"/>
      <c r="R708" s="230"/>
      <c r="S708" s="233"/>
      <c r="T708" s="233"/>
      <c r="U708" s="234"/>
    </row>
    <row r="709" spans="4:21" ht="15.75" customHeight="1">
      <c r="D709" s="315"/>
      <c r="G709" s="231"/>
      <c r="H709" s="231"/>
      <c r="I709" s="231"/>
      <c r="J709" s="231"/>
      <c r="K709" s="231"/>
      <c r="L709" s="232"/>
      <c r="R709" s="230"/>
      <c r="S709" s="233"/>
      <c r="T709" s="233"/>
      <c r="U709" s="234"/>
    </row>
    <row r="710" spans="4:21" ht="15.75" customHeight="1">
      <c r="D710" s="315"/>
      <c r="G710" s="231"/>
      <c r="H710" s="231"/>
      <c r="I710" s="231"/>
      <c r="J710" s="231"/>
      <c r="K710" s="231"/>
      <c r="L710" s="232"/>
      <c r="R710" s="230"/>
      <c r="S710" s="233"/>
      <c r="T710" s="233"/>
      <c r="U710" s="234"/>
    </row>
    <row r="711" spans="4:21" ht="15.75" customHeight="1">
      <c r="D711" s="315"/>
      <c r="G711" s="231"/>
      <c r="H711" s="231"/>
      <c r="I711" s="231"/>
      <c r="J711" s="231"/>
      <c r="K711" s="231"/>
      <c r="L711" s="232"/>
      <c r="R711" s="230"/>
      <c r="S711" s="233"/>
      <c r="T711" s="233"/>
      <c r="U711" s="234"/>
    </row>
    <row r="712" spans="4:21" ht="15.75" customHeight="1">
      <c r="D712" s="315"/>
      <c r="G712" s="231"/>
      <c r="H712" s="231"/>
      <c r="I712" s="231"/>
      <c r="J712" s="231"/>
      <c r="K712" s="231"/>
      <c r="L712" s="232"/>
      <c r="R712" s="230"/>
      <c r="S712" s="233"/>
      <c r="T712" s="233"/>
      <c r="U712" s="234"/>
    </row>
    <row r="713" spans="4:21" ht="15.75" customHeight="1">
      <c r="D713" s="315"/>
      <c r="G713" s="231"/>
      <c r="H713" s="231"/>
      <c r="I713" s="231"/>
      <c r="J713" s="231"/>
      <c r="K713" s="231"/>
      <c r="L713" s="232"/>
      <c r="R713" s="230"/>
      <c r="S713" s="233"/>
      <c r="T713" s="233"/>
      <c r="U713" s="234"/>
    </row>
    <row r="714" spans="4:21" ht="15.75" customHeight="1">
      <c r="D714" s="315"/>
      <c r="G714" s="231"/>
      <c r="H714" s="231"/>
      <c r="I714" s="231"/>
      <c r="J714" s="231"/>
      <c r="K714" s="231"/>
      <c r="L714" s="232"/>
      <c r="R714" s="230"/>
      <c r="S714" s="233"/>
      <c r="T714" s="233"/>
      <c r="U714" s="234"/>
    </row>
    <row r="715" spans="4:21" ht="15.75" customHeight="1">
      <c r="D715" s="315"/>
      <c r="G715" s="231"/>
      <c r="H715" s="231"/>
      <c r="I715" s="231"/>
      <c r="J715" s="231"/>
      <c r="K715" s="231"/>
      <c r="L715" s="232"/>
      <c r="R715" s="230"/>
      <c r="S715" s="233"/>
      <c r="T715" s="233"/>
      <c r="U715" s="234"/>
    </row>
    <row r="716" spans="4:21" ht="15.75" customHeight="1">
      <c r="D716" s="315"/>
      <c r="G716" s="231"/>
      <c r="H716" s="231"/>
      <c r="I716" s="231"/>
      <c r="J716" s="231"/>
      <c r="K716" s="231"/>
      <c r="L716" s="232"/>
      <c r="R716" s="230"/>
      <c r="S716" s="233"/>
      <c r="T716" s="233"/>
      <c r="U716" s="234"/>
    </row>
    <row r="717" spans="4:21" ht="15.75" customHeight="1">
      <c r="D717" s="315"/>
      <c r="G717" s="231"/>
      <c r="H717" s="231"/>
      <c r="I717" s="231"/>
      <c r="J717" s="231"/>
      <c r="K717" s="231"/>
      <c r="L717" s="232"/>
      <c r="R717" s="230"/>
      <c r="S717" s="233"/>
      <c r="T717" s="233"/>
      <c r="U717" s="234"/>
    </row>
    <row r="718" spans="4:21" ht="15.75" customHeight="1">
      <c r="D718" s="315"/>
      <c r="G718" s="231"/>
      <c r="H718" s="231"/>
      <c r="I718" s="231"/>
      <c r="J718" s="231"/>
      <c r="K718" s="231"/>
      <c r="L718" s="232"/>
      <c r="R718" s="230"/>
      <c r="S718" s="233"/>
      <c r="T718" s="233"/>
      <c r="U718" s="234"/>
    </row>
    <row r="719" spans="4:21" ht="15.75" customHeight="1">
      <c r="D719" s="315"/>
      <c r="G719" s="231"/>
      <c r="H719" s="231"/>
      <c r="I719" s="231"/>
      <c r="J719" s="231"/>
      <c r="K719" s="231"/>
      <c r="L719" s="232"/>
      <c r="R719" s="230"/>
      <c r="S719" s="233"/>
      <c r="T719" s="233"/>
      <c r="U719" s="234"/>
    </row>
    <row r="720" spans="4:21" ht="15.75" customHeight="1">
      <c r="D720" s="315"/>
      <c r="G720" s="231"/>
      <c r="H720" s="231"/>
      <c r="I720" s="231"/>
      <c r="J720" s="231"/>
      <c r="K720" s="231"/>
      <c r="L720" s="232"/>
      <c r="R720" s="230"/>
      <c r="S720" s="233"/>
      <c r="T720" s="233"/>
      <c r="U720" s="234"/>
    </row>
    <row r="721" spans="4:21" ht="15.75" customHeight="1">
      <c r="D721" s="315"/>
      <c r="G721" s="231"/>
      <c r="H721" s="231"/>
      <c r="I721" s="231"/>
      <c r="J721" s="231"/>
      <c r="K721" s="231"/>
      <c r="L721" s="232"/>
      <c r="R721" s="230"/>
      <c r="S721" s="233"/>
      <c r="T721" s="233"/>
      <c r="U721" s="234"/>
    </row>
    <row r="722" spans="4:21" ht="15.75" customHeight="1">
      <c r="D722" s="315"/>
      <c r="G722" s="231"/>
      <c r="H722" s="231"/>
      <c r="I722" s="231"/>
      <c r="J722" s="231"/>
      <c r="K722" s="231"/>
      <c r="L722" s="232"/>
      <c r="R722" s="230"/>
      <c r="S722" s="233"/>
      <c r="T722" s="233"/>
      <c r="U722" s="234"/>
    </row>
    <row r="723" spans="4:21" ht="15.75" customHeight="1">
      <c r="D723" s="315"/>
      <c r="G723" s="231"/>
      <c r="H723" s="231"/>
      <c r="I723" s="231"/>
      <c r="J723" s="231"/>
      <c r="K723" s="231"/>
      <c r="L723" s="232"/>
      <c r="R723" s="230"/>
      <c r="S723" s="233"/>
      <c r="T723" s="233"/>
      <c r="U723" s="234"/>
    </row>
    <row r="724" spans="4:21" ht="15.75" customHeight="1">
      <c r="D724" s="315"/>
      <c r="G724" s="231"/>
      <c r="H724" s="231"/>
      <c r="I724" s="231"/>
      <c r="J724" s="231"/>
      <c r="K724" s="231"/>
      <c r="L724" s="232"/>
      <c r="R724" s="230"/>
      <c r="S724" s="233"/>
      <c r="T724" s="233"/>
      <c r="U724" s="234"/>
    </row>
    <row r="725" spans="4:21" ht="15.75" customHeight="1">
      <c r="D725" s="315"/>
      <c r="G725" s="231"/>
      <c r="H725" s="231"/>
      <c r="I725" s="231"/>
      <c r="J725" s="231"/>
      <c r="K725" s="231"/>
      <c r="L725" s="232"/>
      <c r="R725" s="230"/>
      <c r="S725" s="233"/>
      <c r="T725" s="233"/>
      <c r="U725" s="234"/>
    </row>
    <row r="726" spans="4:21" ht="15.75" customHeight="1">
      <c r="D726" s="315"/>
      <c r="G726" s="231"/>
      <c r="H726" s="231"/>
      <c r="I726" s="231"/>
      <c r="J726" s="231"/>
      <c r="K726" s="231"/>
      <c r="L726" s="232"/>
      <c r="R726" s="230"/>
      <c r="S726" s="233"/>
      <c r="T726" s="233"/>
      <c r="U726" s="234"/>
    </row>
    <row r="727" spans="4:21" ht="15.75" customHeight="1">
      <c r="D727" s="315"/>
      <c r="G727" s="231"/>
      <c r="H727" s="231"/>
      <c r="I727" s="231"/>
      <c r="J727" s="231"/>
      <c r="K727" s="231"/>
      <c r="L727" s="232"/>
      <c r="R727" s="230"/>
      <c r="S727" s="233"/>
      <c r="T727" s="233"/>
      <c r="U727" s="234"/>
    </row>
    <row r="728" spans="4:21" ht="15.75" customHeight="1">
      <c r="D728" s="315"/>
      <c r="G728" s="231"/>
      <c r="H728" s="231"/>
      <c r="I728" s="231"/>
      <c r="J728" s="231"/>
      <c r="K728" s="231"/>
      <c r="L728" s="232"/>
      <c r="R728" s="230"/>
      <c r="S728" s="233"/>
      <c r="T728" s="233"/>
      <c r="U728" s="234"/>
    </row>
    <row r="729" spans="4:21" ht="15.75" customHeight="1">
      <c r="D729" s="315"/>
      <c r="G729" s="231"/>
      <c r="H729" s="231"/>
      <c r="I729" s="231"/>
      <c r="J729" s="231"/>
      <c r="K729" s="231"/>
      <c r="L729" s="232"/>
      <c r="R729" s="230"/>
      <c r="S729" s="233"/>
      <c r="T729" s="233"/>
      <c r="U729" s="234"/>
    </row>
    <row r="730" spans="4:21" ht="15.75" customHeight="1">
      <c r="D730" s="315"/>
      <c r="G730" s="231"/>
      <c r="H730" s="231"/>
      <c r="I730" s="231"/>
      <c r="J730" s="231"/>
      <c r="K730" s="231"/>
      <c r="L730" s="232"/>
      <c r="R730" s="230"/>
      <c r="S730" s="233"/>
      <c r="T730" s="233"/>
      <c r="U730" s="234"/>
    </row>
    <row r="731" spans="4:21" ht="15.75" customHeight="1">
      <c r="D731" s="315"/>
      <c r="G731" s="231"/>
      <c r="H731" s="231"/>
      <c r="I731" s="231"/>
      <c r="J731" s="231"/>
      <c r="K731" s="231"/>
      <c r="L731" s="232"/>
      <c r="R731" s="230"/>
      <c r="S731" s="233"/>
      <c r="T731" s="233"/>
      <c r="U731" s="234"/>
    </row>
    <row r="732" spans="4:21" ht="15.75" customHeight="1">
      <c r="D732" s="315"/>
      <c r="G732" s="231"/>
      <c r="H732" s="231"/>
      <c r="I732" s="231"/>
      <c r="J732" s="231"/>
      <c r="K732" s="231"/>
      <c r="L732" s="232"/>
      <c r="R732" s="230"/>
      <c r="S732" s="233"/>
      <c r="T732" s="233"/>
      <c r="U732" s="234"/>
    </row>
    <row r="733" spans="4:21" ht="15.75" customHeight="1">
      <c r="D733" s="315"/>
      <c r="G733" s="231"/>
      <c r="H733" s="231"/>
      <c r="I733" s="231"/>
      <c r="J733" s="231"/>
      <c r="K733" s="231"/>
      <c r="L733" s="232"/>
      <c r="R733" s="230"/>
      <c r="S733" s="233"/>
      <c r="T733" s="233"/>
      <c r="U733" s="234"/>
    </row>
    <row r="734" spans="4:21" ht="15.75" customHeight="1">
      <c r="D734" s="315"/>
      <c r="G734" s="231"/>
      <c r="H734" s="231"/>
      <c r="I734" s="231"/>
      <c r="J734" s="231"/>
      <c r="K734" s="231"/>
      <c r="L734" s="232"/>
      <c r="R734" s="230"/>
      <c r="S734" s="233"/>
      <c r="T734" s="233"/>
      <c r="U734" s="234"/>
    </row>
    <row r="735" spans="4:21" ht="15.75" customHeight="1">
      <c r="D735" s="315"/>
      <c r="G735" s="231"/>
      <c r="H735" s="231"/>
      <c r="I735" s="231"/>
      <c r="J735" s="231"/>
      <c r="K735" s="231"/>
      <c r="L735" s="232"/>
      <c r="R735" s="230"/>
      <c r="S735" s="233"/>
      <c r="T735" s="233"/>
      <c r="U735" s="234"/>
    </row>
    <row r="736" spans="4:21" ht="15.75" customHeight="1">
      <c r="D736" s="315"/>
      <c r="G736" s="231"/>
      <c r="H736" s="231"/>
      <c r="I736" s="231"/>
      <c r="J736" s="231"/>
      <c r="K736" s="231"/>
      <c r="L736" s="232"/>
      <c r="R736" s="230"/>
      <c r="S736" s="233"/>
      <c r="T736" s="233"/>
      <c r="U736" s="234"/>
    </row>
    <row r="737" spans="4:21" ht="15.75" customHeight="1">
      <c r="D737" s="315"/>
      <c r="G737" s="231"/>
      <c r="H737" s="231"/>
      <c r="I737" s="231"/>
      <c r="J737" s="231"/>
      <c r="K737" s="231"/>
      <c r="L737" s="232"/>
      <c r="R737" s="230"/>
      <c r="S737" s="233"/>
      <c r="T737" s="233"/>
      <c r="U737" s="234"/>
    </row>
    <row r="738" spans="4:21" ht="15.75" customHeight="1">
      <c r="D738" s="315"/>
      <c r="G738" s="231"/>
      <c r="H738" s="231"/>
      <c r="I738" s="231"/>
      <c r="J738" s="231"/>
      <c r="K738" s="231"/>
      <c r="L738" s="232"/>
      <c r="R738" s="230"/>
      <c r="S738" s="233"/>
      <c r="T738" s="233"/>
      <c r="U738" s="234"/>
    </row>
    <row r="739" spans="4:21" ht="15.75" customHeight="1">
      <c r="D739" s="315"/>
      <c r="G739" s="231"/>
      <c r="H739" s="231"/>
      <c r="I739" s="231"/>
      <c r="J739" s="231"/>
      <c r="K739" s="231"/>
      <c r="L739" s="232"/>
      <c r="R739" s="230"/>
      <c r="S739" s="233"/>
      <c r="T739" s="233"/>
      <c r="U739" s="234"/>
    </row>
    <row r="740" spans="4:21" ht="15.75" customHeight="1">
      <c r="D740" s="315"/>
      <c r="G740" s="231"/>
      <c r="H740" s="231"/>
      <c r="I740" s="231"/>
      <c r="J740" s="231"/>
      <c r="K740" s="231"/>
      <c r="L740" s="232"/>
      <c r="R740" s="230"/>
      <c r="S740" s="233"/>
      <c r="T740" s="233"/>
      <c r="U740" s="234"/>
    </row>
    <row r="741" spans="4:21" ht="15.75" customHeight="1">
      <c r="D741" s="315"/>
      <c r="G741" s="231"/>
      <c r="H741" s="231"/>
      <c r="I741" s="231"/>
      <c r="J741" s="231"/>
      <c r="K741" s="231"/>
      <c r="L741" s="232"/>
      <c r="R741" s="230"/>
      <c r="S741" s="233"/>
      <c r="T741" s="233"/>
      <c r="U741" s="234"/>
    </row>
    <row r="742" spans="4:21" ht="15.75" customHeight="1">
      <c r="D742" s="315"/>
      <c r="G742" s="231"/>
      <c r="H742" s="231"/>
      <c r="I742" s="231"/>
      <c r="J742" s="231"/>
      <c r="K742" s="231"/>
      <c r="L742" s="232"/>
      <c r="R742" s="230"/>
      <c r="S742" s="233"/>
      <c r="T742" s="233"/>
      <c r="U742" s="234"/>
    </row>
    <row r="743" spans="4:21" ht="15.75" customHeight="1">
      <c r="D743" s="315"/>
      <c r="G743" s="231"/>
      <c r="H743" s="231"/>
      <c r="I743" s="231"/>
      <c r="J743" s="231"/>
      <c r="K743" s="231"/>
      <c r="L743" s="232"/>
      <c r="R743" s="230"/>
      <c r="S743" s="233"/>
      <c r="T743" s="233"/>
      <c r="U743" s="234"/>
    </row>
    <row r="744" spans="4:21" ht="15.75" customHeight="1">
      <c r="D744" s="315"/>
      <c r="G744" s="231"/>
      <c r="H744" s="231"/>
      <c r="I744" s="231"/>
      <c r="J744" s="231"/>
      <c r="K744" s="231"/>
      <c r="L744" s="232"/>
      <c r="R744" s="230"/>
      <c r="S744" s="233"/>
      <c r="T744" s="233"/>
      <c r="U744" s="234"/>
    </row>
    <row r="745" spans="4:21" ht="15.75" customHeight="1">
      <c r="D745" s="315"/>
      <c r="G745" s="231"/>
      <c r="H745" s="231"/>
      <c r="I745" s="231"/>
      <c r="J745" s="231"/>
      <c r="K745" s="231"/>
      <c r="L745" s="232"/>
      <c r="R745" s="230"/>
      <c r="S745" s="233"/>
      <c r="T745" s="233"/>
      <c r="U745" s="234"/>
    </row>
    <row r="746" spans="4:21" ht="15.75" customHeight="1">
      <c r="D746" s="315"/>
      <c r="G746" s="231"/>
      <c r="H746" s="231"/>
      <c r="I746" s="231"/>
      <c r="J746" s="231"/>
      <c r="K746" s="231"/>
      <c r="L746" s="232"/>
      <c r="R746" s="230"/>
      <c r="S746" s="233"/>
      <c r="T746" s="233"/>
      <c r="U746" s="234"/>
    </row>
    <row r="747" spans="4:21" ht="15.75" customHeight="1">
      <c r="D747" s="315"/>
      <c r="G747" s="231"/>
      <c r="H747" s="231"/>
      <c r="I747" s="231"/>
      <c r="J747" s="231"/>
      <c r="K747" s="231"/>
      <c r="L747" s="232"/>
      <c r="R747" s="230"/>
      <c r="S747" s="233"/>
      <c r="T747" s="233"/>
      <c r="U747" s="234"/>
    </row>
    <row r="748" spans="4:21" ht="15.75" customHeight="1">
      <c r="D748" s="315"/>
      <c r="G748" s="231"/>
      <c r="H748" s="231"/>
      <c r="I748" s="231"/>
      <c r="J748" s="231"/>
      <c r="K748" s="231"/>
      <c r="L748" s="232"/>
      <c r="R748" s="230"/>
      <c r="S748" s="233"/>
      <c r="T748" s="233"/>
      <c r="U748" s="234"/>
    </row>
    <row r="749" spans="4:21" ht="15.75" customHeight="1">
      <c r="D749" s="315"/>
      <c r="G749" s="231"/>
      <c r="H749" s="231"/>
      <c r="I749" s="231"/>
      <c r="J749" s="231"/>
      <c r="K749" s="231"/>
      <c r="L749" s="232"/>
      <c r="R749" s="230"/>
      <c r="S749" s="233"/>
      <c r="T749" s="233"/>
      <c r="U749" s="234"/>
    </row>
    <row r="750" spans="4:21" ht="15.75" customHeight="1">
      <c r="D750" s="315"/>
      <c r="G750" s="231"/>
      <c r="H750" s="231"/>
      <c r="I750" s="231"/>
      <c r="J750" s="231"/>
      <c r="K750" s="231"/>
      <c r="L750" s="232"/>
      <c r="R750" s="230"/>
      <c r="S750" s="233"/>
      <c r="T750" s="233"/>
      <c r="U750" s="234"/>
    </row>
    <row r="751" spans="4:21" ht="15.75" customHeight="1">
      <c r="D751" s="315"/>
      <c r="G751" s="231"/>
      <c r="H751" s="231"/>
      <c r="I751" s="231"/>
      <c r="J751" s="231"/>
      <c r="K751" s="231"/>
      <c r="L751" s="232"/>
      <c r="R751" s="230"/>
      <c r="S751" s="233"/>
      <c r="T751" s="233"/>
      <c r="U751" s="234"/>
    </row>
    <row r="752" spans="4:21" ht="15.75" customHeight="1">
      <c r="D752" s="315"/>
      <c r="G752" s="231"/>
      <c r="H752" s="231"/>
      <c r="I752" s="231"/>
      <c r="J752" s="231"/>
      <c r="K752" s="231"/>
      <c r="L752" s="232"/>
      <c r="R752" s="230"/>
      <c r="S752" s="233"/>
      <c r="T752" s="233"/>
      <c r="U752" s="234"/>
    </row>
    <row r="753" spans="4:21" ht="15.75" customHeight="1">
      <c r="D753" s="315"/>
      <c r="G753" s="231"/>
      <c r="H753" s="231"/>
      <c r="I753" s="231"/>
      <c r="J753" s="231"/>
      <c r="K753" s="231"/>
      <c r="L753" s="232"/>
      <c r="R753" s="230"/>
      <c r="S753" s="233"/>
      <c r="T753" s="233"/>
      <c r="U753" s="234"/>
    </row>
    <row r="754" spans="4:21" ht="15.75" customHeight="1">
      <c r="D754" s="315"/>
      <c r="G754" s="231"/>
      <c r="H754" s="231"/>
      <c r="I754" s="231"/>
      <c r="J754" s="231"/>
      <c r="K754" s="231"/>
      <c r="L754" s="232"/>
      <c r="R754" s="230"/>
      <c r="S754" s="233"/>
      <c r="T754" s="233"/>
      <c r="U754" s="234"/>
    </row>
    <row r="755" spans="4:21" ht="15.75" customHeight="1">
      <c r="D755" s="315"/>
      <c r="G755" s="231"/>
      <c r="H755" s="231"/>
      <c r="I755" s="231"/>
      <c r="J755" s="231"/>
      <c r="K755" s="231"/>
      <c r="L755" s="232"/>
      <c r="R755" s="230"/>
      <c r="S755" s="233"/>
      <c r="T755" s="233"/>
      <c r="U755" s="234"/>
    </row>
    <row r="756" spans="4:21" ht="15.75" customHeight="1">
      <c r="D756" s="315"/>
      <c r="G756" s="231"/>
      <c r="H756" s="231"/>
      <c r="I756" s="231"/>
      <c r="J756" s="231"/>
      <c r="K756" s="231"/>
      <c r="L756" s="232"/>
      <c r="R756" s="230"/>
      <c r="S756" s="233"/>
      <c r="T756" s="233"/>
      <c r="U756" s="234"/>
    </row>
    <row r="757" spans="4:21" ht="15.75" customHeight="1">
      <c r="D757" s="315"/>
      <c r="G757" s="231"/>
      <c r="H757" s="231"/>
      <c r="I757" s="231"/>
      <c r="J757" s="231"/>
      <c r="K757" s="231"/>
      <c r="L757" s="232"/>
      <c r="R757" s="230"/>
      <c r="S757" s="233"/>
      <c r="T757" s="233"/>
      <c r="U757" s="234"/>
    </row>
    <row r="758" spans="4:21" ht="15.75" customHeight="1">
      <c r="D758" s="315"/>
      <c r="G758" s="231"/>
      <c r="H758" s="231"/>
      <c r="I758" s="231"/>
      <c r="J758" s="231"/>
      <c r="K758" s="231"/>
      <c r="L758" s="232"/>
      <c r="R758" s="230"/>
      <c r="S758" s="233"/>
      <c r="T758" s="233"/>
      <c r="U758" s="234"/>
    </row>
    <row r="759" spans="4:21" ht="15.75" customHeight="1">
      <c r="D759" s="315"/>
      <c r="G759" s="231"/>
      <c r="H759" s="231"/>
      <c r="I759" s="231"/>
      <c r="J759" s="231"/>
      <c r="K759" s="231"/>
      <c r="L759" s="232"/>
      <c r="R759" s="230"/>
      <c r="S759" s="233"/>
      <c r="T759" s="233"/>
      <c r="U759" s="234"/>
    </row>
    <row r="760" spans="4:21" ht="15.75" customHeight="1">
      <c r="D760" s="315"/>
      <c r="G760" s="231"/>
      <c r="H760" s="231"/>
      <c r="I760" s="231"/>
      <c r="J760" s="231"/>
      <c r="K760" s="231"/>
      <c r="L760" s="232"/>
      <c r="R760" s="230"/>
      <c r="S760" s="233"/>
      <c r="T760" s="233"/>
      <c r="U760" s="234"/>
    </row>
    <row r="761" spans="4:21" ht="15.75" customHeight="1">
      <c r="D761" s="315"/>
      <c r="G761" s="231"/>
      <c r="H761" s="231"/>
      <c r="I761" s="231"/>
      <c r="J761" s="231"/>
      <c r="K761" s="231"/>
      <c r="L761" s="232"/>
      <c r="R761" s="230"/>
      <c r="S761" s="233"/>
      <c r="T761" s="233"/>
      <c r="U761" s="234"/>
    </row>
    <row r="762" spans="4:21" ht="15.75" customHeight="1">
      <c r="D762" s="315"/>
      <c r="G762" s="231"/>
      <c r="H762" s="231"/>
      <c r="I762" s="231"/>
      <c r="J762" s="231"/>
      <c r="K762" s="231"/>
      <c r="L762" s="232"/>
      <c r="R762" s="230"/>
      <c r="S762" s="233"/>
      <c r="T762" s="233"/>
      <c r="U762" s="234"/>
    </row>
    <row r="763" spans="4:21" ht="15.75" customHeight="1">
      <c r="D763" s="315"/>
      <c r="G763" s="231"/>
      <c r="H763" s="231"/>
      <c r="I763" s="231"/>
      <c r="J763" s="231"/>
      <c r="K763" s="231"/>
      <c r="L763" s="232"/>
      <c r="R763" s="230"/>
      <c r="S763" s="233"/>
      <c r="T763" s="233"/>
      <c r="U763" s="234"/>
    </row>
    <row r="764" spans="4:21" ht="15.75" customHeight="1">
      <c r="D764" s="315"/>
      <c r="G764" s="231"/>
      <c r="H764" s="231"/>
      <c r="I764" s="231"/>
      <c r="J764" s="231"/>
      <c r="K764" s="231"/>
      <c r="L764" s="232"/>
      <c r="R764" s="230"/>
      <c r="S764" s="233"/>
      <c r="T764" s="233"/>
      <c r="U764" s="234"/>
    </row>
    <row r="765" spans="4:21" ht="15.75" customHeight="1">
      <c r="D765" s="315"/>
      <c r="G765" s="231"/>
      <c r="H765" s="231"/>
      <c r="I765" s="231"/>
      <c r="J765" s="231"/>
      <c r="K765" s="231"/>
      <c r="L765" s="232"/>
      <c r="R765" s="230"/>
      <c r="S765" s="233"/>
      <c r="T765" s="233"/>
      <c r="U765" s="234"/>
    </row>
    <row r="766" spans="4:21" ht="15.75" customHeight="1">
      <c r="D766" s="315"/>
      <c r="G766" s="231"/>
      <c r="H766" s="231"/>
      <c r="I766" s="231"/>
      <c r="J766" s="231"/>
      <c r="K766" s="231"/>
      <c r="L766" s="232"/>
      <c r="R766" s="230"/>
      <c r="S766" s="233"/>
      <c r="T766" s="233"/>
      <c r="U766" s="234"/>
    </row>
    <row r="767" spans="4:21" ht="15.75" customHeight="1">
      <c r="D767" s="315"/>
      <c r="G767" s="231"/>
      <c r="H767" s="231"/>
      <c r="I767" s="231"/>
      <c r="J767" s="231"/>
      <c r="K767" s="231"/>
      <c r="L767" s="232"/>
      <c r="R767" s="230"/>
      <c r="S767" s="233"/>
      <c r="T767" s="233"/>
      <c r="U767" s="234"/>
    </row>
    <row r="768" spans="4:21" ht="15.75" customHeight="1">
      <c r="D768" s="315"/>
      <c r="G768" s="231"/>
      <c r="H768" s="231"/>
      <c r="I768" s="231"/>
      <c r="J768" s="231"/>
      <c r="K768" s="231"/>
      <c r="L768" s="232"/>
      <c r="R768" s="230"/>
      <c r="S768" s="233"/>
      <c r="T768" s="233"/>
      <c r="U768" s="234"/>
    </row>
    <row r="769" spans="4:21" ht="15.75" customHeight="1">
      <c r="D769" s="315"/>
      <c r="G769" s="231"/>
      <c r="H769" s="231"/>
      <c r="I769" s="231"/>
      <c r="J769" s="231"/>
      <c r="K769" s="231"/>
      <c r="L769" s="232"/>
      <c r="R769" s="230"/>
      <c r="S769" s="233"/>
      <c r="T769" s="233"/>
      <c r="U769" s="234"/>
    </row>
    <row r="770" spans="4:21" ht="15.75" customHeight="1">
      <c r="D770" s="315"/>
      <c r="G770" s="231"/>
      <c r="H770" s="231"/>
      <c r="I770" s="231"/>
      <c r="J770" s="231"/>
      <c r="K770" s="231"/>
      <c r="L770" s="232"/>
      <c r="R770" s="230"/>
      <c r="S770" s="233"/>
      <c r="T770" s="233"/>
      <c r="U770" s="234"/>
    </row>
    <row r="771" spans="4:21" ht="15.75" customHeight="1">
      <c r="D771" s="315"/>
      <c r="G771" s="231"/>
      <c r="H771" s="231"/>
      <c r="I771" s="231"/>
      <c r="J771" s="231"/>
      <c r="K771" s="231"/>
      <c r="L771" s="232"/>
      <c r="R771" s="230"/>
      <c r="S771" s="233"/>
      <c r="T771" s="233"/>
      <c r="U771" s="234"/>
    </row>
    <row r="772" spans="4:21" ht="15.75" customHeight="1">
      <c r="D772" s="315"/>
      <c r="G772" s="231"/>
      <c r="H772" s="231"/>
      <c r="I772" s="231"/>
      <c r="J772" s="231"/>
      <c r="K772" s="231"/>
      <c r="L772" s="232"/>
      <c r="R772" s="230"/>
      <c r="S772" s="233"/>
      <c r="T772" s="233"/>
      <c r="U772" s="234"/>
    </row>
    <row r="773" spans="4:21" ht="15.75" customHeight="1">
      <c r="D773" s="315"/>
      <c r="G773" s="231"/>
      <c r="H773" s="231"/>
      <c r="I773" s="231"/>
      <c r="J773" s="231"/>
      <c r="K773" s="231"/>
      <c r="L773" s="232"/>
      <c r="R773" s="230"/>
      <c r="S773" s="233"/>
      <c r="T773" s="233"/>
      <c r="U773" s="234"/>
    </row>
    <row r="774" spans="4:21" ht="15.75" customHeight="1">
      <c r="D774" s="315"/>
      <c r="G774" s="231"/>
      <c r="H774" s="231"/>
      <c r="I774" s="231"/>
      <c r="J774" s="231"/>
      <c r="K774" s="231"/>
      <c r="L774" s="232"/>
      <c r="R774" s="230"/>
      <c r="S774" s="233"/>
      <c r="T774" s="233"/>
      <c r="U774" s="234"/>
    </row>
    <row r="775" spans="4:21" ht="15.75" customHeight="1">
      <c r="D775" s="315"/>
      <c r="G775" s="231"/>
      <c r="H775" s="231"/>
      <c r="I775" s="231"/>
      <c r="J775" s="231"/>
      <c r="K775" s="231"/>
      <c r="L775" s="232"/>
      <c r="R775" s="230"/>
      <c r="S775" s="233"/>
      <c r="T775" s="233"/>
      <c r="U775" s="234"/>
    </row>
    <row r="776" spans="4:21" ht="15.75" customHeight="1">
      <c r="D776" s="315"/>
      <c r="G776" s="231"/>
      <c r="H776" s="231"/>
      <c r="I776" s="231"/>
      <c r="J776" s="231"/>
      <c r="K776" s="231"/>
      <c r="L776" s="232"/>
      <c r="R776" s="230"/>
      <c r="S776" s="233"/>
      <c r="T776" s="233"/>
      <c r="U776" s="234"/>
    </row>
    <row r="777" spans="4:21" ht="15.75" customHeight="1">
      <c r="D777" s="315"/>
      <c r="G777" s="231"/>
      <c r="H777" s="231"/>
      <c r="I777" s="231"/>
      <c r="J777" s="231"/>
      <c r="K777" s="231"/>
      <c r="L777" s="232"/>
      <c r="R777" s="230"/>
      <c r="S777" s="233"/>
      <c r="T777" s="233"/>
      <c r="U777" s="234"/>
    </row>
    <row r="778" spans="4:21" ht="15.75" customHeight="1">
      <c r="D778" s="315"/>
      <c r="G778" s="231"/>
      <c r="H778" s="231"/>
      <c r="I778" s="231"/>
      <c r="J778" s="231"/>
      <c r="K778" s="231"/>
      <c r="L778" s="232"/>
      <c r="R778" s="230"/>
      <c r="S778" s="233"/>
      <c r="T778" s="233"/>
      <c r="U778" s="234"/>
    </row>
    <row r="779" spans="4:21" ht="15.75" customHeight="1">
      <c r="D779" s="315"/>
      <c r="G779" s="231"/>
      <c r="H779" s="231"/>
      <c r="I779" s="231"/>
      <c r="J779" s="231"/>
      <c r="K779" s="231"/>
      <c r="L779" s="232"/>
      <c r="R779" s="230"/>
      <c r="S779" s="233"/>
      <c r="T779" s="233"/>
      <c r="U779" s="234"/>
    </row>
    <row r="780" spans="4:21" ht="15.75" customHeight="1">
      <c r="D780" s="315"/>
      <c r="G780" s="231"/>
      <c r="H780" s="231"/>
      <c r="I780" s="231"/>
      <c r="J780" s="231"/>
      <c r="K780" s="231"/>
      <c r="L780" s="232"/>
      <c r="R780" s="230"/>
      <c r="S780" s="233"/>
      <c r="T780" s="233"/>
      <c r="U780" s="234"/>
    </row>
    <row r="781" spans="4:21" ht="15.75" customHeight="1">
      <c r="D781" s="315"/>
      <c r="G781" s="231"/>
      <c r="H781" s="231"/>
      <c r="I781" s="231"/>
      <c r="J781" s="231"/>
      <c r="K781" s="231"/>
      <c r="L781" s="232"/>
      <c r="R781" s="230"/>
      <c r="S781" s="233"/>
      <c r="T781" s="233"/>
      <c r="U781" s="234"/>
    </row>
    <row r="782" spans="4:21" ht="15.75" customHeight="1">
      <c r="D782" s="315"/>
      <c r="G782" s="231"/>
      <c r="H782" s="231"/>
      <c r="I782" s="231"/>
      <c r="J782" s="231"/>
      <c r="K782" s="231"/>
      <c r="L782" s="232"/>
      <c r="R782" s="230"/>
      <c r="S782" s="233"/>
      <c r="T782" s="233"/>
      <c r="U782" s="234"/>
    </row>
    <row r="783" spans="4:21" ht="15.75" customHeight="1">
      <c r="D783" s="315"/>
      <c r="G783" s="231"/>
      <c r="H783" s="231"/>
      <c r="I783" s="231"/>
      <c r="J783" s="231"/>
      <c r="K783" s="231"/>
      <c r="L783" s="232"/>
      <c r="R783" s="230"/>
      <c r="S783" s="233"/>
      <c r="T783" s="233"/>
      <c r="U783" s="234"/>
    </row>
    <row r="784" spans="4:21" ht="15.75" customHeight="1">
      <c r="D784" s="315"/>
      <c r="G784" s="231"/>
      <c r="H784" s="231"/>
      <c r="I784" s="231"/>
      <c r="J784" s="231"/>
      <c r="K784" s="231"/>
      <c r="L784" s="232"/>
      <c r="R784" s="230"/>
      <c r="S784" s="233"/>
      <c r="T784" s="233"/>
      <c r="U784" s="234"/>
    </row>
    <row r="785" spans="4:21" ht="15.75" customHeight="1">
      <c r="D785" s="315"/>
      <c r="G785" s="231"/>
      <c r="H785" s="231"/>
      <c r="I785" s="231"/>
      <c r="J785" s="231"/>
      <c r="K785" s="231"/>
      <c r="L785" s="232"/>
      <c r="R785" s="230"/>
      <c r="S785" s="233"/>
      <c r="T785" s="233"/>
      <c r="U785" s="234"/>
    </row>
    <row r="786" spans="4:21" ht="15.75" customHeight="1">
      <c r="D786" s="315"/>
      <c r="G786" s="231"/>
      <c r="H786" s="231"/>
      <c r="I786" s="231"/>
      <c r="J786" s="231"/>
      <c r="K786" s="231"/>
      <c r="L786" s="232"/>
      <c r="R786" s="230"/>
      <c r="S786" s="233"/>
      <c r="T786" s="233"/>
      <c r="U786" s="234"/>
    </row>
    <row r="787" spans="4:21" ht="15.75" customHeight="1">
      <c r="D787" s="315"/>
      <c r="G787" s="231"/>
      <c r="H787" s="231"/>
      <c r="I787" s="231"/>
      <c r="J787" s="231"/>
      <c r="K787" s="231"/>
      <c r="L787" s="232"/>
      <c r="R787" s="230"/>
      <c r="S787" s="233"/>
      <c r="T787" s="233"/>
      <c r="U787" s="234"/>
    </row>
    <row r="788" spans="4:21" ht="15.75" customHeight="1">
      <c r="D788" s="315"/>
      <c r="G788" s="231"/>
      <c r="H788" s="231"/>
      <c r="I788" s="231"/>
      <c r="J788" s="231"/>
      <c r="K788" s="231"/>
      <c r="L788" s="232"/>
      <c r="R788" s="230"/>
      <c r="S788" s="233"/>
      <c r="T788" s="233"/>
      <c r="U788" s="234"/>
    </row>
    <row r="789" spans="4:21" ht="15.75" customHeight="1">
      <c r="D789" s="315"/>
      <c r="G789" s="231"/>
      <c r="H789" s="231"/>
      <c r="I789" s="231"/>
      <c r="J789" s="231"/>
      <c r="K789" s="231"/>
      <c r="L789" s="232"/>
      <c r="R789" s="230"/>
      <c r="S789" s="233"/>
      <c r="T789" s="233"/>
      <c r="U789" s="234"/>
    </row>
    <row r="790" spans="4:21" ht="15.75" customHeight="1">
      <c r="D790" s="315"/>
      <c r="G790" s="231"/>
      <c r="H790" s="231"/>
      <c r="I790" s="231"/>
      <c r="J790" s="231"/>
      <c r="K790" s="231"/>
      <c r="L790" s="232"/>
      <c r="R790" s="230"/>
      <c r="S790" s="233"/>
      <c r="T790" s="233"/>
      <c r="U790" s="234"/>
    </row>
    <row r="791" spans="4:21" ht="15.75" customHeight="1">
      <c r="D791" s="315"/>
      <c r="G791" s="231"/>
      <c r="H791" s="231"/>
      <c r="I791" s="231"/>
      <c r="J791" s="231"/>
      <c r="K791" s="231"/>
      <c r="L791" s="232"/>
      <c r="R791" s="230"/>
      <c r="S791" s="233"/>
      <c r="T791" s="233"/>
      <c r="U791" s="234"/>
    </row>
    <row r="792" spans="4:21" ht="15.75" customHeight="1">
      <c r="D792" s="315"/>
      <c r="G792" s="231"/>
      <c r="H792" s="231"/>
      <c r="I792" s="231"/>
      <c r="J792" s="231"/>
      <c r="K792" s="231"/>
      <c r="L792" s="232"/>
      <c r="R792" s="230"/>
      <c r="S792" s="233"/>
      <c r="T792" s="233"/>
      <c r="U792" s="234"/>
    </row>
    <row r="793" spans="4:21" ht="15.75" customHeight="1">
      <c r="D793" s="315"/>
      <c r="G793" s="231"/>
      <c r="H793" s="231"/>
      <c r="I793" s="231"/>
      <c r="J793" s="231"/>
      <c r="K793" s="231"/>
      <c r="L793" s="232"/>
      <c r="R793" s="230"/>
      <c r="S793" s="233"/>
      <c r="T793" s="233"/>
      <c r="U793" s="234"/>
    </row>
    <row r="794" spans="4:21" ht="15.75" customHeight="1">
      <c r="D794" s="315"/>
      <c r="G794" s="231"/>
      <c r="H794" s="231"/>
      <c r="I794" s="231"/>
      <c r="J794" s="231"/>
      <c r="K794" s="231"/>
      <c r="L794" s="232"/>
      <c r="R794" s="230"/>
      <c r="S794" s="233"/>
      <c r="T794" s="233"/>
      <c r="U794" s="234"/>
    </row>
    <row r="795" spans="4:21" ht="15.75" customHeight="1">
      <c r="D795" s="315"/>
      <c r="G795" s="231"/>
      <c r="H795" s="231"/>
      <c r="I795" s="231"/>
      <c r="J795" s="231"/>
      <c r="K795" s="231"/>
      <c r="L795" s="232"/>
      <c r="R795" s="230"/>
      <c r="S795" s="233"/>
      <c r="T795" s="233"/>
      <c r="U795" s="234"/>
    </row>
    <row r="796" spans="4:21" ht="15.75" customHeight="1">
      <c r="D796" s="315"/>
      <c r="G796" s="231"/>
      <c r="H796" s="231"/>
      <c r="I796" s="231"/>
      <c r="J796" s="231"/>
      <c r="K796" s="231"/>
      <c r="L796" s="232"/>
      <c r="R796" s="230"/>
      <c r="S796" s="233"/>
      <c r="T796" s="233"/>
      <c r="U796" s="234"/>
    </row>
    <row r="797" spans="4:21" ht="15.75" customHeight="1">
      <c r="D797" s="315"/>
      <c r="G797" s="231"/>
      <c r="H797" s="231"/>
      <c r="I797" s="231"/>
      <c r="J797" s="231"/>
      <c r="K797" s="231"/>
      <c r="L797" s="232"/>
      <c r="R797" s="230"/>
      <c r="S797" s="233"/>
      <c r="T797" s="233"/>
      <c r="U797" s="234"/>
    </row>
    <row r="798" spans="4:21" ht="15.75" customHeight="1">
      <c r="D798" s="315"/>
      <c r="G798" s="231"/>
      <c r="H798" s="231"/>
      <c r="I798" s="231"/>
      <c r="J798" s="231"/>
      <c r="K798" s="231"/>
      <c r="L798" s="232"/>
      <c r="R798" s="230"/>
      <c r="S798" s="233"/>
      <c r="T798" s="233"/>
      <c r="U798" s="234"/>
    </row>
    <row r="799" spans="4:21" ht="15.75" customHeight="1">
      <c r="D799" s="315"/>
      <c r="G799" s="231"/>
      <c r="H799" s="231"/>
      <c r="I799" s="231"/>
      <c r="J799" s="231"/>
      <c r="K799" s="231"/>
      <c r="L799" s="232"/>
      <c r="R799" s="230"/>
      <c r="S799" s="233"/>
      <c r="T799" s="233"/>
      <c r="U799" s="234"/>
    </row>
    <row r="800" spans="4:21" ht="15.75" customHeight="1">
      <c r="D800" s="315"/>
      <c r="G800" s="231"/>
      <c r="H800" s="231"/>
      <c r="I800" s="231"/>
      <c r="J800" s="231"/>
      <c r="K800" s="231"/>
      <c r="L800" s="232"/>
      <c r="R800" s="230"/>
      <c r="S800" s="233"/>
      <c r="T800" s="233"/>
      <c r="U800" s="234"/>
    </row>
    <row r="801" spans="4:21" ht="15.75" customHeight="1">
      <c r="D801" s="315"/>
      <c r="G801" s="231"/>
      <c r="H801" s="231"/>
      <c r="I801" s="231"/>
      <c r="J801" s="231"/>
      <c r="K801" s="231"/>
      <c r="L801" s="232"/>
      <c r="R801" s="230"/>
      <c r="S801" s="233"/>
      <c r="T801" s="233"/>
      <c r="U801" s="234"/>
    </row>
    <row r="802" spans="4:21" ht="15.75" customHeight="1">
      <c r="D802" s="315"/>
      <c r="G802" s="231"/>
      <c r="H802" s="231"/>
      <c r="I802" s="231"/>
      <c r="J802" s="231"/>
      <c r="K802" s="231"/>
      <c r="L802" s="232"/>
      <c r="R802" s="230"/>
      <c r="S802" s="233"/>
      <c r="T802" s="233"/>
      <c r="U802" s="234"/>
    </row>
    <row r="803" spans="4:21" ht="15.75" customHeight="1">
      <c r="D803" s="315"/>
      <c r="G803" s="231"/>
      <c r="H803" s="231"/>
      <c r="I803" s="231"/>
      <c r="J803" s="231"/>
      <c r="K803" s="231"/>
      <c r="L803" s="232"/>
      <c r="R803" s="230"/>
      <c r="S803" s="233"/>
      <c r="T803" s="233"/>
      <c r="U803" s="234"/>
    </row>
    <row r="804" spans="4:21" ht="15.75" customHeight="1">
      <c r="D804" s="315"/>
      <c r="G804" s="231"/>
      <c r="H804" s="231"/>
      <c r="I804" s="231"/>
      <c r="J804" s="231"/>
      <c r="K804" s="231"/>
      <c r="L804" s="232"/>
      <c r="R804" s="230"/>
      <c r="S804" s="233"/>
      <c r="T804" s="233"/>
      <c r="U804" s="234"/>
    </row>
    <row r="805" spans="4:21" ht="15.75" customHeight="1">
      <c r="D805" s="315"/>
      <c r="G805" s="231"/>
      <c r="H805" s="231"/>
      <c r="I805" s="231"/>
      <c r="J805" s="231"/>
      <c r="K805" s="231"/>
      <c r="L805" s="232"/>
      <c r="R805" s="230"/>
      <c r="S805" s="233"/>
      <c r="T805" s="233"/>
      <c r="U805" s="234"/>
    </row>
    <row r="806" spans="4:21" ht="15.75" customHeight="1">
      <c r="D806" s="315"/>
      <c r="G806" s="231"/>
      <c r="H806" s="231"/>
      <c r="I806" s="231"/>
      <c r="J806" s="231"/>
      <c r="K806" s="231"/>
      <c r="L806" s="232"/>
      <c r="R806" s="230"/>
      <c r="S806" s="233"/>
      <c r="T806" s="233"/>
      <c r="U806" s="234"/>
    </row>
    <row r="807" spans="4:21" ht="15.75" customHeight="1">
      <c r="D807" s="315"/>
      <c r="G807" s="231"/>
      <c r="H807" s="231"/>
      <c r="I807" s="231"/>
      <c r="J807" s="231"/>
      <c r="K807" s="231"/>
      <c r="L807" s="232"/>
      <c r="R807" s="230"/>
      <c r="S807" s="233"/>
      <c r="T807" s="233"/>
      <c r="U807" s="234"/>
    </row>
    <row r="808" spans="4:21" ht="15.75" customHeight="1">
      <c r="D808" s="315"/>
      <c r="G808" s="231"/>
      <c r="H808" s="231"/>
      <c r="I808" s="231"/>
      <c r="J808" s="231"/>
      <c r="K808" s="231"/>
      <c r="L808" s="232"/>
      <c r="R808" s="230"/>
      <c r="S808" s="233"/>
      <c r="T808" s="233"/>
      <c r="U808" s="234"/>
    </row>
    <row r="809" spans="4:21" ht="15.75" customHeight="1">
      <c r="D809" s="315"/>
      <c r="G809" s="231"/>
      <c r="H809" s="231"/>
      <c r="I809" s="231"/>
      <c r="J809" s="231"/>
      <c r="K809" s="231"/>
      <c r="L809" s="232"/>
      <c r="R809" s="230"/>
      <c r="S809" s="233"/>
      <c r="T809" s="233"/>
      <c r="U809" s="234"/>
    </row>
    <row r="810" spans="4:21" ht="15.75" customHeight="1">
      <c r="D810" s="315"/>
      <c r="G810" s="231"/>
      <c r="H810" s="231"/>
      <c r="I810" s="231"/>
      <c r="J810" s="231"/>
      <c r="K810" s="231"/>
      <c r="L810" s="232"/>
      <c r="R810" s="230"/>
      <c r="S810" s="233"/>
      <c r="T810" s="233"/>
      <c r="U810" s="234"/>
    </row>
    <row r="811" spans="4:21" ht="15.75" customHeight="1">
      <c r="D811" s="315"/>
      <c r="G811" s="231"/>
      <c r="H811" s="231"/>
      <c r="I811" s="231"/>
      <c r="J811" s="231"/>
      <c r="K811" s="231"/>
      <c r="L811" s="232"/>
      <c r="R811" s="230"/>
      <c r="S811" s="233"/>
      <c r="T811" s="233"/>
      <c r="U811" s="234"/>
    </row>
    <row r="812" spans="4:21" ht="15.75" customHeight="1">
      <c r="D812" s="315"/>
      <c r="G812" s="231"/>
      <c r="H812" s="231"/>
      <c r="I812" s="231"/>
      <c r="J812" s="231"/>
      <c r="K812" s="231"/>
      <c r="L812" s="232"/>
      <c r="R812" s="230"/>
      <c r="S812" s="233"/>
      <c r="T812" s="233"/>
      <c r="U812" s="234"/>
    </row>
    <row r="813" spans="4:21" ht="15.75" customHeight="1">
      <c r="D813" s="315"/>
      <c r="G813" s="231"/>
      <c r="H813" s="231"/>
      <c r="I813" s="231"/>
      <c r="J813" s="231"/>
      <c r="K813" s="231"/>
      <c r="L813" s="232"/>
      <c r="R813" s="230"/>
      <c r="S813" s="233"/>
      <c r="T813" s="233"/>
      <c r="U813" s="234"/>
    </row>
    <row r="814" spans="4:21" ht="15.75" customHeight="1">
      <c r="D814" s="315"/>
      <c r="G814" s="231"/>
      <c r="H814" s="231"/>
      <c r="I814" s="231"/>
      <c r="J814" s="231"/>
      <c r="K814" s="231"/>
      <c r="L814" s="232"/>
      <c r="R814" s="230"/>
      <c r="S814" s="233"/>
      <c r="T814" s="233"/>
      <c r="U814" s="234"/>
    </row>
    <row r="815" spans="4:21" ht="15.75" customHeight="1">
      <c r="D815" s="315"/>
      <c r="G815" s="231"/>
      <c r="H815" s="231"/>
      <c r="I815" s="231"/>
      <c r="J815" s="231"/>
      <c r="K815" s="231"/>
      <c r="L815" s="232"/>
      <c r="R815" s="230"/>
      <c r="S815" s="233"/>
      <c r="T815" s="233"/>
      <c r="U815" s="234"/>
    </row>
    <row r="816" spans="4:21" ht="15.75" customHeight="1">
      <c r="D816" s="315"/>
      <c r="G816" s="231"/>
      <c r="H816" s="231"/>
      <c r="I816" s="231"/>
      <c r="J816" s="231"/>
      <c r="K816" s="231"/>
      <c r="L816" s="232"/>
      <c r="R816" s="230"/>
      <c r="S816" s="233"/>
      <c r="T816" s="233"/>
      <c r="U816" s="234"/>
    </row>
    <row r="817" spans="4:21" ht="15.75" customHeight="1">
      <c r="D817" s="315"/>
      <c r="G817" s="231"/>
      <c r="H817" s="231"/>
      <c r="I817" s="231"/>
      <c r="J817" s="231"/>
      <c r="K817" s="231"/>
      <c r="L817" s="232"/>
      <c r="R817" s="230"/>
      <c r="S817" s="233"/>
      <c r="T817" s="233"/>
      <c r="U817" s="234"/>
    </row>
    <row r="818" spans="4:21" ht="15.75" customHeight="1">
      <c r="D818" s="315"/>
      <c r="G818" s="231"/>
      <c r="H818" s="231"/>
      <c r="I818" s="231"/>
      <c r="J818" s="231"/>
      <c r="K818" s="231"/>
      <c r="L818" s="232"/>
      <c r="R818" s="230"/>
      <c r="S818" s="233"/>
      <c r="T818" s="233"/>
      <c r="U818" s="234"/>
    </row>
    <row r="819" spans="4:21" ht="15.75" customHeight="1">
      <c r="D819" s="315"/>
      <c r="G819" s="231"/>
      <c r="H819" s="231"/>
      <c r="I819" s="231"/>
      <c r="J819" s="231"/>
      <c r="K819" s="231"/>
      <c r="L819" s="232"/>
      <c r="R819" s="230"/>
      <c r="S819" s="233"/>
      <c r="T819" s="233"/>
      <c r="U819" s="234"/>
    </row>
    <row r="820" spans="4:21" ht="15.75" customHeight="1">
      <c r="D820" s="315"/>
      <c r="G820" s="231"/>
      <c r="H820" s="231"/>
      <c r="I820" s="231"/>
      <c r="J820" s="231"/>
      <c r="K820" s="231"/>
      <c r="L820" s="232"/>
      <c r="R820" s="230"/>
      <c r="S820" s="233"/>
      <c r="T820" s="233"/>
      <c r="U820" s="234"/>
    </row>
    <row r="821" spans="4:21" ht="15.75" customHeight="1">
      <c r="D821" s="315"/>
      <c r="G821" s="231"/>
      <c r="H821" s="231"/>
      <c r="I821" s="231"/>
      <c r="J821" s="231"/>
      <c r="K821" s="231"/>
      <c r="L821" s="232"/>
      <c r="R821" s="230"/>
      <c r="S821" s="233"/>
      <c r="T821" s="233"/>
      <c r="U821" s="234"/>
    </row>
    <row r="822" spans="4:21" ht="15.75" customHeight="1">
      <c r="D822" s="315"/>
      <c r="G822" s="231"/>
      <c r="H822" s="231"/>
      <c r="I822" s="231"/>
      <c r="J822" s="231"/>
      <c r="K822" s="231"/>
      <c r="L822" s="232"/>
      <c r="R822" s="230"/>
      <c r="S822" s="233"/>
      <c r="T822" s="233"/>
      <c r="U822" s="234"/>
    </row>
    <row r="823" spans="4:21" ht="15.75" customHeight="1">
      <c r="D823" s="315"/>
      <c r="G823" s="231"/>
      <c r="H823" s="231"/>
      <c r="I823" s="231"/>
      <c r="J823" s="231"/>
      <c r="K823" s="231"/>
      <c r="L823" s="232"/>
      <c r="R823" s="230"/>
      <c r="S823" s="233"/>
      <c r="T823" s="233"/>
      <c r="U823" s="234"/>
    </row>
    <row r="824" spans="4:21" ht="15.75" customHeight="1">
      <c r="D824" s="315"/>
      <c r="G824" s="231"/>
      <c r="H824" s="231"/>
      <c r="I824" s="231"/>
      <c r="J824" s="231"/>
      <c r="K824" s="231"/>
      <c r="L824" s="232"/>
      <c r="R824" s="230"/>
      <c r="S824" s="233"/>
      <c r="T824" s="233"/>
      <c r="U824" s="234"/>
    </row>
    <row r="825" spans="4:21" ht="15.75" customHeight="1">
      <c r="D825" s="315"/>
      <c r="G825" s="231"/>
      <c r="H825" s="231"/>
      <c r="I825" s="231"/>
      <c r="J825" s="231"/>
      <c r="K825" s="231"/>
      <c r="L825" s="232"/>
      <c r="R825" s="230"/>
      <c r="S825" s="233"/>
      <c r="T825" s="233"/>
      <c r="U825" s="234"/>
    </row>
    <row r="826" spans="4:21" ht="15.75" customHeight="1">
      <c r="D826" s="315"/>
      <c r="G826" s="231"/>
      <c r="H826" s="231"/>
      <c r="I826" s="231"/>
      <c r="J826" s="231"/>
      <c r="K826" s="231"/>
      <c r="L826" s="232"/>
      <c r="R826" s="230"/>
      <c r="S826" s="233"/>
      <c r="T826" s="233"/>
      <c r="U826" s="234"/>
    </row>
    <row r="827" spans="4:21" ht="15.75" customHeight="1">
      <c r="D827" s="315"/>
      <c r="G827" s="231"/>
      <c r="H827" s="231"/>
      <c r="I827" s="231"/>
      <c r="J827" s="231"/>
      <c r="K827" s="231"/>
      <c r="L827" s="232"/>
      <c r="R827" s="230"/>
      <c r="S827" s="233"/>
      <c r="T827" s="233"/>
      <c r="U827" s="234"/>
    </row>
    <row r="828" spans="4:21" ht="15.75" customHeight="1">
      <c r="D828" s="315"/>
      <c r="G828" s="231"/>
      <c r="H828" s="231"/>
      <c r="I828" s="231"/>
      <c r="J828" s="231"/>
      <c r="K828" s="231"/>
      <c r="L828" s="232"/>
      <c r="R828" s="230"/>
      <c r="S828" s="233"/>
      <c r="T828" s="233"/>
      <c r="U828" s="234"/>
    </row>
    <row r="829" spans="4:21" ht="15.75" customHeight="1">
      <c r="D829" s="315"/>
      <c r="G829" s="231"/>
      <c r="H829" s="231"/>
      <c r="I829" s="231"/>
      <c r="J829" s="231"/>
      <c r="K829" s="231"/>
      <c r="L829" s="232"/>
      <c r="R829" s="230"/>
      <c r="S829" s="233"/>
      <c r="T829" s="233"/>
      <c r="U829" s="234"/>
    </row>
    <row r="830" spans="4:21" ht="15.75" customHeight="1">
      <c r="D830" s="315"/>
      <c r="G830" s="231"/>
      <c r="H830" s="231"/>
      <c r="I830" s="231"/>
      <c r="J830" s="231"/>
      <c r="K830" s="231"/>
      <c r="L830" s="232"/>
      <c r="R830" s="230"/>
      <c r="S830" s="233"/>
      <c r="T830" s="233"/>
      <c r="U830" s="234"/>
    </row>
    <row r="831" spans="4:21" ht="15.75" customHeight="1">
      <c r="D831" s="315"/>
      <c r="G831" s="231"/>
      <c r="H831" s="231"/>
      <c r="I831" s="231"/>
      <c r="J831" s="231"/>
      <c r="K831" s="231"/>
      <c r="L831" s="232"/>
      <c r="R831" s="230"/>
      <c r="S831" s="233"/>
      <c r="T831" s="233"/>
      <c r="U831" s="234"/>
    </row>
    <row r="832" spans="4:21" ht="15.75" customHeight="1">
      <c r="D832" s="315"/>
      <c r="G832" s="231"/>
      <c r="H832" s="231"/>
      <c r="I832" s="231"/>
      <c r="J832" s="231"/>
      <c r="K832" s="231"/>
      <c r="L832" s="232"/>
      <c r="R832" s="230"/>
      <c r="S832" s="233"/>
      <c r="T832" s="233"/>
      <c r="U832" s="234"/>
    </row>
    <row r="833" spans="4:21" ht="15.75" customHeight="1">
      <c r="D833" s="315"/>
      <c r="G833" s="231"/>
      <c r="H833" s="231"/>
      <c r="I833" s="231"/>
      <c r="J833" s="231"/>
      <c r="K833" s="231"/>
      <c r="L833" s="232"/>
      <c r="R833" s="230"/>
      <c r="S833" s="233"/>
      <c r="T833" s="233"/>
      <c r="U833" s="234"/>
    </row>
    <row r="834" spans="4:21" ht="15.75" customHeight="1">
      <c r="D834" s="315"/>
      <c r="G834" s="231"/>
      <c r="H834" s="231"/>
      <c r="I834" s="231"/>
      <c r="J834" s="231"/>
      <c r="K834" s="231"/>
      <c r="L834" s="232"/>
      <c r="R834" s="230"/>
      <c r="S834" s="233"/>
      <c r="T834" s="233"/>
      <c r="U834" s="234"/>
    </row>
    <row r="835" spans="4:21" ht="15.75" customHeight="1">
      <c r="D835" s="315"/>
      <c r="G835" s="231"/>
      <c r="H835" s="231"/>
      <c r="I835" s="231"/>
      <c r="J835" s="231"/>
      <c r="K835" s="231"/>
      <c r="L835" s="232"/>
      <c r="R835" s="230"/>
      <c r="S835" s="233"/>
      <c r="T835" s="233"/>
      <c r="U835" s="234"/>
    </row>
    <row r="836" spans="4:21" ht="15.75" customHeight="1">
      <c r="D836" s="315"/>
      <c r="G836" s="231"/>
      <c r="H836" s="231"/>
      <c r="I836" s="231"/>
      <c r="J836" s="231"/>
      <c r="K836" s="231"/>
      <c r="L836" s="232"/>
      <c r="R836" s="230"/>
      <c r="S836" s="233"/>
      <c r="T836" s="233"/>
      <c r="U836" s="234"/>
    </row>
    <row r="837" spans="4:21" ht="15.75" customHeight="1">
      <c r="D837" s="315"/>
      <c r="G837" s="231"/>
      <c r="H837" s="231"/>
      <c r="I837" s="231"/>
      <c r="J837" s="231"/>
      <c r="K837" s="231"/>
      <c r="L837" s="232"/>
      <c r="R837" s="230"/>
      <c r="S837" s="233"/>
      <c r="T837" s="233"/>
      <c r="U837" s="234"/>
    </row>
    <row r="838" spans="4:21" ht="15.75" customHeight="1">
      <c r="D838" s="315"/>
      <c r="G838" s="231"/>
      <c r="H838" s="231"/>
      <c r="I838" s="231"/>
      <c r="J838" s="231"/>
      <c r="K838" s="231"/>
      <c r="L838" s="232"/>
      <c r="R838" s="230"/>
      <c r="S838" s="233"/>
      <c r="T838" s="233"/>
      <c r="U838" s="234"/>
    </row>
    <row r="839" spans="4:21" ht="15.75" customHeight="1">
      <c r="D839" s="315"/>
      <c r="G839" s="231"/>
      <c r="H839" s="231"/>
      <c r="I839" s="231"/>
      <c r="J839" s="231"/>
      <c r="K839" s="231"/>
      <c r="L839" s="232"/>
      <c r="R839" s="230"/>
      <c r="S839" s="233"/>
      <c r="T839" s="233"/>
      <c r="U839" s="234"/>
    </row>
    <row r="840" spans="4:21" ht="15.75" customHeight="1">
      <c r="D840" s="315"/>
      <c r="G840" s="231"/>
      <c r="H840" s="231"/>
      <c r="I840" s="231"/>
      <c r="J840" s="231"/>
      <c r="K840" s="231"/>
      <c r="L840" s="232"/>
      <c r="R840" s="230"/>
      <c r="S840" s="233"/>
      <c r="T840" s="233"/>
      <c r="U840" s="234"/>
    </row>
    <row r="841" spans="4:21" ht="15.75" customHeight="1">
      <c r="D841" s="315"/>
      <c r="G841" s="231"/>
      <c r="H841" s="231"/>
      <c r="I841" s="231"/>
      <c r="J841" s="231"/>
      <c r="K841" s="231"/>
      <c r="L841" s="232"/>
      <c r="R841" s="230"/>
      <c r="S841" s="233"/>
      <c r="T841" s="233"/>
      <c r="U841" s="234"/>
    </row>
    <row r="842" spans="4:21" ht="15.75" customHeight="1">
      <c r="D842" s="315"/>
      <c r="G842" s="231"/>
      <c r="H842" s="231"/>
      <c r="I842" s="231"/>
      <c r="J842" s="231"/>
      <c r="K842" s="231"/>
      <c r="L842" s="232"/>
      <c r="R842" s="230"/>
      <c r="S842" s="233"/>
      <c r="T842" s="233"/>
      <c r="U842" s="234"/>
    </row>
    <row r="843" spans="4:21" ht="15.75" customHeight="1">
      <c r="D843" s="315"/>
      <c r="G843" s="231"/>
      <c r="H843" s="231"/>
      <c r="I843" s="231"/>
      <c r="J843" s="231"/>
      <c r="K843" s="231"/>
      <c r="L843" s="232"/>
      <c r="R843" s="230"/>
      <c r="S843" s="233"/>
      <c r="T843" s="233"/>
      <c r="U843" s="234"/>
    </row>
    <row r="844" spans="4:21" ht="15.75" customHeight="1">
      <c r="D844" s="315"/>
      <c r="G844" s="231"/>
      <c r="H844" s="231"/>
      <c r="I844" s="231"/>
      <c r="J844" s="231"/>
      <c r="K844" s="231"/>
      <c r="L844" s="232"/>
      <c r="R844" s="230"/>
      <c r="S844" s="233"/>
      <c r="T844" s="233"/>
      <c r="U844" s="234"/>
    </row>
    <row r="845" spans="4:21" ht="15.75" customHeight="1">
      <c r="D845" s="315"/>
      <c r="G845" s="231"/>
      <c r="H845" s="231"/>
      <c r="I845" s="231"/>
      <c r="J845" s="231"/>
      <c r="K845" s="231"/>
      <c r="L845" s="232"/>
      <c r="R845" s="230"/>
      <c r="S845" s="233"/>
      <c r="T845" s="233"/>
      <c r="U845" s="234"/>
    </row>
    <row r="846" spans="4:21" ht="15.75" customHeight="1">
      <c r="D846" s="315"/>
      <c r="G846" s="231"/>
      <c r="H846" s="231"/>
      <c r="I846" s="231"/>
      <c r="J846" s="231"/>
      <c r="K846" s="231"/>
      <c r="L846" s="232"/>
      <c r="R846" s="230"/>
      <c r="S846" s="233"/>
      <c r="T846" s="233"/>
      <c r="U846" s="234"/>
    </row>
    <row r="847" spans="4:21" ht="15.75" customHeight="1">
      <c r="D847" s="315"/>
      <c r="G847" s="231"/>
      <c r="H847" s="231"/>
      <c r="I847" s="231"/>
      <c r="J847" s="231"/>
      <c r="K847" s="231"/>
      <c r="L847" s="232"/>
      <c r="R847" s="230"/>
      <c r="S847" s="233"/>
      <c r="T847" s="233"/>
      <c r="U847" s="234"/>
    </row>
    <row r="848" spans="4:21" ht="15.75" customHeight="1">
      <c r="D848" s="315"/>
      <c r="G848" s="231"/>
      <c r="H848" s="231"/>
      <c r="I848" s="231"/>
      <c r="J848" s="231"/>
      <c r="K848" s="231"/>
      <c r="L848" s="232"/>
      <c r="R848" s="230"/>
      <c r="S848" s="233"/>
      <c r="T848" s="233"/>
      <c r="U848" s="234"/>
    </row>
    <row r="849" spans="4:21" ht="15.75" customHeight="1">
      <c r="D849" s="315"/>
      <c r="G849" s="231"/>
      <c r="H849" s="231"/>
      <c r="I849" s="231"/>
      <c r="J849" s="231"/>
      <c r="K849" s="231"/>
      <c r="L849" s="232"/>
      <c r="R849" s="230"/>
      <c r="S849" s="233"/>
      <c r="T849" s="233"/>
      <c r="U849" s="234"/>
    </row>
    <row r="850" spans="4:21" ht="15.75" customHeight="1">
      <c r="D850" s="315"/>
      <c r="G850" s="231"/>
      <c r="H850" s="231"/>
      <c r="I850" s="231"/>
      <c r="J850" s="231"/>
      <c r="K850" s="231"/>
      <c r="L850" s="232"/>
      <c r="R850" s="230"/>
      <c r="S850" s="233"/>
      <c r="T850" s="233"/>
      <c r="U850" s="234"/>
    </row>
    <row r="851" spans="4:21" ht="15.75" customHeight="1">
      <c r="D851" s="315"/>
      <c r="G851" s="231"/>
      <c r="H851" s="231"/>
      <c r="I851" s="231"/>
      <c r="J851" s="231"/>
      <c r="K851" s="231"/>
      <c r="L851" s="232"/>
      <c r="R851" s="230"/>
      <c r="S851" s="233"/>
      <c r="T851" s="233"/>
      <c r="U851" s="234"/>
    </row>
    <row r="852" spans="4:21" ht="15.75" customHeight="1">
      <c r="D852" s="315"/>
      <c r="G852" s="231"/>
      <c r="H852" s="231"/>
      <c r="I852" s="231"/>
      <c r="J852" s="231"/>
      <c r="K852" s="231"/>
      <c r="L852" s="232"/>
      <c r="R852" s="230"/>
      <c r="S852" s="233"/>
      <c r="T852" s="233"/>
      <c r="U852" s="234"/>
    </row>
    <row r="853" spans="4:21" ht="15.75" customHeight="1">
      <c r="D853" s="315"/>
      <c r="G853" s="231"/>
      <c r="H853" s="231"/>
      <c r="I853" s="231"/>
      <c r="J853" s="231"/>
      <c r="K853" s="231"/>
      <c r="L853" s="232"/>
      <c r="R853" s="230"/>
      <c r="S853" s="233"/>
      <c r="T853" s="233"/>
      <c r="U853" s="234"/>
    </row>
    <row r="854" spans="4:21" ht="15.75" customHeight="1">
      <c r="D854" s="315"/>
      <c r="G854" s="231"/>
      <c r="H854" s="231"/>
      <c r="I854" s="231"/>
      <c r="J854" s="231"/>
      <c r="K854" s="231"/>
      <c r="L854" s="232"/>
      <c r="R854" s="230"/>
      <c r="S854" s="233"/>
      <c r="T854" s="233"/>
      <c r="U854" s="234"/>
    </row>
    <row r="855" spans="4:21" ht="15.75" customHeight="1">
      <c r="D855" s="315"/>
      <c r="G855" s="231"/>
      <c r="H855" s="231"/>
      <c r="I855" s="231"/>
      <c r="J855" s="231"/>
      <c r="K855" s="231"/>
      <c r="L855" s="232"/>
      <c r="R855" s="230"/>
      <c r="S855" s="233"/>
      <c r="T855" s="233"/>
      <c r="U855" s="234"/>
    </row>
    <row r="856" spans="4:21" ht="15.75" customHeight="1">
      <c r="D856" s="315"/>
      <c r="G856" s="231"/>
      <c r="H856" s="231"/>
      <c r="I856" s="231"/>
      <c r="J856" s="231"/>
      <c r="K856" s="231"/>
      <c r="L856" s="232"/>
      <c r="R856" s="230"/>
      <c r="S856" s="233"/>
      <c r="T856" s="233"/>
      <c r="U856" s="234"/>
    </row>
    <row r="857" spans="4:21" ht="15.75" customHeight="1">
      <c r="D857" s="315"/>
      <c r="G857" s="231"/>
      <c r="H857" s="231"/>
      <c r="I857" s="231"/>
      <c r="J857" s="231"/>
      <c r="K857" s="231"/>
      <c r="L857" s="232"/>
      <c r="R857" s="230"/>
      <c r="S857" s="233"/>
      <c r="T857" s="233"/>
      <c r="U857" s="234"/>
    </row>
    <row r="858" spans="4:21" ht="15.75" customHeight="1">
      <c r="D858" s="315"/>
      <c r="G858" s="231"/>
      <c r="H858" s="231"/>
      <c r="I858" s="231"/>
      <c r="J858" s="231"/>
      <c r="K858" s="231"/>
      <c r="L858" s="232"/>
      <c r="R858" s="230"/>
      <c r="S858" s="233"/>
      <c r="T858" s="233"/>
      <c r="U858" s="234"/>
    </row>
    <row r="859" spans="4:21" ht="15.75" customHeight="1">
      <c r="D859" s="315"/>
      <c r="G859" s="231"/>
      <c r="H859" s="231"/>
      <c r="I859" s="231"/>
      <c r="J859" s="231"/>
      <c r="K859" s="231"/>
      <c r="L859" s="232"/>
      <c r="R859" s="230"/>
      <c r="S859" s="233"/>
      <c r="T859" s="233"/>
      <c r="U859" s="234"/>
    </row>
    <row r="860" spans="4:21" ht="15.75" customHeight="1">
      <c r="D860" s="315"/>
      <c r="G860" s="231"/>
      <c r="H860" s="231"/>
      <c r="I860" s="231"/>
      <c r="J860" s="231"/>
      <c r="K860" s="231"/>
      <c r="L860" s="232"/>
      <c r="R860" s="230"/>
      <c r="S860" s="233"/>
      <c r="T860" s="233"/>
      <c r="U860" s="234"/>
    </row>
    <row r="861" spans="4:21" ht="15.75" customHeight="1">
      <c r="D861" s="315"/>
      <c r="G861" s="231"/>
      <c r="H861" s="231"/>
      <c r="I861" s="231"/>
      <c r="J861" s="231"/>
      <c r="K861" s="231"/>
      <c r="L861" s="232"/>
      <c r="R861" s="230"/>
      <c r="S861" s="233"/>
      <c r="T861" s="233"/>
      <c r="U861" s="234"/>
    </row>
    <row r="862" spans="4:21" ht="15.75" customHeight="1">
      <c r="D862" s="315"/>
      <c r="G862" s="231"/>
      <c r="H862" s="231"/>
      <c r="I862" s="231"/>
      <c r="J862" s="231"/>
      <c r="K862" s="231"/>
      <c r="L862" s="232"/>
      <c r="R862" s="230"/>
      <c r="S862" s="233"/>
      <c r="T862" s="233"/>
      <c r="U862" s="234"/>
    </row>
    <row r="863" spans="4:21" ht="15.75" customHeight="1">
      <c r="D863" s="315"/>
      <c r="G863" s="231"/>
      <c r="H863" s="231"/>
      <c r="I863" s="231"/>
      <c r="J863" s="231"/>
      <c r="K863" s="231"/>
      <c r="L863" s="232"/>
      <c r="R863" s="230"/>
      <c r="S863" s="233"/>
      <c r="T863" s="233"/>
      <c r="U863" s="234"/>
    </row>
    <row r="864" spans="4:21" ht="15.75" customHeight="1">
      <c r="D864" s="315"/>
      <c r="G864" s="231"/>
      <c r="H864" s="231"/>
      <c r="I864" s="231"/>
      <c r="J864" s="231"/>
      <c r="K864" s="231"/>
      <c r="L864" s="232"/>
      <c r="R864" s="230"/>
      <c r="S864" s="233"/>
      <c r="T864" s="233"/>
      <c r="U864" s="234"/>
    </row>
    <row r="865" spans="4:21" ht="15.75" customHeight="1">
      <c r="D865" s="315"/>
      <c r="G865" s="231"/>
      <c r="H865" s="231"/>
      <c r="I865" s="231"/>
      <c r="J865" s="231"/>
      <c r="K865" s="231"/>
      <c r="L865" s="232"/>
      <c r="R865" s="230"/>
      <c r="S865" s="233"/>
      <c r="T865" s="233"/>
      <c r="U865" s="234"/>
    </row>
    <row r="866" spans="4:21" ht="15.75" customHeight="1">
      <c r="D866" s="315"/>
      <c r="G866" s="231"/>
      <c r="H866" s="231"/>
      <c r="I866" s="231"/>
      <c r="J866" s="231"/>
      <c r="K866" s="231"/>
      <c r="L866" s="232"/>
      <c r="R866" s="230"/>
      <c r="S866" s="233"/>
      <c r="T866" s="233"/>
      <c r="U866" s="234"/>
    </row>
    <row r="867" spans="4:21" ht="15.75" customHeight="1">
      <c r="D867" s="315"/>
      <c r="G867" s="231"/>
      <c r="H867" s="231"/>
      <c r="I867" s="231"/>
      <c r="J867" s="231"/>
      <c r="K867" s="231"/>
      <c r="L867" s="232"/>
      <c r="R867" s="230"/>
      <c r="S867" s="233"/>
      <c r="T867" s="233"/>
      <c r="U867" s="234"/>
    </row>
    <row r="868" spans="4:21" ht="15.75" customHeight="1">
      <c r="D868" s="315"/>
      <c r="G868" s="231"/>
      <c r="H868" s="231"/>
      <c r="I868" s="231"/>
      <c r="J868" s="231"/>
      <c r="K868" s="231"/>
      <c r="L868" s="232"/>
      <c r="R868" s="230"/>
      <c r="S868" s="233"/>
      <c r="T868" s="233"/>
      <c r="U868" s="234"/>
    </row>
    <row r="869" spans="4:21" ht="15.75" customHeight="1">
      <c r="D869" s="315"/>
      <c r="G869" s="231"/>
      <c r="H869" s="231"/>
      <c r="I869" s="231"/>
      <c r="J869" s="231"/>
      <c r="K869" s="231"/>
      <c r="L869" s="232"/>
      <c r="R869" s="230"/>
      <c r="S869" s="233"/>
      <c r="T869" s="233"/>
      <c r="U869" s="234"/>
    </row>
    <row r="870" spans="4:21" ht="15.75" customHeight="1">
      <c r="D870" s="315"/>
      <c r="G870" s="231"/>
      <c r="H870" s="231"/>
      <c r="I870" s="231"/>
      <c r="J870" s="231"/>
      <c r="K870" s="231"/>
      <c r="L870" s="232"/>
      <c r="R870" s="230"/>
      <c r="S870" s="233"/>
      <c r="T870" s="233"/>
      <c r="U870" s="234"/>
    </row>
    <row r="871" spans="4:21" ht="15.75" customHeight="1">
      <c r="D871" s="315"/>
      <c r="G871" s="231"/>
      <c r="H871" s="231"/>
      <c r="I871" s="231"/>
      <c r="J871" s="231"/>
      <c r="K871" s="231"/>
      <c r="L871" s="232"/>
      <c r="R871" s="230"/>
      <c r="S871" s="233"/>
      <c r="T871" s="233"/>
      <c r="U871" s="234"/>
    </row>
    <row r="872" spans="4:21" ht="15.75" customHeight="1">
      <c r="D872" s="315"/>
      <c r="G872" s="231"/>
      <c r="H872" s="231"/>
      <c r="I872" s="231"/>
      <c r="J872" s="231"/>
      <c r="K872" s="231"/>
      <c r="L872" s="232"/>
      <c r="R872" s="230"/>
      <c r="S872" s="233"/>
      <c r="T872" s="233"/>
      <c r="U872" s="234"/>
    </row>
    <row r="873" spans="4:21" ht="15.75" customHeight="1">
      <c r="D873" s="315"/>
      <c r="G873" s="231"/>
      <c r="H873" s="231"/>
      <c r="I873" s="231"/>
      <c r="J873" s="231"/>
      <c r="K873" s="231"/>
      <c r="L873" s="232"/>
      <c r="R873" s="230"/>
      <c r="S873" s="233"/>
      <c r="T873" s="233"/>
      <c r="U873" s="234"/>
    </row>
    <row r="874" spans="4:21" ht="15.75" customHeight="1">
      <c r="D874" s="315"/>
      <c r="G874" s="231"/>
      <c r="H874" s="231"/>
      <c r="I874" s="231"/>
      <c r="J874" s="231"/>
      <c r="K874" s="231"/>
      <c r="L874" s="232"/>
      <c r="R874" s="230"/>
      <c r="S874" s="233"/>
      <c r="T874" s="233"/>
      <c r="U874" s="234"/>
    </row>
    <row r="875" spans="4:21" ht="15.75" customHeight="1">
      <c r="D875" s="315"/>
      <c r="G875" s="231"/>
      <c r="H875" s="231"/>
      <c r="I875" s="231"/>
      <c r="J875" s="231"/>
      <c r="K875" s="231"/>
      <c r="L875" s="232"/>
      <c r="R875" s="230"/>
      <c r="S875" s="233"/>
      <c r="T875" s="233"/>
      <c r="U875" s="234"/>
    </row>
    <row r="876" spans="4:21" ht="15.75" customHeight="1">
      <c r="D876" s="315"/>
      <c r="G876" s="231"/>
      <c r="H876" s="231"/>
      <c r="I876" s="231"/>
      <c r="J876" s="231"/>
      <c r="K876" s="231"/>
      <c r="L876" s="232"/>
      <c r="R876" s="230"/>
      <c r="S876" s="233"/>
      <c r="T876" s="233"/>
      <c r="U876" s="234"/>
    </row>
    <row r="877" spans="4:21" ht="15.75" customHeight="1">
      <c r="D877" s="315"/>
      <c r="G877" s="231"/>
      <c r="H877" s="231"/>
      <c r="I877" s="231"/>
      <c r="J877" s="231"/>
      <c r="K877" s="231"/>
      <c r="L877" s="232"/>
      <c r="R877" s="230"/>
      <c r="S877" s="233"/>
      <c r="T877" s="233"/>
      <c r="U877" s="234"/>
    </row>
    <row r="878" spans="4:21" ht="15.75" customHeight="1">
      <c r="D878" s="315"/>
      <c r="G878" s="231"/>
      <c r="H878" s="231"/>
      <c r="I878" s="231"/>
      <c r="J878" s="231"/>
      <c r="K878" s="231"/>
      <c r="L878" s="232"/>
      <c r="R878" s="230"/>
      <c r="S878" s="233"/>
      <c r="T878" s="233"/>
      <c r="U878" s="234"/>
    </row>
    <row r="879" spans="4:21" ht="15.75" customHeight="1">
      <c r="D879" s="315"/>
      <c r="G879" s="231"/>
      <c r="H879" s="231"/>
      <c r="I879" s="231"/>
      <c r="J879" s="231"/>
      <c r="K879" s="231"/>
      <c r="L879" s="232"/>
      <c r="R879" s="230"/>
      <c r="S879" s="233"/>
      <c r="T879" s="233"/>
      <c r="U879" s="234"/>
    </row>
    <row r="880" spans="4:21" ht="15.75" customHeight="1">
      <c r="D880" s="315"/>
      <c r="G880" s="231"/>
      <c r="H880" s="231"/>
      <c r="I880" s="231"/>
      <c r="J880" s="231"/>
      <c r="K880" s="231"/>
      <c r="L880" s="232"/>
      <c r="R880" s="230"/>
      <c r="S880" s="233"/>
      <c r="T880" s="233"/>
      <c r="U880" s="234"/>
    </row>
    <row r="881" spans="4:21" ht="15.75" customHeight="1">
      <c r="D881" s="315"/>
      <c r="G881" s="231"/>
      <c r="H881" s="231"/>
      <c r="I881" s="231"/>
      <c r="J881" s="231"/>
      <c r="K881" s="231"/>
      <c r="L881" s="232"/>
      <c r="R881" s="230"/>
      <c r="S881" s="233"/>
      <c r="T881" s="233"/>
      <c r="U881" s="234"/>
    </row>
    <row r="882" spans="4:21" ht="15.75" customHeight="1">
      <c r="D882" s="315"/>
      <c r="G882" s="231"/>
      <c r="H882" s="231"/>
      <c r="I882" s="231"/>
      <c r="J882" s="231"/>
      <c r="K882" s="231"/>
      <c r="L882" s="232"/>
      <c r="R882" s="230"/>
      <c r="S882" s="233"/>
      <c r="T882" s="233"/>
      <c r="U882" s="234"/>
    </row>
    <row r="883" spans="4:21" ht="15.75" customHeight="1">
      <c r="D883" s="315"/>
      <c r="G883" s="231"/>
      <c r="H883" s="231"/>
      <c r="I883" s="231"/>
      <c r="J883" s="231"/>
      <c r="K883" s="231"/>
      <c r="L883" s="232"/>
      <c r="R883" s="230"/>
      <c r="S883" s="233"/>
      <c r="T883" s="233"/>
      <c r="U883" s="234"/>
    </row>
    <row r="884" spans="4:21" ht="15.75" customHeight="1">
      <c r="D884" s="315"/>
      <c r="G884" s="231"/>
      <c r="H884" s="231"/>
      <c r="I884" s="231"/>
      <c r="J884" s="231"/>
      <c r="K884" s="231"/>
      <c r="L884" s="232"/>
      <c r="R884" s="230"/>
      <c r="S884" s="233"/>
      <c r="T884" s="233"/>
      <c r="U884" s="234"/>
    </row>
    <row r="885" spans="4:21" ht="15.75" customHeight="1">
      <c r="D885" s="315"/>
      <c r="G885" s="231"/>
      <c r="H885" s="231"/>
      <c r="I885" s="231"/>
      <c r="J885" s="231"/>
      <c r="K885" s="231"/>
      <c r="L885" s="232"/>
      <c r="R885" s="230"/>
      <c r="S885" s="233"/>
      <c r="T885" s="233"/>
      <c r="U885" s="234"/>
    </row>
    <row r="886" spans="4:21" ht="15.75" customHeight="1">
      <c r="D886" s="315"/>
      <c r="G886" s="231"/>
      <c r="H886" s="231"/>
      <c r="I886" s="231"/>
      <c r="J886" s="231"/>
      <c r="K886" s="231"/>
      <c r="L886" s="232"/>
      <c r="R886" s="230"/>
      <c r="S886" s="233"/>
      <c r="T886" s="233"/>
      <c r="U886" s="234"/>
    </row>
    <row r="887" spans="4:21" ht="15.75" customHeight="1">
      <c r="D887" s="315"/>
      <c r="G887" s="231"/>
      <c r="H887" s="231"/>
      <c r="I887" s="231"/>
      <c r="J887" s="231"/>
      <c r="K887" s="231"/>
      <c r="L887" s="232"/>
      <c r="R887" s="230"/>
      <c r="S887" s="233"/>
      <c r="T887" s="233"/>
      <c r="U887" s="234"/>
    </row>
    <row r="888" spans="4:21" ht="15.75" customHeight="1">
      <c r="D888" s="315"/>
      <c r="G888" s="231"/>
      <c r="H888" s="231"/>
      <c r="I888" s="231"/>
      <c r="J888" s="231"/>
      <c r="K888" s="231"/>
      <c r="L888" s="232"/>
      <c r="R888" s="230"/>
      <c r="S888" s="233"/>
      <c r="T888" s="233"/>
      <c r="U888" s="234"/>
    </row>
    <row r="889" spans="4:21" ht="15.75" customHeight="1">
      <c r="D889" s="315"/>
      <c r="G889" s="231"/>
      <c r="H889" s="231"/>
      <c r="I889" s="231"/>
      <c r="J889" s="231"/>
      <c r="K889" s="231"/>
      <c r="L889" s="232"/>
      <c r="R889" s="230"/>
      <c r="S889" s="233"/>
      <c r="T889" s="233"/>
      <c r="U889" s="234"/>
    </row>
    <row r="890" spans="4:21" ht="15.75" customHeight="1">
      <c r="D890" s="315"/>
      <c r="G890" s="231"/>
      <c r="H890" s="231"/>
      <c r="I890" s="231"/>
      <c r="J890" s="231"/>
      <c r="K890" s="231"/>
      <c r="L890" s="232"/>
      <c r="R890" s="230"/>
      <c r="S890" s="233"/>
      <c r="T890" s="233"/>
      <c r="U890" s="234"/>
    </row>
    <row r="891" spans="4:21" ht="15.75" customHeight="1">
      <c r="D891" s="315"/>
      <c r="G891" s="231"/>
      <c r="H891" s="231"/>
      <c r="I891" s="231"/>
      <c r="J891" s="231"/>
      <c r="K891" s="231"/>
      <c r="L891" s="232"/>
      <c r="R891" s="230"/>
      <c r="S891" s="233"/>
      <c r="T891" s="233"/>
      <c r="U891" s="234"/>
    </row>
    <row r="892" spans="4:21" ht="15.75" customHeight="1">
      <c r="D892" s="315"/>
      <c r="G892" s="231"/>
      <c r="H892" s="231"/>
      <c r="I892" s="231"/>
      <c r="J892" s="231"/>
      <c r="K892" s="231"/>
      <c r="L892" s="232"/>
      <c r="R892" s="230"/>
      <c r="S892" s="233"/>
      <c r="T892" s="233"/>
      <c r="U892" s="234"/>
    </row>
    <row r="893" spans="4:21" ht="15.75" customHeight="1">
      <c r="D893" s="315"/>
      <c r="G893" s="231"/>
      <c r="H893" s="231"/>
      <c r="I893" s="231"/>
      <c r="J893" s="231"/>
      <c r="K893" s="231"/>
      <c r="L893" s="232"/>
      <c r="R893" s="230"/>
      <c r="S893" s="233"/>
      <c r="T893" s="233"/>
      <c r="U893" s="234"/>
    </row>
    <row r="894" spans="4:21" ht="15.75" customHeight="1">
      <c r="D894" s="315"/>
      <c r="G894" s="231"/>
      <c r="H894" s="231"/>
      <c r="I894" s="231"/>
      <c r="J894" s="231"/>
      <c r="K894" s="231"/>
      <c r="L894" s="232"/>
      <c r="R894" s="230"/>
      <c r="S894" s="233"/>
      <c r="T894" s="233"/>
      <c r="U894" s="234"/>
    </row>
    <row r="895" spans="4:21" ht="15.75" customHeight="1">
      <c r="D895" s="315"/>
      <c r="G895" s="231"/>
      <c r="H895" s="231"/>
      <c r="I895" s="231"/>
      <c r="J895" s="231"/>
      <c r="K895" s="231"/>
      <c r="L895" s="232"/>
      <c r="R895" s="230"/>
      <c r="S895" s="233"/>
      <c r="T895" s="233"/>
      <c r="U895" s="234"/>
    </row>
    <row r="896" spans="4:21" ht="15.75" customHeight="1">
      <c r="D896" s="315"/>
      <c r="G896" s="231"/>
      <c r="H896" s="231"/>
      <c r="I896" s="231"/>
      <c r="J896" s="231"/>
      <c r="K896" s="231"/>
      <c r="L896" s="232"/>
      <c r="R896" s="230"/>
      <c r="S896" s="233"/>
      <c r="T896" s="233"/>
      <c r="U896" s="234"/>
    </row>
    <row r="897" spans="4:21" ht="15.75" customHeight="1">
      <c r="D897" s="315"/>
      <c r="G897" s="231"/>
      <c r="H897" s="231"/>
      <c r="I897" s="231"/>
      <c r="J897" s="231"/>
      <c r="K897" s="231"/>
      <c r="L897" s="232"/>
      <c r="R897" s="230"/>
      <c r="S897" s="233"/>
      <c r="T897" s="233"/>
      <c r="U897" s="234"/>
    </row>
    <row r="898" spans="4:21" ht="15.75" customHeight="1">
      <c r="D898" s="315"/>
      <c r="G898" s="231"/>
      <c r="H898" s="231"/>
      <c r="I898" s="231"/>
      <c r="J898" s="231"/>
      <c r="K898" s="231"/>
      <c r="L898" s="232"/>
      <c r="R898" s="230"/>
      <c r="S898" s="233"/>
      <c r="T898" s="233"/>
      <c r="U898" s="234"/>
    </row>
    <row r="899" spans="4:21" ht="15.75" customHeight="1">
      <c r="D899" s="315"/>
      <c r="G899" s="231"/>
      <c r="H899" s="231"/>
      <c r="I899" s="231"/>
      <c r="J899" s="231"/>
      <c r="K899" s="231"/>
      <c r="L899" s="232"/>
      <c r="R899" s="230"/>
      <c r="S899" s="233"/>
      <c r="T899" s="233"/>
      <c r="U899" s="234"/>
    </row>
    <row r="900" spans="4:21" ht="15.75" customHeight="1">
      <c r="D900" s="315"/>
      <c r="G900" s="231"/>
      <c r="H900" s="231"/>
      <c r="I900" s="231"/>
      <c r="J900" s="231"/>
      <c r="K900" s="231"/>
      <c r="L900" s="232"/>
      <c r="R900" s="230"/>
      <c r="S900" s="233"/>
      <c r="T900" s="233"/>
      <c r="U900" s="234"/>
    </row>
    <row r="901" spans="4:21" ht="15.75" customHeight="1">
      <c r="D901" s="315"/>
      <c r="G901" s="231"/>
      <c r="H901" s="231"/>
      <c r="I901" s="231"/>
      <c r="J901" s="231"/>
      <c r="K901" s="231"/>
      <c r="L901" s="232"/>
      <c r="R901" s="230"/>
      <c r="S901" s="233"/>
      <c r="T901" s="233"/>
      <c r="U901" s="234"/>
    </row>
    <row r="902" spans="4:21" ht="15.75" customHeight="1">
      <c r="D902" s="315"/>
      <c r="G902" s="231"/>
      <c r="H902" s="231"/>
      <c r="I902" s="231"/>
      <c r="J902" s="231"/>
      <c r="K902" s="231"/>
      <c r="L902" s="232"/>
      <c r="R902" s="230"/>
      <c r="S902" s="233"/>
      <c r="T902" s="233"/>
      <c r="U902" s="234"/>
    </row>
    <row r="903" spans="4:21" ht="15.75" customHeight="1">
      <c r="D903" s="315"/>
      <c r="G903" s="231"/>
      <c r="H903" s="231"/>
      <c r="I903" s="231"/>
      <c r="J903" s="231"/>
      <c r="K903" s="231"/>
      <c r="L903" s="232"/>
      <c r="R903" s="230"/>
      <c r="S903" s="233"/>
      <c r="T903" s="233"/>
      <c r="U903" s="234"/>
    </row>
    <row r="904" spans="4:21" ht="15.75" customHeight="1">
      <c r="D904" s="315"/>
      <c r="G904" s="231"/>
      <c r="H904" s="231"/>
      <c r="I904" s="231"/>
      <c r="J904" s="231"/>
      <c r="K904" s="231"/>
      <c r="L904" s="232"/>
      <c r="R904" s="230"/>
      <c r="S904" s="233"/>
      <c r="T904" s="233"/>
      <c r="U904" s="234"/>
    </row>
    <row r="905" spans="4:21" ht="15.75" customHeight="1">
      <c r="D905" s="315"/>
      <c r="G905" s="231"/>
      <c r="H905" s="231"/>
      <c r="I905" s="231"/>
      <c r="J905" s="231"/>
      <c r="K905" s="231"/>
      <c r="L905" s="232"/>
      <c r="R905" s="230"/>
      <c r="S905" s="233"/>
      <c r="T905" s="233"/>
      <c r="U905" s="234"/>
    </row>
    <row r="906" spans="4:21" ht="15.75" customHeight="1">
      <c r="D906" s="315"/>
      <c r="G906" s="231"/>
      <c r="H906" s="231"/>
      <c r="I906" s="231"/>
      <c r="J906" s="231"/>
      <c r="K906" s="231"/>
      <c r="L906" s="232"/>
      <c r="R906" s="230"/>
      <c r="S906" s="233"/>
      <c r="T906" s="233"/>
      <c r="U906" s="234"/>
    </row>
    <row r="907" spans="4:21" ht="15.75" customHeight="1">
      <c r="D907" s="315"/>
      <c r="G907" s="231"/>
      <c r="H907" s="231"/>
      <c r="I907" s="231"/>
      <c r="J907" s="231"/>
      <c r="K907" s="231"/>
      <c r="L907" s="232"/>
      <c r="R907" s="230"/>
      <c r="S907" s="233"/>
      <c r="T907" s="233"/>
      <c r="U907" s="234"/>
    </row>
    <row r="908" spans="4:21" ht="15.75" customHeight="1">
      <c r="D908" s="315"/>
      <c r="G908" s="231"/>
      <c r="H908" s="231"/>
      <c r="I908" s="231"/>
      <c r="J908" s="231"/>
      <c r="K908" s="231"/>
      <c r="L908" s="232"/>
      <c r="R908" s="230"/>
      <c r="S908" s="233"/>
      <c r="T908" s="233"/>
      <c r="U908" s="234"/>
    </row>
    <row r="909" spans="4:21" ht="15.75" customHeight="1">
      <c r="D909" s="315"/>
      <c r="G909" s="231"/>
      <c r="H909" s="231"/>
      <c r="I909" s="231"/>
      <c r="J909" s="231"/>
      <c r="K909" s="231"/>
      <c r="L909" s="232"/>
      <c r="R909" s="230"/>
      <c r="S909" s="233"/>
      <c r="T909" s="233"/>
      <c r="U909" s="234"/>
    </row>
    <row r="910" spans="4:21" ht="15.75" customHeight="1">
      <c r="D910" s="315"/>
      <c r="G910" s="231"/>
      <c r="H910" s="231"/>
      <c r="I910" s="231"/>
      <c r="J910" s="231"/>
      <c r="K910" s="231"/>
      <c r="L910" s="232"/>
      <c r="R910" s="230"/>
      <c r="S910" s="233"/>
      <c r="T910" s="233"/>
      <c r="U910" s="234"/>
    </row>
    <row r="911" spans="4:21" ht="15.75" customHeight="1">
      <c r="D911" s="315"/>
      <c r="G911" s="231"/>
      <c r="H911" s="231"/>
      <c r="I911" s="231"/>
      <c r="J911" s="231"/>
      <c r="K911" s="231"/>
      <c r="L911" s="232"/>
      <c r="R911" s="230"/>
      <c r="S911" s="233"/>
      <c r="T911" s="233"/>
      <c r="U911" s="234"/>
    </row>
    <row r="912" spans="4:21" ht="15.75" customHeight="1">
      <c r="D912" s="315"/>
      <c r="G912" s="231"/>
      <c r="H912" s="231"/>
      <c r="I912" s="231"/>
      <c r="J912" s="231"/>
      <c r="K912" s="231"/>
      <c r="L912" s="232"/>
      <c r="R912" s="230"/>
      <c r="S912" s="233"/>
      <c r="T912" s="233"/>
      <c r="U912" s="234"/>
    </row>
    <row r="913" spans="4:21" ht="15.75" customHeight="1">
      <c r="D913" s="315"/>
      <c r="G913" s="231"/>
      <c r="H913" s="231"/>
      <c r="I913" s="231"/>
      <c r="J913" s="231"/>
      <c r="K913" s="231"/>
      <c r="L913" s="232"/>
      <c r="R913" s="230"/>
      <c r="S913" s="233"/>
      <c r="T913" s="233"/>
      <c r="U913" s="234"/>
    </row>
    <row r="914" spans="4:21" ht="15.75" customHeight="1">
      <c r="D914" s="315"/>
      <c r="G914" s="231"/>
      <c r="H914" s="231"/>
      <c r="I914" s="231"/>
      <c r="J914" s="231"/>
      <c r="K914" s="231"/>
      <c r="L914" s="232"/>
      <c r="R914" s="230"/>
      <c r="S914" s="233"/>
      <c r="T914" s="233"/>
      <c r="U914" s="234"/>
    </row>
    <row r="915" spans="4:21" ht="15.75" customHeight="1">
      <c r="D915" s="315"/>
      <c r="G915" s="231"/>
      <c r="H915" s="231"/>
      <c r="I915" s="231"/>
      <c r="J915" s="231"/>
      <c r="K915" s="231"/>
      <c r="L915" s="232"/>
      <c r="R915" s="230"/>
      <c r="S915" s="233"/>
      <c r="T915" s="233"/>
      <c r="U915" s="234"/>
    </row>
    <row r="916" spans="4:21" ht="15.75" customHeight="1">
      <c r="D916" s="315"/>
      <c r="G916" s="231"/>
      <c r="H916" s="231"/>
      <c r="I916" s="231"/>
      <c r="J916" s="231"/>
      <c r="K916" s="231"/>
      <c r="L916" s="232"/>
      <c r="R916" s="230"/>
      <c r="S916" s="233"/>
      <c r="T916" s="233"/>
      <c r="U916" s="234"/>
    </row>
    <row r="917" spans="4:21" ht="15.75" customHeight="1">
      <c r="D917" s="315"/>
      <c r="G917" s="231"/>
      <c r="H917" s="231"/>
      <c r="I917" s="231"/>
      <c r="J917" s="231"/>
      <c r="K917" s="231"/>
      <c r="L917" s="232"/>
      <c r="R917" s="230"/>
      <c r="S917" s="233"/>
      <c r="T917" s="233"/>
      <c r="U917" s="234"/>
    </row>
    <row r="918" spans="4:21" ht="15.75" customHeight="1">
      <c r="D918" s="315"/>
      <c r="G918" s="231"/>
      <c r="H918" s="231"/>
      <c r="I918" s="231"/>
      <c r="J918" s="231"/>
      <c r="K918" s="231"/>
      <c r="L918" s="232"/>
      <c r="R918" s="230"/>
      <c r="S918" s="233"/>
      <c r="T918" s="233"/>
      <c r="U918" s="234"/>
    </row>
    <row r="919" spans="4:21" ht="15.75" customHeight="1">
      <c r="D919" s="315"/>
      <c r="G919" s="231"/>
      <c r="H919" s="231"/>
      <c r="I919" s="231"/>
      <c r="J919" s="231"/>
      <c r="K919" s="231"/>
      <c r="L919" s="232"/>
      <c r="R919" s="230"/>
      <c r="S919" s="233"/>
      <c r="T919" s="233"/>
      <c r="U919" s="234"/>
    </row>
    <row r="920" spans="4:21" ht="15.75" customHeight="1">
      <c r="D920" s="315"/>
      <c r="G920" s="231"/>
      <c r="H920" s="231"/>
      <c r="I920" s="231"/>
      <c r="J920" s="231"/>
      <c r="K920" s="231"/>
      <c r="L920" s="232"/>
      <c r="R920" s="230"/>
      <c r="S920" s="233"/>
      <c r="T920" s="233"/>
      <c r="U920" s="234"/>
    </row>
    <row r="921" spans="4:21" ht="15.75" customHeight="1">
      <c r="D921" s="315"/>
      <c r="G921" s="231"/>
      <c r="H921" s="231"/>
      <c r="I921" s="231"/>
      <c r="J921" s="231"/>
      <c r="K921" s="231"/>
      <c r="L921" s="232"/>
      <c r="R921" s="230"/>
      <c r="S921" s="233"/>
      <c r="T921" s="233"/>
      <c r="U921" s="234"/>
    </row>
    <row r="922" spans="4:21" ht="15.75" customHeight="1">
      <c r="D922" s="315"/>
      <c r="G922" s="231"/>
      <c r="H922" s="231"/>
      <c r="I922" s="231"/>
      <c r="J922" s="231"/>
      <c r="K922" s="231"/>
      <c r="L922" s="232"/>
      <c r="R922" s="230"/>
      <c r="S922" s="233"/>
      <c r="T922" s="233"/>
      <c r="U922" s="234"/>
    </row>
    <row r="923" spans="4:21" ht="15.75" customHeight="1">
      <c r="D923" s="315"/>
      <c r="G923" s="231"/>
      <c r="H923" s="231"/>
      <c r="I923" s="231"/>
      <c r="J923" s="231"/>
      <c r="K923" s="231"/>
      <c r="L923" s="232"/>
      <c r="R923" s="230"/>
      <c r="S923" s="233"/>
      <c r="T923" s="233"/>
      <c r="U923" s="234"/>
    </row>
    <row r="924" spans="4:21" ht="15.75" customHeight="1">
      <c r="D924" s="315"/>
      <c r="G924" s="231"/>
      <c r="H924" s="231"/>
      <c r="I924" s="231"/>
      <c r="J924" s="231"/>
      <c r="K924" s="231"/>
      <c r="L924" s="232"/>
      <c r="R924" s="230"/>
      <c r="S924" s="233"/>
      <c r="T924" s="233"/>
      <c r="U924" s="234"/>
    </row>
    <row r="925" spans="4:21" ht="15.75" customHeight="1">
      <c r="D925" s="315"/>
      <c r="G925" s="231"/>
      <c r="H925" s="231"/>
      <c r="I925" s="231"/>
      <c r="J925" s="231"/>
      <c r="K925" s="231"/>
      <c r="L925" s="232"/>
      <c r="R925" s="230"/>
      <c r="S925" s="233"/>
      <c r="T925" s="233"/>
      <c r="U925" s="234"/>
    </row>
    <row r="926" spans="4:21" ht="15.75" customHeight="1">
      <c r="D926" s="315"/>
      <c r="G926" s="231"/>
      <c r="H926" s="231"/>
      <c r="I926" s="231"/>
      <c r="J926" s="231"/>
      <c r="K926" s="231"/>
      <c r="L926" s="232"/>
      <c r="R926" s="230"/>
      <c r="S926" s="233"/>
      <c r="T926" s="233"/>
      <c r="U926" s="234"/>
    </row>
    <row r="927" spans="4:21" ht="15.75" customHeight="1">
      <c r="D927" s="315"/>
      <c r="G927" s="231"/>
      <c r="H927" s="231"/>
      <c r="I927" s="231"/>
      <c r="J927" s="231"/>
      <c r="K927" s="231"/>
      <c r="L927" s="232"/>
      <c r="R927" s="230"/>
      <c r="S927" s="233"/>
      <c r="T927" s="233"/>
      <c r="U927" s="234"/>
    </row>
    <row r="928" spans="4:21" ht="15.75" customHeight="1">
      <c r="D928" s="315"/>
      <c r="G928" s="231"/>
      <c r="H928" s="231"/>
      <c r="I928" s="231"/>
      <c r="J928" s="231"/>
      <c r="K928" s="231"/>
      <c r="L928" s="232"/>
      <c r="R928" s="230"/>
      <c r="S928" s="233"/>
      <c r="T928" s="233"/>
      <c r="U928" s="234"/>
    </row>
    <row r="929" spans="4:21" ht="15.75" customHeight="1">
      <c r="D929" s="315"/>
      <c r="G929" s="231"/>
      <c r="H929" s="231"/>
      <c r="I929" s="231"/>
      <c r="J929" s="231"/>
      <c r="K929" s="231"/>
      <c r="L929" s="232"/>
      <c r="R929" s="230"/>
      <c r="S929" s="233"/>
      <c r="T929" s="233"/>
      <c r="U929" s="234"/>
    </row>
    <row r="930" spans="4:21" ht="15.75" customHeight="1">
      <c r="D930" s="315"/>
      <c r="G930" s="231"/>
      <c r="H930" s="231"/>
      <c r="I930" s="231"/>
      <c r="J930" s="231"/>
      <c r="K930" s="231"/>
      <c r="L930" s="232"/>
      <c r="R930" s="230"/>
      <c r="S930" s="233"/>
      <c r="T930" s="233"/>
      <c r="U930" s="234"/>
    </row>
    <row r="931" spans="4:21" ht="15.75" customHeight="1">
      <c r="D931" s="315"/>
      <c r="G931" s="231"/>
      <c r="H931" s="231"/>
      <c r="I931" s="231"/>
      <c r="J931" s="231"/>
      <c r="K931" s="231"/>
      <c r="L931" s="232"/>
      <c r="R931" s="230"/>
      <c r="S931" s="233"/>
      <c r="T931" s="233"/>
      <c r="U931" s="234"/>
    </row>
    <row r="932" spans="4:21" ht="15.75" customHeight="1">
      <c r="D932" s="315"/>
      <c r="G932" s="231"/>
      <c r="H932" s="231"/>
      <c r="I932" s="231"/>
      <c r="J932" s="231"/>
      <c r="K932" s="231"/>
      <c r="L932" s="232"/>
      <c r="R932" s="230"/>
      <c r="S932" s="233"/>
      <c r="T932" s="233"/>
      <c r="U932" s="234"/>
    </row>
    <row r="933" spans="4:21" ht="15.75" customHeight="1">
      <c r="D933" s="315"/>
      <c r="G933" s="231"/>
      <c r="H933" s="231"/>
      <c r="I933" s="231"/>
      <c r="J933" s="231"/>
      <c r="K933" s="231"/>
      <c r="L933" s="232"/>
      <c r="R933" s="230"/>
      <c r="S933" s="233"/>
      <c r="T933" s="233"/>
      <c r="U933" s="234"/>
    </row>
    <row r="934" spans="4:21" ht="15.75" customHeight="1">
      <c r="D934" s="315"/>
      <c r="G934" s="231"/>
      <c r="H934" s="231"/>
      <c r="I934" s="231"/>
      <c r="J934" s="231"/>
      <c r="K934" s="231"/>
      <c r="L934" s="232"/>
      <c r="R934" s="230"/>
      <c r="S934" s="233"/>
      <c r="T934" s="233"/>
      <c r="U934" s="234"/>
    </row>
    <row r="935" spans="4:21" ht="15.75" customHeight="1">
      <c r="D935" s="315"/>
      <c r="G935" s="231"/>
      <c r="H935" s="231"/>
      <c r="I935" s="231"/>
      <c r="J935" s="231"/>
      <c r="K935" s="231"/>
      <c r="L935" s="232"/>
      <c r="R935" s="230"/>
      <c r="S935" s="233"/>
      <c r="T935" s="233"/>
      <c r="U935" s="234"/>
    </row>
    <row r="936" spans="4:21" ht="15.75" customHeight="1">
      <c r="D936" s="315"/>
      <c r="G936" s="231"/>
      <c r="H936" s="231"/>
      <c r="I936" s="231"/>
      <c r="J936" s="231"/>
      <c r="K936" s="231"/>
      <c r="L936" s="232"/>
      <c r="R936" s="230"/>
      <c r="S936" s="233"/>
      <c r="T936" s="233"/>
      <c r="U936" s="234"/>
    </row>
    <row r="937" spans="4:21" ht="15.75" customHeight="1">
      <c r="D937" s="315"/>
      <c r="G937" s="231"/>
      <c r="H937" s="231"/>
      <c r="I937" s="231"/>
      <c r="J937" s="231"/>
      <c r="K937" s="231"/>
      <c r="L937" s="232"/>
      <c r="R937" s="230"/>
      <c r="S937" s="233"/>
      <c r="T937" s="233"/>
      <c r="U937" s="234"/>
    </row>
    <row r="938" spans="4:21" ht="15.75" customHeight="1">
      <c r="D938" s="315"/>
      <c r="G938" s="231"/>
      <c r="H938" s="231"/>
      <c r="I938" s="231"/>
      <c r="J938" s="231"/>
      <c r="K938" s="231"/>
      <c r="L938" s="232"/>
      <c r="R938" s="230"/>
      <c r="S938" s="233"/>
      <c r="T938" s="233"/>
      <c r="U938" s="234"/>
    </row>
    <row r="939" spans="4:21" ht="15.75" customHeight="1">
      <c r="D939" s="315"/>
      <c r="G939" s="231"/>
      <c r="H939" s="231"/>
      <c r="I939" s="231"/>
      <c r="J939" s="231"/>
      <c r="K939" s="231"/>
      <c r="L939" s="232"/>
      <c r="R939" s="230"/>
      <c r="S939" s="233"/>
      <c r="T939" s="233"/>
      <c r="U939" s="234"/>
    </row>
    <row r="940" spans="4:21" ht="15.75" customHeight="1">
      <c r="D940" s="315"/>
      <c r="G940" s="231"/>
      <c r="H940" s="231"/>
      <c r="I940" s="231"/>
      <c r="J940" s="231"/>
      <c r="K940" s="231"/>
      <c r="L940" s="232"/>
      <c r="R940" s="230"/>
      <c r="S940" s="233"/>
      <c r="T940" s="233"/>
      <c r="U940" s="234"/>
    </row>
    <row r="941" spans="4:21" ht="15.75" customHeight="1">
      <c r="D941" s="315"/>
      <c r="G941" s="231"/>
      <c r="H941" s="231"/>
      <c r="I941" s="231"/>
      <c r="J941" s="231"/>
      <c r="K941" s="231"/>
      <c r="L941" s="232"/>
      <c r="R941" s="230"/>
      <c r="S941" s="233"/>
      <c r="T941" s="233"/>
      <c r="U941" s="234"/>
    </row>
    <row r="942" spans="4:21" ht="15.75" customHeight="1">
      <c r="D942" s="315"/>
      <c r="G942" s="231"/>
      <c r="H942" s="231"/>
      <c r="I942" s="231"/>
      <c r="J942" s="231"/>
      <c r="K942" s="231"/>
      <c r="L942" s="232"/>
      <c r="R942" s="230"/>
      <c r="S942" s="233"/>
      <c r="T942" s="233"/>
      <c r="U942" s="234"/>
    </row>
    <row r="943" spans="4:21" ht="15.75" customHeight="1">
      <c r="D943" s="315"/>
      <c r="G943" s="231"/>
      <c r="H943" s="231"/>
      <c r="I943" s="231"/>
      <c r="J943" s="231"/>
      <c r="K943" s="231"/>
      <c r="L943" s="232"/>
      <c r="R943" s="230"/>
      <c r="S943" s="233"/>
      <c r="T943" s="233"/>
      <c r="U943" s="234"/>
    </row>
    <row r="944" spans="4:21" ht="15.75" customHeight="1">
      <c r="D944" s="315"/>
      <c r="G944" s="231"/>
      <c r="H944" s="231"/>
      <c r="I944" s="231"/>
      <c r="J944" s="231"/>
      <c r="K944" s="231"/>
      <c r="L944" s="232"/>
      <c r="R944" s="230"/>
      <c r="S944" s="233"/>
      <c r="T944" s="233"/>
      <c r="U944" s="234"/>
    </row>
    <row r="945" spans="4:21" ht="15.75" customHeight="1">
      <c r="D945" s="315"/>
      <c r="G945" s="231"/>
      <c r="H945" s="231"/>
      <c r="I945" s="231"/>
      <c r="J945" s="231"/>
      <c r="K945" s="231"/>
      <c r="L945" s="232"/>
      <c r="R945" s="230"/>
      <c r="S945" s="233"/>
      <c r="T945" s="233"/>
      <c r="U945" s="234"/>
    </row>
    <row r="946" spans="4:21" ht="15.75" customHeight="1">
      <c r="D946" s="315"/>
      <c r="G946" s="231"/>
      <c r="H946" s="231"/>
      <c r="I946" s="231"/>
      <c r="J946" s="231"/>
      <c r="K946" s="231"/>
      <c r="L946" s="232"/>
      <c r="R946" s="230"/>
      <c r="S946" s="233"/>
      <c r="T946" s="233"/>
      <c r="U946" s="234"/>
    </row>
    <row r="947" spans="4:21" ht="15.75" customHeight="1">
      <c r="D947" s="315"/>
      <c r="G947" s="231"/>
      <c r="H947" s="231"/>
      <c r="I947" s="231"/>
      <c r="J947" s="231"/>
      <c r="K947" s="231"/>
      <c r="L947" s="232"/>
      <c r="R947" s="230"/>
      <c r="S947" s="233"/>
      <c r="T947" s="233"/>
      <c r="U947" s="234"/>
    </row>
    <row r="948" spans="4:21" ht="15.75" customHeight="1">
      <c r="D948" s="315"/>
      <c r="G948" s="231"/>
      <c r="H948" s="231"/>
      <c r="I948" s="231"/>
      <c r="J948" s="231"/>
      <c r="K948" s="231"/>
      <c r="L948" s="232"/>
      <c r="R948" s="230"/>
      <c r="S948" s="233"/>
      <c r="T948" s="233"/>
      <c r="U948" s="234"/>
    </row>
    <row r="949" spans="4:21" ht="15.75" customHeight="1">
      <c r="D949" s="315"/>
      <c r="G949" s="231"/>
      <c r="H949" s="231"/>
      <c r="I949" s="231"/>
      <c r="J949" s="231"/>
      <c r="K949" s="231"/>
      <c r="L949" s="232"/>
      <c r="R949" s="230"/>
      <c r="S949" s="233"/>
      <c r="T949" s="233"/>
      <c r="U949" s="234"/>
    </row>
    <row r="950" spans="4:21" ht="15.75" customHeight="1">
      <c r="D950" s="315"/>
      <c r="G950" s="231"/>
      <c r="H950" s="231"/>
      <c r="I950" s="231"/>
      <c r="J950" s="231"/>
      <c r="K950" s="231"/>
      <c r="L950" s="232"/>
      <c r="R950" s="230"/>
      <c r="S950" s="233"/>
      <c r="T950" s="233"/>
      <c r="U950" s="234"/>
    </row>
    <row r="951" spans="4:21" ht="15.75" customHeight="1">
      <c r="D951" s="315"/>
      <c r="G951" s="231"/>
      <c r="H951" s="231"/>
      <c r="I951" s="231"/>
      <c r="J951" s="231"/>
      <c r="K951" s="231"/>
      <c r="L951" s="232"/>
      <c r="R951" s="230"/>
      <c r="S951" s="233"/>
      <c r="T951" s="233"/>
      <c r="U951" s="234"/>
    </row>
    <row r="952" spans="4:21" ht="15.75" customHeight="1">
      <c r="D952" s="315"/>
      <c r="G952" s="231"/>
      <c r="H952" s="231"/>
      <c r="I952" s="231"/>
      <c r="J952" s="231"/>
      <c r="K952" s="231"/>
      <c r="L952" s="232"/>
      <c r="R952" s="230"/>
      <c r="S952" s="233"/>
      <c r="T952" s="233"/>
      <c r="U952" s="234"/>
    </row>
    <row r="953" spans="4:21" ht="15.75" customHeight="1">
      <c r="D953" s="315"/>
      <c r="G953" s="231"/>
      <c r="H953" s="231"/>
      <c r="I953" s="231"/>
      <c r="J953" s="231"/>
      <c r="K953" s="231"/>
      <c r="L953" s="232"/>
      <c r="R953" s="230"/>
      <c r="S953" s="233"/>
      <c r="T953" s="233"/>
      <c r="U953" s="234"/>
    </row>
    <row r="954" spans="4:21" ht="15.75" customHeight="1">
      <c r="D954" s="315"/>
      <c r="G954" s="231"/>
      <c r="H954" s="231"/>
      <c r="I954" s="231"/>
      <c r="J954" s="231"/>
      <c r="K954" s="231"/>
      <c r="L954" s="232"/>
      <c r="R954" s="230"/>
      <c r="S954" s="233"/>
      <c r="T954" s="233"/>
      <c r="U954" s="234"/>
    </row>
    <row r="955" spans="4:21" ht="15.75" customHeight="1">
      <c r="D955" s="315"/>
      <c r="G955" s="231"/>
      <c r="H955" s="231"/>
      <c r="I955" s="231"/>
      <c r="J955" s="231"/>
      <c r="K955" s="231"/>
      <c r="L955" s="232"/>
      <c r="R955" s="230"/>
      <c r="S955" s="233"/>
      <c r="T955" s="233"/>
      <c r="U955" s="234"/>
    </row>
    <row r="956" spans="4:21" ht="15.75" customHeight="1">
      <c r="D956" s="315"/>
      <c r="G956" s="231"/>
      <c r="H956" s="231"/>
      <c r="I956" s="231"/>
      <c r="J956" s="231"/>
      <c r="K956" s="231"/>
      <c r="L956" s="232"/>
      <c r="R956" s="230"/>
      <c r="S956" s="233"/>
      <c r="T956" s="233"/>
      <c r="U956" s="234"/>
    </row>
    <row r="957" spans="4:21" ht="15.75" customHeight="1">
      <c r="D957" s="315"/>
      <c r="G957" s="231"/>
      <c r="H957" s="231"/>
      <c r="I957" s="231"/>
      <c r="J957" s="231"/>
      <c r="K957" s="231"/>
      <c r="L957" s="232"/>
      <c r="R957" s="230"/>
      <c r="S957" s="233"/>
      <c r="T957" s="233"/>
      <c r="U957" s="234"/>
    </row>
    <row r="958" spans="4:21" ht="15.75" customHeight="1">
      <c r="D958" s="315"/>
      <c r="G958" s="231"/>
      <c r="H958" s="231"/>
      <c r="I958" s="231"/>
      <c r="J958" s="231"/>
      <c r="K958" s="231"/>
      <c r="L958" s="232"/>
      <c r="R958" s="230"/>
      <c r="S958" s="233"/>
      <c r="T958" s="233"/>
      <c r="U958" s="234"/>
    </row>
    <row r="959" spans="4:21" ht="15.75" customHeight="1">
      <c r="D959" s="315"/>
      <c r="G959" s="231"/>
      <c r="H959" s="231"/>
      <c r="I959" s="231"/>
      <c r="J959" s="231"/>
      <c r="K959" s="231"/>
      <c r="L959" s="232"/>
      <c r="R959" s="230"/>
      <c r="S959" s="233"/>
      <c r="T959" s="233"/>
      <c r="U959" s="234"/>
    </row>
  </sheetData>
  <mergeCells count="105">
    <mergeCell ref="H543:H547"/>
    <mergeCell ref="C543:C576"/>
    <mergeCell ref="F577:F629"/>
    <mergeCell ref="F630:F636"/>
    <mergeCell ref="F363:F369"/>
    <mergeCell ref="F685:F686"/>
    <mergeCell ref="F687:F691"/>
    <mergeCell ref="F383:F406"/>
    <mergeCell ref="F409:F419"/>
    <mergeCell ref="F420:F430"/>
    <mergeCell ref="F431:F467"/>
    <mergeCell ref="F468:F495"/>
    <mergeCell ref="F510:F516"/>
    <mergeCell ref="F518:F519"/>
    <mergeCell ref="F520:F539"/>
    <mergeCell ref="F540:F542"/>
    <mergeCell ref="F543:F576"/>
    <mergeCell ref="C540:C542"/>
    <mergeCell ref="C577:C629"/>
    <mergeCell ref="C630:C642"/>
    <mergeCell ref="F233:F274"/>
    <mergeCell ref="F275:F316"/>
    <mergeCell ref="F317:F329"/>
    <mergeCell ref="F330:F340"/>
    <mergeCell ref="F341:F362"/>
    <mergeCell ref="F179:F182"/>
    <mergeCell ref="F183:F189"/>
    <mergeCell ref="F190:F200"/>
    <mergeCell ref="F201:F225"/>
    <mergeCell ref="F226:F232"/>
    <mergeCell ref="F139:F146"/>
    <mergeCell ref="F147:F156"/>
    <mergeCell ref="F157:F173"/>
    <mergeCell ref="F175:F177"/>
    <mergeCell ref="F93:F105"/>
    <mergeCell ref="F106:F109"/>
    <mergeCell ref="F110:F112"/>
    <mergeCell ref="F113:F122"/>
    <mergeCell ref="F123:F127"/>
    <mergeCell ref="F129:F131"/>
    <mergeCell ref="F133:F135"/>
    <mergeCell ref="F57:F59"/>
    <mergeCell ref="F60:F70"/>
    <mergeCell ref="F85:F91"/>
    <mergeCell ref="F72:F73"/>
    <mergeCell ref="F74:F84"/>
    <mergeCell ref="F30:F39"/>
    <mergeCell ref="F40:F47"/>
    <mergeCell ref="F50:F51"/>
    <mergeCell ref="F136:F138"/>
    <mergeCell ref="F21:F25"/>
    <mergeCell ref="F26:F29"/>
    <mergeCell ref="F2:F13"/>
    <mergeCell ref="F14:F16"/>
    <mergeCell ref="F17:F18"/>
    <mergeCell ref="C19:C20"/>
    <mergeCell ref="F19:F20"/>
    <mergeCell ref="C17:C18"/>
    <mergeCell ref="F52:F56"/>
    <mergeCell ref="C190:C200"/>
    <mergeCell ref="C201:C225"/>
    <mergeCell ref="C226:C232"/>
    <mergeCell ref="C233:C274"/>
    <mergeCell ref="C2:C5"/>
    <mergeCell ref="C6:C13"/>
    <mergeCell ref="C14:C16"/>
    <mergeCell ref="C21:C25"/>
    <mergeCell ref="C26:C29"/>
    <mergeCell ref="C30:C39"/>
    <mergeCell ref="C40:C47"/>
    <mergeCell ref="C50:C70"/>
    <mergeCell ref="C644:C645"/>
    <mergeCell ref="C646:C647"/>
    <mergeCell ref="C330:C340"/>
    <mergeCell ref="C341:C369"/>
    <mergeCell ref="C74:C84"/>
    <mergeCell ref="C72:C73"/>
    <mergeCell ref="C520:C539"/>
    <mergeCell ref="A371:E372"/>
    <mergeCell ref="C383:C406"/>
    <mergeCell ref="C409:C411"/>
    <mergeCell ref="C412:C418"/>
    <mergeCell ref="C420:C430"/>
    <mergeCell ref="C431:C467"/>
    <mergeCell ref="C468:C495"/>
    <mergeCell ref="C497:C516"/>
    <mergeCell ref="C518:C519"/>
    <mergeCell ref="C85:C91"/>
    <mergeCell ref="C93:C109"/>
    <mergeCell ref="C275:C298"/>
    <mergeCell ref="C299:C316"/>
    <mergeCell ref="C317:C329"/>
    <mergeCell ref="C110:C135"/>
    <mergeCell ref="C136:C138"/>
    <mergeCell ref="C139:C189"/>
    <mergeCell ref="C698:C700"/>
    <mergeCell ref="F698:F700"/>
    <mergeCell ref="C695:C697"/>
    <mergeCell ref="C662:C678"/>
    <mergeCell ref="C648:C650"/>
    <mergeCell ref="C651:C653"/>
    <mergeCell ref="C655:C660"/>
    <mergeCell ref="C685:C687"/>
    <mergeCell ref="C688:C690"/>
    <mergeCell ref="C691:C692"/>
  </mergeCells>
  <pageMargins left="0.7" right="0.7" top="0.75" bottom="0.75" header="0" footer="0"/>
  <pageSetup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1000"/>
  <sheetViews>
    <sheetView workbookViewId="0"/>
  </sheetViews>
  <sheetFormatPr defaultColWidth="14.42578125" defaultRowHeight="15" customHeight="1"/>
  <cols>
    <col min="1" max="1" width="6.28515625" customWidth="1"/>
    <col min="2" max="2" width="16.7109375" customWidth="1"/>
    <col min="3" max="3" width="18.5703125" customWidth="1"/>
    <col min="4" max="4" width="9.7109375" customWidth="1"/>
    <col min="5" max="5" width="35.85546875" customWidth="1"/>
    <col min="6" max="6" width="13" customWidth="1"/>
    <col min="7" max="7" width="9.7109375" customWidth="1"/>
    <col min="8" max="8" width="35.85546875" customWidth="1"/>
    <col min="9" max="9" width="13.42578125" customWidth="1"/>
    <col min="10" max="26" width="8.7109375" customWidth="1"/>
  </cols>
  <sheetData>
    <row r="1" spans="1:9">
      <c r="C1" s="30"/>
      <c r="F1" s="67"/>
      <c r="I1" s="67"/>
    </row>
    <row r="2" spans="1:9" ht="28.5" customHeight="1">
      <c r="A2" s="346" t="s">
        <v>2</v>
      </c>
      <c r="B2" s="339" t="s">
        <v>11</v>
      </c>
      <c r="C2" s="339" t="s">
        <v>1915</v>
      </c>
      <c r="D2" s="413" t="s">
        <v>2244</v>
      </c>
      <c r="E2" s="341"/>
      <c r="F2" s="342"/>
      <c r="G2" s="413" t="s">
        <v>2245</v>
      </c>
      <c r="H2" s="341"/>
      <c r="I2" s="343"/>
    </row>
    <row r="3" spans="1:9" ht="30" customHeight="1">
      <c r="A3" s="347"/>
      <c r="B3" s="324"/>
      <c r="C3" s="324"/>
      <c r="D3" s="2" t="s">
        <v>7</v>
      </c>
      <c r="E3" s="2" t="s">
        <v>6</v>
      </c>
      <c r="F3" s="4" t="s">
        <v>10</v>
      </c>
      <c r="G3" s="2" t="s">
        <v>7</v>
      </c>
      <c r="H3" s="2" t="s">
        <v>6</v>
      </c>
      <c r="I3" s="168" t="s">
        <v>10</v>
      </c>
    </row>
    <row r="4" spans="1:9" ht="21" customHeight="1">
      <c r="A4" s="143">
        <v>1</v>
      </c>
      <c r="B4" s="333" t="s">
        <v>1930</v>
      </c>
      <c r="C4" s="327" t="s">
        <v>2246</v>
      </c>
      <c r="D4" s="7" t="s">
        <v>110</v>
      </c>
      <c r="E4" s="7" t="s">
        <v>109</v>
      </c>
      <c r="F4" s="20" t="s">
        <v>111</v>
      </c>
      <c r="G4" s="7"/>
      <c r="H4" s="7"/>
      <c r="I4" s="169"/>
    </row>
    <row r="5" spans="1:9" ht="21" customHeight="1">
      <c r="A5" s="143">
        <v>2</v>
      </c>
      <c r="B5" s="323"/>
      <c r="C5" s="323"/>
      <c r="D5" s="7" t="s">
        <v>116</v>
      </c>
      <c r="E5" s="7" t="s">
        <v>115</v>
      </c>
      <c r="F5" s="322" t="s">
        <v>117</v>
      </c>
      <c r="G5" s="7" t="s">
        <v>116</v>
      </c>
      <c r="H5" s="7" t="s">
        <v>115</v>
      </c>
      <c r="I5" s="410" t="s">
        <v>117</v>
      </c>
    </row>
    <row r="6" spans="1:9" ht="21" customHeight="1">
      <c r="A6" s="143">
        <v>3</v>
      </c>
      <c r="B6" s="323"/>
      <c r="C6" s="324"/>
      <c r="D6" s="7" t="s">
        <v>120</v>
      </c>
      <c r="E6" s="7" t="s">
        <v>119</v>
      </c>
      <c r="F6" s="324"/>
      <c r="G6" s="7" t="s">
        <v>120</v>
      </c>
      <c r="H6" s="7" t="s">
        <v>119</v>
      </c>
      <c r="I6" s="351"/>
    </row>
    <row r="7" spans="1:9" ht="21" customHeight="1">
      <c r="A7" s="143">
        <v>4</v>
      </c>
      <c r="B7" s="323"/>
      <c r="C7" s="27" t="s">
        <v>1933</v>
      </c>
      <c r="D7" s="7" t="s">
        <v>124</v>
      </c>
      <c r="E7" s="7" t="s">
        <v>123</v>
      </c>
      <c r="F7" s="20" t="s">
        <v>125</v>
      </c>
      <c r="G7" s="7" t="s">
        <v>124</v>
      </c>
      <c r="H7" s="7" t="s">
        <v>123</v>
      </c>
      <c r="I7" s="169">
        <v>1111012001</v>
      </c>
    </row>
    <row r="8" spans="1:9" ht="21" customHeight="1">
      <c r="A8" s="143">
        <v>5</v>
      </c>
      <c r="B8" s="323"/>
      <c r="C8" s="327" t="s">
        <v>1936</v>
      </c>
      <c r="D8" s="7" t="s">
        <v>129</v>
      </c>
      <c r="E8" s="7" t="s">
        <v>128</v>
      </c>
      <c r="F8" s="322" t="s">
        <v>130</v>
      </c>
      <c r="G8" s="7" t="s">
        <v>129</v>
      </c>
      <c r="H8" s="7" t="s">
        <v>128</v>
      </c>
      <c r="I8" s="410" t="s">
        <v>130</v>
      </c>
    </row>
    <row r="9" spans="1:9" ht="21" customHeight="1">
      <c r="A9" s="143">
        <v>6</v>
      </c>
      <c r="B9" s="323"/>
      <c r="C9" s="323"/>
      <c r="D9" s="7" t="s">
        <v>133</v>
      </c>
      <c r="E9" s="7" t="s">
        <v>132</v>
      </c>
      <c r="F9" s="323"/>
      <c r="G9" s="7" t="s">
        <v>133</v>
      </c>
      <c r="H9" s="7" t="s">
        <v>132</v>
      </c>
      <c r="I9" s="350"/>
    </row>
    <row r="10" spans="1:9" ht="21" customHeight="1">
      <c r="A10" s="143">
        <v>7</v>
      </c>
      <c r="B10" s="323"/>
      <c r="C10" s="323"/>
      <c r="D10" s="7" t="s">
        <v>137</v>
      </c>
      <c r="E10" s="7" t="s">
        <v>136</v>
      </c>
      <c r="F10" s="323"/>
      <c r="G10" s="7" t="s">
        <v>137</v>
      </c>
      <c r="H10" s="7" t="s">
        <v>136</v>
      </c>
      <c r="I10" s="350"/>
    </row>
    <row r="11" spans="1:9" ht="21" customHeight="1">
      <c r="A11" s="143">
        <v>8</v>
      </c>
      <c r="B11" s="323"/>
      <c r="C11" s="323"/>
      <c r="D11" s="7" t="s">
        <v>140</v>
      </c>
      <c r="E11" s="7" t="s">
        <v>139</v>
      </c>
      <c r="F11" s="324"/>
      <c r="G11" s="7" t="s">
        <v>140</v>
      </c>
      <c r="H11" s="7" t="s">
        <v>139</v>
      </c>
      <c r="I11" s="351"/>
    </row>
    <row r="12" spans="1:9" ht="21" customHeight="1">
      <c r="A12" s="143">
        <v>9</v>
      </c>
      <c r="B12" s="324"/>
      <c r="C12" s="324"/>
      <c r="D12" s="7" t="s">
        <v>143</v>
      </c>
      <c r="E12" s="7" t="s">
        <v>142</v>
      </c>
      <c r="F12" s="20" t="s">
        <v>144</v>
      </c>
      <c r="G12" s="7" t="s">
        <v>143</v>
      </c>
      <c r="H12" s="7" t="s">
        <v>142</v>
      </c>
      <c r="I12" s="169" t="s">
        <v>144</v>
      </c>
    </row>
    <row r="13" spans="1:9" ht="15" customHeight="1">
      <c r="A13" s="126"/>
      <c r="B13" s="127"/>
      <c r="C13" s="170"/>
      <c r="D13" s="127"/>
      <c r="E13" s="127"/>
      <c r="F13" s="171"/>
      <c r="G13" s="127"/>
      <c r="H13" s="127"/>
      <c r="I13" s="172"/>
    </row>
    <row r="14" spans="1:9">
      <c r="C14" s="30"/>
      <c r="F14" s="67"/>
      <c r="I14" s="67"/>
    </row>
    <row r="15" spans="1:9" ht="28.5" customHeight="1">
      <c r="A15" s="346" t="s">
        <v>2</v>
      </c>
      <c r="B15" s="339" t="s">
        <v>11</v>
      </c>
      <c r="C15" s="339" t="s">
        <v>1915</v>
      </c>
      <c r="D15" s="413" t="s">
        <v>2244</v>
      </c>
      <c r="E15" s="341"/>
      <c r="F15" s="342"/>
      <c r="G15" s="413" t="s">
        <v>2245</v>
      </c>
      <c r="H15" s="341"/>
      <c r="I15" s="343"/>
    </row>
    <row r="16" spans="1:9" ht="30" customHeight="1">
      <c r="A16" s="347"/>
      <c r="B16" s="324"/>
      <c r="C16" s="324"/>
      <c r="D16" s="2" t="s">
        <v>7</v>
      </c>
      <c r="E16" s="2" t="s">
        <v>6</v>
      </c>
      <c r="F16" s="4" t="s">
        <v>10</v>
      </c>
      <c r="G16" s="2" t="s">
        <v>7</v>
      </c>
      <c r="H16" s="2" t="s">
        <v>6</v>
      </c>
      <c r="I16" s="168" t="s">
        <v>10</v>
      </c>
    </row>
    <row r="17" spans="1:9" ht="21" customHeight="1">
      <c r="A17" s="143">
        <v>1</v>
      </c>
      <c r="B17" s="333" t="s">
        <v>1930</v>
      </c>
      <c r="C17" s="327" t="s">
        <v>2246</v>
      </c>
      <c r="D17" s="7" t="s">
        <v>110</v>
      </c>
      <c r="E17" s="7" t="s">
        <v>109</v>
      </c>
      <c r="F17" s="20" t="s">
        <v>111</v>
      </c>
      <c r="G17" s="7"/>
      <c r="H17" s="7"/>
      <c r="I17" s="169"/>
    </row>
    <row r="18" spans="1:9" ht="21" customHeight="1">
      <c r="A18" s="143">
        <v>2</v>
      </c>
      <c r="B18" s="323"/>
      <c r="C18" s="323"/>
      <c r="D18" s="7" t="s">
        <v>116</v>
      </c>
      <c r="E18" s="7" t="s">
        <v>115</v>
      </c>
      <c r="F18" s="322" t="s">
        <v>117</v>
      </c>
      <c r="G18" s="7" t="s">
        <v>116</v>
      </c>
      <c r="H18" s="7" t="s">
        <v>115</v>
      </c>
      <c r="I18" s="410" t="s">
        <v>117</v>
      </c>
    </row>
    <row r="19" spans="1:9" ht="21" customHeight="1">
      <c r="A19" s="143">
        <v>3</v>
      </c>
      <c r="B19" s="323"/>
      <c r="C19" s="324"/>
      <c r="D19" s="7" t="s">
        <v>120</v>
      </c>
      <c r="E19" s="7" t="s">
        <v>119</v>
      </c>
      <c r="F19" s="324"/>
      <c r="G19" s="7" t="s">
        <v>120</v>
      </c>
      <c r="H19" s="7" t="s">
        <v>119</v>
      </c>
      <c r="I19" s="351"/>
    </row>
    <row r="20" spans="1:9" ht="21" customHeight="1">
      <c r="A20" s="143">
        <v>4</v>
      </c>
      <c r="B20" s="323"/>
      <c r="C20" s="27" t="s">
        <v>1933</v>
      </c>
      <c r="D20" s="7" t="s">
        <v>124</v>
      </c>
      <c r="E20" s="7" t="s">
        <v>123</v>
      </c>
      <c r="F20" s="20" t="s">
        <v>125</v>
      </c>
      <c r="G20" s="7" t="s">
        <v>124</v>
      </c>
      <c r="H20" s="7" t="s">
        <v>123</v>
      </c>
      <c r="I20" s="169" t="s">
        <v>125</v>
      </c>
    </row>
    <row r="21" spans="1:9" ht="21" customHeight="1">
      <c r="A21" s="143">
        <v>5</v>
      </c>
      <c r="B21" s="323"/>
      <c r="C21" s="327" t="s">
        <v>1936</v>
      </c>
      <c r="D21" s="7" t="s">
        <v>129</v>
      </c>
      <c r="E21" s="7" t="s">
        <v>128</v>
      </c>
      <c r="F21" s="322">
        <v>1111013001</v>
      </c>
      <c r="G21" s="7" t="s">
        <v>129</v>
      </c>
      <c r="H21" s="7" t="s">
        <v>128</v>
      </c>
      <c r="I21" s="410" t="s">
        <v>130</v>
      </c>
    </row>
    <row r="22" spans="1:9" ht="21" customHeight="1">
      <c r="A22" s="143">
        <v>6</v>
      </c>
      <c r="B22" s="323"/>
      <c r="C22" s="323"/>
      <c r="D22" s="7" t="s">
        <v>133</v>
      </c>
      <c r="E22" s="7" t="s">
        <v>132</v>
      </c>
      <c r="F22" s="323"/>
      <c r="G22" s="7" t="s">
        <v>133</v>
      </c>
      <c r="H22" s="7" t="s">
        <v>132</v>
      </c>
      <c r="I22" s="350"/>
    </row>
    <row r="23" spans="1:9" ht="21" customHeight="1">
      <c r="A23" s="143">
        <v>7</v>
      </c>
      <c r="B23" s="323"/>
      <c r="C23" s="323"/>
      <c r="D23" s="7" t="s">
        <v>137</v>
      </c>
      <c r="E23" s="7" t="s">
        <v>136</v>
      </c>
      <c r="F23" s="323"/>
      <c r="G23" s="7" t="s">
        <v>137</v>
      </c>
      <c r="H23" s="7" t="s">
        <v>136</v>
      </c>
      <c r="I23" s="350"/>
    </row>
    <row r="24" spans="1:9" ht="21" customHeight="1">
      <c r="A24" s="143">
        <v>8</v>
      </c>
      <c r="B24" s="323"/>
      <c r="C24" s="323"/>
      <c r="D24" s="7" t="s">
        <v>140</v>
      </c>
      <c r="E24" s="7" t="s">
        <v>139</v>
      </c>
      <c r="F24" s="324"/>
      <c r="G24" s="7" t="s">
        <v>140</v>
      </c>
      <c r="H24" s="7" t="s">
        <v>139</v>
      </c>
      <c r="I24" s="350"/>
    </row>
    <row r="25" spans="1:9" ht="21" customHeight="1">
      <c r="A25" s="143">
        <v>9</v>
      </c>
      <c r="B25" s="324"/>
      <c r="C25" s="324"/>
      <c r="D25" s="7" t="s">
        <v>143</v>
      </c>
      <c r="E25" s="7" t="s">
        <v>142</v>
      </c>
      <c r="F25" s="20" t="s">
        <v>144</v>
      </c>
      <c r="G25" s="7" t="s">
        <v>143</v>
      </c>
      <c r="H25" s="7" t="s">
        <v>142</v>
      </c>
      <c r="I25" s="351"/>
    </row>
    <row r="26" spans="1:9" ht="15" customHeight="1">
      <c r="A26" s="126"/>
      <c r="B26" s="127"/>
      <c r="C26" s="170"/>
      <c r="D26" s="127"/>
      <c r="E26" s="127"/>
      <c r="F26" s="171"/>
      <c r="G26" s="127"/>
      <c r="H26" s="127"/>
      <c r="I26" s="172"/>
    </row>
    <row r="27" spans="1:9" ht="15.75" customHeight="1">
      <c r="C27" s="30"/>
      <c r="F27" s="67"/>
      <c r="I27" s="67"/>
    </row>
    <row r="28" spans="1:9" ht="15.75" customHeight="1">
      <c r="C28" s="30"/>
      <c r="F28" s="67"/>
      <c r="I28" s="67"/>
    </row>
    <row r="29" spans="1:9" ht="28.5" customHeight="1">
      <c r="A29" s="346" t="s">
        <v>2</v>
      </c>
      <c r="B29" s="339" t="s">
        <v>11</v>
      </c>
      <c r="C29" s="339" t="s">
        <v>1915</v>
      </c>
      <c r="D29" s="413" t="s">
        <v>2244</v>
      </c>
      <c r="E29" s="341"/>
      <c r="F29" s="342"/>
      <c r="G29" s="413" t="s">
        <v>2245</v>
      </c>
      <c r="H29" s="341"/>
      <c r="I29" s="343"/>
    </row>
    <row r="30" spans="1:9" ht="30" customHeight="1">
      <c r="A30" s="347"/>
      <c r="B30" s="324"/>
      <c r="C30" s="324"/>
      <c r="D30" s="2" t="s">
        <v>7</v>
      </c>
      <c r="E30" s="2" t="s">
        <v>6</v>
      </c>
      <c r="F30" s="4" t="s">
        <v>10</v>
      </c>
      <c r="G30" s="2" t="s">
        <v>7</v>
      </c>
      <c r="H30" s="2" t="s">
        <v>6</v>
      </c>
      <c r="I30" s="168" t="s">
        <v>10</v>
      </c>
    </row>
    <row r="31" spans="1:9" ht="21" customHeight="1">
      <c r="A31" s="143">
        <v>1</v>
      </c>
      <c r="B31" s="333" t="s">
        <v>1930</v>
      </c>
      <c r="C31" s="327" t="s">
        <v>2246</v>
      </c>
      <c r="D31" s="7" t="s">
        <v>110</v>
      </c>
      <c r="E31" s="7" t="s">
        <v>109</v>
      </c>
      <c r="F31" s="20" t="s">
        <v>111</v>
      </c>
      <c r="G31" s="7"/>
      <c r="H31" s="7"/>
      <c r="I31" s="169"/>
    </row>
    <row r="32" spans="1:9" ht="21" customHeight="1">
      <c r="A32" s="143">
        <v>2</v>
      </c>
      <c r="B32" s="323"/>
      <c r="C32" s="323"/>
      <c r="D32" s="7" t="s">
        <v>116</v>
      </c>
      <c r="E32" s="7" t="s">
        <v>115</v>
      </c>
      <c r="F32" s="322" t="s">
        <v>117</v>
      </c>
      <c r="G32" s="7" t="s">
        <v>116</v>
      </c>
      <c r="H32" s="7" t="s">
        <v>115</v>
      </c>
      <c r="I32" s="410" t="s">
        <v>117</v>
      </c>
    </row>
    <row r="33" spans="1:9" ht="21" customHeight="1">
      <c r="A33" s="143">
        <v>3</v>
      </c>
      <c r="B33" s="323"/>
      <c r="C33" s="324"/>
      <c r="D33" s="7" t="s">
        <v>120</v>
      </c>
      <c r="E33" s="7" t="s">
        <v>119</v>
      </c>
      <c r="F33" s="324"/>
      <c r="G33" s="7" t="s">
        <v>120</v>
      </c>
      <c r="H33" s="7" t="s">
        <v>119</v>
      </c>
      <c r="I33" s="351"/>
    </row>
    <row r="34" spans="1:9" ht="21" customHeight="1">
      <c r="A34" s="143">
        <v>4</v>
      </c>
      <c r="B34" s="323"/>
      <c r="C34" s="27" t="s">
        <v>1933</v>
      </c>
      <c r="D34" s="7" t="s">
        <v>124</v>
      </c>
      <c r="E34" s="7" t="s">
        <v>123</v>
      </c>
      <c r="F34" s="20" t="s">
        <v>125</v>
      </c>
      <c r="G34" s="7" t="s">
        <v>124</v>
      </c>
      <c r="H34" s="7" t="s">
        <v>123</v>
      </c>
      <c r="I34" s="169" t="s">
        <v>125</v>
      </c>
    </row>
    <row r="35" spans="1:9" ht="21" customHeight="1">
      <c r="A35" s="143">
        <v>5</v>
      </c>
      <c r="B35" s="323"/>
      <c r="C35" s="327" t="s">
        <v>1936</v>
      </c>
      <c r="D35" s="7" t="s">
        <v>129</v>
      </c>
      <c r="E35" s="7" t="s">
        <v>128</v>
      </c>
      <c r="F35" s="322">
        <v>1111013001</v>
      </c>
      <c r="G35" s="7" t="s">
        <v>129</v>
      </c>
      <c r="H35" s="7" t="s">
        <v>128</v>
      </c>
      <c r="I35" s="410">
        <v>1111013002</v>
      </c>
    </row>
    <row r="36" spans="1:9" ht="21" customHeight="1">
      <c r="A36" s="143">
        <v>6</v>
      </c>
      <c r="B36" s="323"/>
      <c r="C36" s="323"/>
      <c r="D36" s="7" t="s">
        <v>133</v>
      </c>
      <c r="E36" s="7" t="s">
        <v>132</v>
      </c>
      <c r="F36" s="323"/>
      <c r="G36" s="7" t="s">
        <v>133</v>
      </c>
      <c r="H36" s="7" t="s">
        <v>132</v>
      </c>
      <c r="I36" s="350"/>
    </row>
    <row r="37" spans="1:9" ht="21" customHeight="1">
      <c r="A37" s="143">
        <v>7</v>
      </c>
      <c r="B37" s="323"/>
      <c r="C37" s="323"/>
      <c r="D37" s="7" t="s">
        <v>137</v>
      </c>
      <c r="E37" s="7" t="s">
        <v>136</v>
      </c>
      <c r="F37" s="323"/>
      <c r="G37" s="7" t="s">
        <v>137</v>
      </c>
      <c r="H37" s="7" t="s">
        <v>136</v>
      </c>
      <c r="I37" s="350"/>
    </row>
    <row r="38" spans="1:9" ht="21" customHeight="1">
      <c r="A38" s="143">
        <v>8</v>
      </c>
      <c r="B38" s="323"/>
      <c r="C38" s="323"/>
      <c r="D38" s="7" t="s">
        <v>140</v>
      </c>
      <c r="E38" s="7" t="s">
        <v>139</v>
      </c>
      <c r="F38" s="324"/>
      <c r="G38" s="7" t="s">
        <v>140</v>
      </c>
      <c r="H38" s="7" t="s">
        <v>139</v>
      </c>
      <c r="I38" s="350"/>
    </row>
    <row r="39" spans="1:9" ht="21" customHeight="1">
      <c r="A39" s="143">
        <v>9</v>
      </c>
      <c r="B39" s="324"/>
      <c r="C39" s="324"/>
      <c r="D39" s="7" t="s">
        <v>143</v>
      </c>
      <c r="E39" s="7" t="s">
        <v>142</v>
      </c>
      <c r="F39" s="20" t="s">
        <v>144</v>
      </c>
      <c r="G39" s="7" t="s">
        <v>143</v>
      </c>
      <c r="H39" s="7" t="s">
        <v>142</v>
      </c>
      <c r="I39" s="351"/>
    </row>
    <row r="40" spans="1:9" ht="15" customHeight="1">
      <c r="A40" s="126"/>
      <c r="B40" s="127"/>
      <c r="C40" s="170"/>
      <c r="D40" s="127"/>
      <c r="E40" s="127"/>
      <c r="F40" s="171"/>
      <c r="G40" s="127"/>
      <c r="H40" s="127"/>
      <c r="I40" s="172"/>
    </row>
    <row r="41" spans="1:9" ht="15.75" customHeight="1">
      <c r="C41" s="30"/>
      <c r="F41" s="67"/>
      <c r="I41" s="67"/>
    </row>
    <row r="42" spans="1:9" ht="15.75" customHeight="1">
      <c r="C42" s="30"/>
      <c r="F42" s="67"/>
      <c r="I42" s="67"/>
    </row>
    <row r="43" spans="1:9" ht="15.75" customHeight="1">
      <c r="A43" s="173">
        <v>1</v>
      </c>
      <c r="B43" s="411" t="s">
        <v>1938</v>
      </c>
      <c r="C43" s="414" t="s">
        <v>145</v>
      </c>
      <c r="D43" s="174" t="s">
        <v>148</v>
      </c>
      <c r="E43" s="174" t="s">
        <v>147</v>
      </c>
      <c r="F43" s="415" t="s">
        <v>149</v>
      </c>
      <c r="G43" s="174" t="s">
        <v>148</v>
      </c>
      <c r="H43" s="174" t="s">
        <v>147</v>
      </c>
      <c r="I43" s="409">
        <v>1111021001</v>
      </c>
    </row>
    <row r="44" spans="1:9" ht="15.75" customHeight="1">
      <c r="A44" s="79">
        <v>2</v>
      </c>
      <c r="B44" s="323"/>
      <c r="C44" s="323"/>
      <c r="D44" s="7" t="s">
        <v>154</v>
      </c>
      <c r="E44" s="7" t="s">
        <v>153</v>
      </c>
      <c r="F44" s="323"/>
      <c r="G44" s="7" t="s">
        <v>154</v>
      </c>
      <c r="H44" s="7" t="s">
        <v>153</v>
      </c>
      <c r="I44" s="350"/>
    </row>
    <row r="45" spans="1:9" ht="15.75" customHeight="1">
      <c r="A45" s="79">
        <v>3</v>
      </c>
      <c r="B45" s="323"/>
      <c r="C45" s="324"/>
      <c r="D45" s="7" t="s">
        <v>157</v>
      </c>
      <c r="E45" s="7" t="s">
        <v>156</v>
      </c>
      <c r="F45" s="324"/>
      <c r="G45" s="7" t="s">
        <v>157</v>
      </c>
      <c r="H45" s="7" t="s">
        <v>156</v>
      </c>
      <c r="I45" s="350"/>
    </row>
    <row r="46" spans="1:9" ht="15.75" customHeight="1">
      <c r="A46" s="79">
        <v>4</v>
      </c>
      <c r="B46" s="323"/>
      <c r="C46" s="91" t="s">
        <v>206</v>
      </c>
      <c r="D46" s="7" t="s">
        <v>209</v>
      </c>
      <c r="E46" s="7" t="s">
        <v>208</v>
      </c>
      <c r="F46" s="20">
        <v>1111025002</v>
      </c>
      <c r="G46" s="7" t="s">
        <v>209</v>
      </c>
      <c r="H46" s="7" t="s">
        <v>208</v>
      </c>
      <c r="I46" s="351"/>
    </row>
    <row r="47" spans="1:9" ht="15.75" customHeight="1">
      <c r="A47" s="79">
        <v>5</v>
      </c>
      <c r="B47" s="323"/>
      <c r="C47" s="327" t="s">
        <v>158</v>
      </c>
      <c r="D47" s="7" t="s">
        <v>161</v>
      </c>
      <c r="E47" s="7" t="s">
        <v>160</v>
      </c>
      <c r="F47" s="20" t="s">
        <v>2247</v>
      </c>
      <c r="G47" s="7" t="s">
        <v>161</v>
      </c>
      <c r="H47" s="7" t="s">
        <v>160</v>
      </c>
      <c r="I47" s="410" t="s">
        <v>2247</v>
      </c>
    </row>
    <row r="48" spans="1:9" ht="15.75" customHeight="1">
      <c r="A48" s="79">
        <v>6</v>
      </c>
      <c r="B48" s="323"/>
      <c r="C48" s="323"/>
      <c r="D48" s="7" t="s">
        <v>164</v>
      </c>
      <c r="E48" s="7" t="s">
        <v>163</v>
      </c>
      <c r="F48" s="20" t="s">
        <v>2248</v>
      </c>
      <c r="G48" s="7" t="s">
        <v>164</v>
      </c>
      <c r="H48" s="7" t="s">
        <v>163</v>
      </c>
      <c r="I48" s="350"/>
    </row>
    <row r="49" spans="1:9" ht="15.75" customHeight="1">
      <c r="A49" s="79">
        <v>7</v>
      </c>
      <c r="B49" s="323"/>
      <c r="C49" s="324"/>
      <c r="D49" s="7" t="s">
        <v>167</v>
      </c>
      <c r="E49" s="7" t="s">
        <v>166</v>
      </c>
      <c r="F49" s="20" t="s">
        <v>2249</v>
      </c>
      <c r="G49" s="7" t="s">
        <v>167</v>
      </c>
      <c r="H49" s="7" t="s">
        <v>166</v>
      </c>
      <c r="I49" s="351"/>
    </row>
    <row r="50" spans="1:9" ht="15.75" customHeight="1">
      <c r="A50" s="79">
        <v>8</v>
      </c>
      <c r="B50" s="324"/>
      <c r="C50" s="91" t="s">
        <v>168</v>
      </c>
      <c r="D50" s="21" t="s">
        <v>171</v>
      </c>
      <c r="E50" s="21" t="s">
        <v>170</v>
      </c>
      <c r="F50" s="162" t="s">
        <v>172</v>
      </c>
      <c r="G50" s="21" t="s">
        <v>171</v>
      </c>
      <c r="H50" s="21" t="s">
        <v>170</v>
      </c>
      <c r="I50" s="175" t="s">
        <v>172</v>
      </c>
    </row>
    <row r="51" spans="1:9" ht="15.75" customHeight="1">
      <c r="A51" s="79">
        <v>9</v>
      </c>
      <c r="B51" s="329" t="s">
        <v>173</v>
      </c>
      <c r="C51" s="327" t="s">
        <v>173</v>
      </c>
      <c r="D51" s="7" t="s">
        <v>176</v>
      </c>
      <c r="E51" s="7" t="s">
        <v>175</v>
      </c>
      <c r="F51" s="7" t="s">
        <v>177</v>
      </c>
      <c r="G51" s="7" t="s">
        <v>176</v>
      </c>
      <c r="H51" s="7" t="s">
        <v>175</v>
      </c>
      <c r="I51" s="410" t="s">
        <v>177</v>
      </c>
    </row>
    <row r="52" spans="1:9" ht="15.75" customHeight="1">
      <c r="A52" s="79">
        <v>10</v>
      </c>
      <c r="B52" s="323"/>
      <c r="C52" s="323"/>
      <c r="D52" s="7" t="s">
        <v>180</v>
      </c>
      <c r="E52" s="7" t="s">
        <v>179</v>
      </c>
      <c r="F52" s="7" t="s">
        <v>181</v>
      </c>
      <c r="G52" s="7" t="s">
        <v>180</v>
      </c>
      <c r="H52" s="7" t="s">
        <v>179</v>
      </c>
      <c r="I52" s="350"/>
    </row>
    <row r="53" spans="1:9" ht="15.75" customHeight="1">
      <c r="A53" s="79">
        <v>11</v>
      </c>
      <c r="B53" s="323"/>
      <c r="C53" s="323"/>
      <c r="D53" s="7" t="s">
        <v>184</v>
      </c>
      <c r="E53" s="7" t="s">
        <v>183</v>
      </c>
      <c r="F53" s="7" t="s">
        <v>185</v>
      </c>
      <c r="G53" s="7" t="s">
        <v>184</v>
      </c>
      <c r="H53" s="7" t="s">
        <v>183</v>
      </c>
      <c r="I53" s="350"/>
    </row>
    <row r="54" spans="1:9" ht="15.75" customHeight="1">
      <c r="A54" s="79">
        <v>12</v>
      </c>
      <c r="B54" s="323"/>
      <c r="C54" s="323"/>
      <c r="D54" s="7" t="s">
        <v>188</v>
      </c>
      <c r="E54" s="7" t="s">
        <v>187</v>
      </c>
      <c r="F54" s="7" t="s">
        <v>189</v>
      </c>
      <c r="G54" s="7" t="s">
        <v>188</v>
      </c>
      <c r="H54" s="7" t="s">
        <v>187</v>
      </c>
      <c r="I54" s="350"/>
    </row>
    <row r="55" spans="1:9" ht="15.75" customHeight="1">
      <c r="A55" s="79">
        <v>13</v>
      </c>
      <c r="B55" s="323"/>
      <c r="C55" s="323"/>
      <c r="D55" s="7" t="s">
        <v>192</v>
      </c>
      <c r="E55" s="7" t="s">
        <v>191</v>
      </c>
      <c r="F55" s="7" t="s">
        <v>193</v>
      </c>
      <c r="G55" s="7" t="s">
        <v>192</v>
      </c>
      <c r="H55" s="7" t="s">
        <v>191</v>
      </c>
      <c r="I55" s="350"/>
    </row>
    <row r="56" spans="1:9" ht="15.75" customHeight="1">
      <c r="A56" s="79">
        <v>14</v>
      </c>
      <c r="B56" s="323"/>
      <c r="C56" s="323"/>
      <c r="D56" s="7" t="s">
        <v>196</v>
      </c>
      <c r="E56" s="7" t="s">
        <v>195</v>
      </c>
      <c r="F56" s="7" t="s">
        <v>197</v>
      </c>
      <c r="G56" s="7" t="s">
        <v>196</v>
      </c>
      <c r="H56" s="7" t="s">
        <v>195</v>
      </c>
      <c r="I56" s="350"/>
    </row>
    <row r="57" spans="1:9" ht="15.75" customHeight="1">
      <c r="A57" s="79">
        <v>15</v>
      </c>
      <c r="B57" s="323"/>
      <c r="C57" s="323"/>
      <c r="D57" s="7" t="s">
        <v>200</v>
      </c>
      <c r="E57" s="7" t="s">
        <v>199</v>
      </c>
      <c r="F57" s="7" t="s">
        <v>201</v>
      </c>
      <c r="G57" s="7" t="s">
        <v>200</v>
      </c>
      <c r="H57" s="7" t="s">
        <v>199</v>
      </c>
      <c r="I57" s="350"/>
    </row>
    <row r="58" spans="1:9" ht="15.75" customHeight="1">
      <c r="A58" s="79">
        <v>16</v>
      </c>
      <c r="B58" s="324"/>
      <c r="C58" s="324"/>
      <c r="D58" s="7" t="s">
        <v>204</v>
      </c>
      <c r="E58" s="7" t="s">
        <v>203</v>
      </c>
      <c r="F58" s="7" t="s">
        <v>205</v>
      </c>
      <c r="G58" s="7" t="s">
        <v>204</v>
      </c>
      <c r="H58" s="7" t="s">
        <v>203</v>
      </c>
      <c r="I58" s="351"/>
    </row>
    <row r="59" spans="1:9" ht="15.75" customHeight="1">
      <c r="A59" s="79">
        <v>17</v>
      </c>
      <c r="B59" s="329" t="s">
        <v>1941</v>
      </c>
      <c r="C59" s="327" t="s">
        <v>210</v>
      </c>
      <c r="D59" s="7" t="s">
        <v>213</v>
      </c>
      <c r="E59" s="7" t="s">
        <v>212</v>
      </c>
      <c r="F59" s="7" t="s">
        <v>214</v>
      </c>
      <c r="G59" s="7" t="s">
        <v>213</v>
      </c>
      <c r="H59" s="7" t="s">
        <v>212</v>
      </c>
      <c r="I59" s="410" t="s">
        <v>214</v>
      </c>
    </row>
    <row r="60" spans="1:9" ht="15.75" customHeight="1">
      <c r="A60" s="79">
        <v>18</v>
      </c>
      <c r="B60" s="323"/>
      <c r="C60" s="323"/>
      <c r="D60" s="7" t="s">
        <v>219</v>
      </c>
      <c r="E60" s="7" t="s">
        <v>218</v>
      </c>
      <c r="F60" s="7" t="s">
        <v>214</v>
      </c>
      <c r="G60" s="7" t="s">
        <v>219</v>
      </c>
      <c r="H60" s="7" t="s">
        <v>218</v>
      </c>
      <c r="I60" s="350"/>
    </row>
    <row r="61" spans="1:9" ht="15.75" customHeight="1">
      <c r="A61" s="79">
        <v>19</v>
      </c>
      <c r="B61" s="323"/>
      <c r="C61" s="323"/>
      <c r="D61" s="7" t="s">
        <v>222</v>
      </c>
      <c r="E61" s="7" t="s">
        <v>221</v>
      </c>
      <c r="F61" s="329" t="s">
        <v>223</v>
      </c>
      <c r="G61" s="7" t="s">
        <v>222</v>
      </c>
      <c r="H61" s="7" t="s">
        <v>221</v>
      </c>
      <c r="I61" s="350"/>
    </row>
    <row r="62" spans="1:9" ht="15.75" customHeight="1">
      <c r="A62" s="79">
        <v>20</v>
      </c>
      <c r="B62" s="323"/>
      <c r="C62" s="324"/>
      <c r="D62" s="7" t="s">
        <v>226</v>
      </c>
      <c r="E62" s="7" t="s">
        <v>225</v>
      </c>
      <c r="F62" s="324"/>
      <c r="G62" s="7" t="s">
        <v>226</v>
      </c>
      <c r="H62" s="7" t="s">
        <v>225</v>
      </c>
      <c r="I62" s="351"/>
    </row>
    <row r="63" spans="1:9" ht="15.75" customHeight="1">
      <c r="A63" s="79">
        <v>21</v>
      </c>
      <c r="B63" s="323"/>
      <c r="C63" s="327" t="s">
        <v>227</v>
      </c>
      <c r="D63" s="7" t="s">
        <v>230</v>
      </c>
      <c r="E63" s="7" t="s">
        <v>229</v>
      </c>
      <c r="F63" s="7" t="s">
        <v>231</v>
      </c>
      <c r="G63" s="7" t="s">
        <v>230</v>
      </c>
      <c r="H63" s="7" t="s">
        <v>229</v>
      </c>
      <c r="I63" s="410" t="s">
        <v>235</v>
      </c>
    </row>
    <row r="64" spans="1:9" ht="15.75" customHeight="1">
      <c r="A64" s="79">
        <v>22</v>
      </c>
      <c r="B64" s="323"/>
      <c r="C64" s="323"/>
      <c r="D64" s="7" t="s">
        <v>234</v>
      </c>
      <c r="E64" s="7" t="s">
        <v>233</v>
      </c>
      <c r="F64" s="7" t="s">
        <v>235</v>
      </c>
      <c r="G64" s="7" t="s">
        <v>234</v>
      </c>
      <c r="H64" s="7" t="s">
        <v>233</v>
      </c>
      <c r="I64" s="350"/>
    </row>
    <row r="65" spans="1:9" ht="15.75" customHeight="1">
      <c r="A65" s="79">
        <v>23</v>
      </c>
      <c r="B65" s="323"/>
      <c r="C65" s="323"/>
      <c r="D65" s="7" t="s">
        <v>239</v>
      </c>
      <c r="E65" s="7" t="s">
        <v>238</v>
      </c>
      <c r="F65" s="7" t="s">
        <v>235</v>
      </c>
      <c r="G65" s="7" t="s">
        <v>239</v>
      </c>
      <c r="H65" s="7" t="s">
        <v>238</v>
      </c>
      <c r="I65" s="350"/>
    </row>
    <row r="66" spans="1:9" ht="15.75" customHeight="1">
      <c r="A66" s="79">
        <v>24</v>
      </c>
      <c r="B66" s="323"/>
      <c r="C66" s="323"/>
      <c r="D66" s="7" t="s">
        <v>242</v>
      </c>
      <c r="E66" s="7" t="s">
        <v>241</v>
      </c>
      <c r="F66" s="7" t="s">
        <v>243</v>
      </c>
      <c r="G66" s="7" t="s">
        <v>242</v>
      </c>
      <c r="H66" s="7" t="s">
        <v>241</v>
      </c>
      <c r="I66" s="350"/>
    </row>
    <row r="67" spans="1:9" ht="15.75" customHeight="1">
      <c r="A67" s="79">
        <v>25</v>
      </c>
      <c r="B67" s="323"/>
      <c r="C67" s="324"/>
      <c r="D67" s="7" t="s">
        <v>246</v>
      </c>
      <c r="E67" s="7" t="s">
        <v>245</v>
      </c>
      <c r="F67" s="7" t="s">
        <v>243</v>
      </c>
      <c r="G67" s="7" t="s">
        <v>246</v>
      </c>
      <c r="H67" s="7" t="s">
        <v>245</v>
      </c>
      <c r="I67" s="351"/>
    </row>
    <row r="68" spans="1:9" ht="15.75" customHeight="1">
      <c r="A68" s="79">
        <v>26</v>
      </c>
      <c r="B68" s="323"/>
      <c r="C68" s="327" t="s">
        <v>247</v>
      </c>
      <c r="D68" s="19" t="s">
        <v>250</v>
      </c>
      <c r="E68" s="7" t="s">
        <v>249</v>
      </c>
      <c r="F68" s="6">
        <v>1111034003</v>
      </c>
      <c r="G68" s="19" t="s">
        <v>250</v>
      </c>
      <c r="H68" s="7" t="s">
        <v>249</v>
      </c>
      <c r="I68" s="169">
        <v>1111034003</v>
      </c>
    </row>
    <row r="69" spans="1:9" ht="15.75" customHeight="1">
      <c r="A69" s="79">
        <v>27</v>
      </c>
      <c r="B69" s="323"/>
      <c r="C69" s="324"/>
      <c r="D69" s="7" t="s">
        <v>255</v>
      </c>
      <c r="E69" s="7" t="s">
        <v>254</v>
      </c>
      <c r="F69" s="7" t="s">
        <v>2250</v>
      </c>
      <c r="G69" s="7" t="s">
        <v>255</v>
      </c>
      <c r="H69" s="7" t="s">
        <v>254</v>
      </c>
      <c r="I69" s="169" t="s">
        <v>2250</v>
      </c>
    </row>
    <row r="70" spans="1:9" ht="15.75" customHeight="1">
      <c r="A70" s="79">
        <v>28</v>
      </c>
      <c r="B70" s="323"/>
      <c r="C70" s="327" t="s">
        <v>215</v>
      </c>
      <c r="D70" s="7" t="s">
        <v>261</v>
      </c>
      <c r="E70" s="7" t="s">
        <v>260</v>
      </c>
      <c r="F70" s="7" t="s">
        <v>262</v>
      </c>
      <c r="G70" s="7" t="s">
        <v>261</v>
      </c>
      <c r="H70" s="7" t="s">
        <v>260</v>
      </c>
      <c r="I70" s="410" t="s">
        <v>266</v>
      </c>
    </row>
    <row r="71" spans="1:9" ht="15.75" customHeight="1">
      <c r="A71" s="79">
        <v>29</v>
      </c>
      <c r="B71" s="323"/>
      <c r="C71" s="323"/>
      <c r="D71" s="7" t="s">
        <v>265</v>
      </c>
      <c r="E71" s="7" t="s">
        <v>264</v>
      </c>
      <c r="F71" s="7" t="s">
        <v>266</v>
      </c>
      <c r="G71" s="7" t="s">
        <v>265</v>
      </c>
      <c r="H71" s="7" t="s">
        <v>264</v>
      </c>
      <c r="I71" s="350"/>
    </row>
    <row r="72" spans="1:9" ht="15.75" customHeight="1">
      <c r="A72" s="79">
        <v>30</v>
      </c>
      <c r="B72" s="323"/>
      <c r="C72" s="323"/>
      <c r="D72" s="7" t="s">
        <v>269</v>
      </c>
      <c r="E72" s="7" t="s">
        <v>268</v>
      </c>
      <c r="F72" s="7" t="s">
        <v>270</v>
      </c>
      <c r="G72" s="7" t="s">
        <v>269</v>
      </c>
      <c r="H72" s="7" t="s">
        <v>268</v>
      </c>
      <c r="I72" s="350"/>
    </row>
    <row r="73" spans="1:9" ht="15.75" customHeight="1">
      <c r="A73" s="79">
        <v>31</v>
      </c>
      <c r="B73" s="323"/>
      <c r="C73" s="323"/>
      <c r="D73" s="7" t="s">
        <v>273</v>
      </c>
      <c r="E73" s="7" t="s">
        <v>272</v>
      </c>
      <c r="F73" s="7" t="s">
        <v>274</v>
      </c>
      <c r="G73" s="7" t="s">
        <v>273</v>
      </c>
      <c r="H73" s="7" t="s">
        <v>272</v>
      </c>
      <c r="I73" s="350"/>
    </row>
    <row r="74" spans="1:9" ht="15.75" customHeight="1">
      <c r="A74" s="79">
        <v>32</v>
      </c>
      <c r="B74" s="323"/>
      <c r="C74" s="323"/>
      <c r="D74" s="7" t="s">
        <v>277</v>
      </c>
      <c r="E74" s="7" t="s">
        <v>276</v>
      </c>
      <c r="F74" s="7" t="s">
        <v>278</v>
      </c>
      <c r="G74" s="7" t="s">
        <v>277</v>
      </c>
      <c r="H74" s="7" t="s">
        <v>276</v>
      </c>
      <c r="I74" s="350"/>
    </row>
    <row r="75" spans="1:9" ht="15.75" customHeight="1">
      <c r="A75" s="79">
        <v>33</v>
      </c>
      <c r="B75" s="323"/>
      <c r="C75" s="323"/>
      <c r="D75" s="7" t="s">
        <v>281</v>
      </c>
      <c r="E75" s="7" t="s">
        <v>280</v>
      </c>
      <c r="F75" s="7" t="s">
        <v>282</v>
      </c>
      <c r="G75" s="7" t="s">
        <v>281</v>
      </c>
      <c r="H75" s="7" t="s">
        <v>280</v>
      </c>
      <c r="I75" s="350"/>
    </row>
    <row r="76" spans="1:9" ht="15.75" customHeight="1">
      <c r="A76" s="79">
        <v>34</v>
      </c>
      <c r="B76" s="323"/>
      <c r="C76" s="323"/>
      <c r="D76" s="7" t="s">
        <v>285</v>
      </c>
      <c r="E76" s="7" t="s">
        <v>284</v>
      </c>
      <c r="F76" s="7" t="s">
        <v>270</v>
      </c>
      <c r="G76" s="7" t="s">
        <v>285</v>
      </c>
      <c r="H76" s="7" t="s">
        <v>284</v>
      </c>
      <c r="I76" s="350"/>
    </row>
    <row r="77" spans="1:9" ht="15.75" customHeight="1">
      <c r="A77" s="79">
        <v>35</v>
      </c>
      <c r="B77" s="323"/>
      <c r="C77" s="323"/>
      <c r="D77" s="7" t="s">
        <v>288</v>
      </c>
      <c r="E77" s="7" t="s">
        <v>287</v>
      </c>
      <c r="F77" s="7" t="s">
        <v>289</v>
      </c>
      <c r="G77" s="7" t="s">
        <v>288</v>
      </c>
      <c r="H77" s="7" t="s">
        <v>287</v>
      </c>
      <c r="I77" s="350"/>
    </row>
    <row r="78" spans="1:9" ht="15.75" customHeight="1">
      <c r="A78" s="79">
        <v>36</v>
      </c>
      <c r="B78" s="323"/>
      <c r="C78" s="323"/>
      <c r="D78" s="7" t="s">
        <v>292</v>
      </c>
      <c r="E78" s="7" t="s">
        <v>291</v>
      </c>
      <c r="F78" s="7" t="s">
        <v>293</v>
      </c>
      <c r="G78" s="7" t="s">
        <v>292</v>
      </c>
      <c r="H78" s="7" t="s">
        <v>291</v>
      </c>
      <c r="I78" s="350"/>
    </row>
    <row r="79" spans="1:9" ht="15.75" customHeight="1">
      <c r="A79" s="79">
        <v>37</v>
      </c>
      <c r="B79" s="323"/>
      <c r="C79" s="323"/>
      <c r="D79" s="7" t="s">
        <v>300</v>
      </c>
      <c r="E79" s="7" t="s">
        <v>301</v>
      </c>
      <c r="F79" s="7" t="s">
        <v>302</v>
      </c>
      <c r="G79" s="7" t="s">
        <v>300</v>
      </c>
      <c r="H79" s="7" t="s">
        <v>301</v>
      </c>
      <c r="I79" s="350"/>
    </row>
    <row r="80" spans="1:9" ht="15.75" customHeight="1">
      <c r="A80" s="79">
        <v>38</v>
      </c>
      <c r="B80" s="324"/>
      <c r="C80" s="324"/>
      <c r="D80" s="7" t="s">
        <v>305</v>
      </c>
      <c r="E80" s="7" t="s">
        <v>304</v>
      </c>
      <c r="F80" s="7" t="s">
        <v>306</v>
      </c>
      <c r="G80" s="7" t="s">
        <v>305</v>
      </c>
      <c r="H80" s="7" t="s">
        <v>304</v>
      </c>
      <c r="I80" s="351"/>
    </row>
    <row r="81" spans="1:9" ht="15.75" customHeight="1">
      <c r="A81" s="79">
        <v>39</v>
      </c>
      <c r="B81" s="326" t="s">
        <v>312</v>
      </c>
      <c r="C81" s="327" t="s">
        <v>307</v>
      </c>
      <c r="D81" s="21" t="s">
        <v>310</v>
      </c>
      <c r="E81" s="21" t="s">
        <v>309</v>
      </c>
      <c r="F81" s="21">
        <v>1111041102</v>
      </c>
      <c r="G81" s="21" t="s">
        <v>310</v>
      </c>
      <c r="H81" s="21" t="s">
        <v>309</v>
      </c>
      <c r="I81" s="412" t="s">
        <v>311</v>
      </c>
    </row>
    <row r="82" spans="1:9" ht="15.75" customHeight="1">
      <c r="A82" s="79">
        <v>40</v>
      </c>
      <c r="B82" s="323"/>
      <c r="C82" s="323"/>
      <c r="D82" s="21" t="s">
        <v>316</v>
      </c>
      <c r="E82" s="21" t="s">
        <v>315</v>
      </c>
      <c r="F82" s="21" t="s">
        <v>317</v>
      </c>
      <c r="G82" s="21" t="s">
        <v>316</v>
      </c>
      <c r="H82" s="21" t="s">
        <v>315</v>
      </c>
      <c r="I82" s="350"/>
    </row>
    <row r="83" spans="1:9" ht="15.75" customHeight="1">
      <c r="A83" s="79">
        <v>41</v>
      </c>
      <c r="B83" s="323"/>
      <c r="C83" s="324"/>
      <c r="D83" s="21" t="s">
        <v>320</v>
      </c>
      <c r="E83" s="21" t="s">
        <v>319</v>
      </c>
      <c r="F83" s="21" t="s">
        <v>321</v>
      </c>
      <c r="G83" s="21" t="s">
        <v>320</v>
      </c>
      <c r="H83" s="21" t="s">
        <v>319</v>
      </c>
      <c r="I83" s="350"/>
    </row>
    <row r="84" spans="1:9" ht="15.75" customHeight="1">
      <c r="A84" s="79">
        <v>42</v>
      </c>
      <c r="B84" s="323"/>
      <c r="C84" s="327" t="s">
        <v>322</v>
      </c>
      <c r="D84" s="21" t="s">
        <v>325</v>
      </c>
      <c r="E84" s="21" t="s">
        <v>324</v>
      </c>
      <c r="F84" s="21" t="s">
        <v>326</v>
      </c>
      <c r="G84" s="21" t="s">
        <v>325</v>
      </c>
      <c r="H84" s="21" t="s">
        <v>324</v>
      </c>
      <c r="I84" s="350"/>
    </row>
    <row r="85" spans="1:9" ht="15.75" customHeight="1">
      <c r="A85" s="79">
        <v>43</v>
      </c>
      <c r="B85" s="323"/>
      <c r="C85" s="323"/>
      <c r="D85" s="21" t="s">
        <v>329</v>
      </c>
      <c r="E85" s="21" t="s">
        <v>328</v>
      </c>
      <c r="F85" s="21" t="s">
        <v>330</v>
      </c>
      <c r="G85" s="21" t="s">
        <v>329</v>
      </c>
      <c r="H85" s="21" t="s">
        <v>328</v>
      </c>
      <c r="I85" s="350"/>
    </row>
    <row r="86" spans="1:9" ht="15.75" customHeight="1">
      <c r="A86" s="79">
        <v>44</v>
      </c>
      <c r="B86" s="323"/>
      <c r="C86" s="323"/>
      <c r="D86" s="21" t="s">
        <v>333</v>
      </c>
      <c r="E86" s="21" t="s">
        <v>332</v>
      </c>
      <c r="F86" s="21" t="s">
        <v>334</v>
      </c>
      <c r="G86" s="21" t="s">
        <v>333</v>
      </c>
      <c r="H86" s="21" t="s">
        <v>332</v>
      </c>
      <c r="I86" s="350"/>
    </row>
    <row r="87" spans="1:9" ht="15.75" customHeight="1">
      <c r="A87" s="79">
        <v>45</v>
      </c>
      <c r="B87" s="323"/>
      <c r="C87" s="324"/>
      <c r="D87" s="21" t="s">
        <v>337</v>
      </c>
      <c r="E87" s="21" t="s">
        <v>336</v>
      </c>
      <c r="F87" s="21" t="s">
        <v>338</v>
      </c>
      <c r="G87" s="21" t="s">
        <v>337</v>
      </c>
      <c r="H87" s="21" t="s">
        <v>336</v>
      </c>
      <c r="I87" s="350"/>
    </row>
    <row r="88" spans="1:9" ht="15.75" customHeight="1">
      <c r="A88" s="79">
        <v>46</v>
      </c>
      <c r="B88" s="323"/>
      <c r="C88" s="327" t="s">
        <v>339</v>
      </c>
      <c r="D88" s="21" t="s">
        <v>342</v>
      </c>
      <c r="E88" s="21" t="s">
        <v>341</v>
      </c>
      <c r="F88" s="21" t="s">
        <v>343</v>
      </c>
      <c r="G88" s="21" t="s">
        <v>342</v>
      </c>
      <c r="H88" s="21" t="s">
        <v>341</v>
      </c>
      <c r="I88" s="350"/>
    </row>
    <row r="89" spans="1:9" ht="15.75" customHeight="1">
      <c r="A89" s="79">
        <v>47</v>
      </c>
      <c r="B89" s="323"/>
      <c r="C89" s="323"/>
      <c r="D89" s="21" t="s">
        <v>346</v>
      </c>
      <c r="E89" s="21" t="s">
        <v>345</v>
      </c>
      <c r="F89" s="21" t="s">
        <v>347</v>
      </c>
      <c r="G89" s="21" t="s">
        <v>346</v>
      </c>
      <c r="H89" s="21" t="s">
        <v>345</v>
      </c>
      <c r="I89" s="350"/>
    </row>
    <row r="90" spans="1:9" ht="15.75" customHeight="1">
      <c r="A90" s="79">
        <v>48</v>
      </c>
      <c r="B90" s="323"/>
      <c r="C90" s="324"/>
      <c r="D90" s="21" t="s">
        <v>350</v>
      </c>
      <c r="E90" s="21" t="s">
        <v>349</v>
      </c>
      <c r="F90" s="21" t="s">
        <v>351</v>
      </c>
      <c r="G90" s="21" t="s">
        <v>350</v>
      </c>
      <c r="H90" s="21" t="s">
        <v>349</v>
      </c>
      <c r="I90" s="350"/>
    </row>
    <row r="91" spans="1:9" ht="15.75" customHeight="1">
      <c r="A91" s="79">
        <v>49</v>
      </c>
      <c r="B91" s="323"/>
      <c r="C91" s="91" t="s">
        <v>352</v>
      </c>
      <c r="D91" s="21" t="s">
        <v>355</v>
      </c>
      <c r="E91" s="21" t="s">
        <v>354</v>
      </c>
      <c r="F91" s="22">
        <v>1111041401</v>
      </c>
      <c r="G91" s="21" t="s">
        <v>355</v>
      </c>
      <c r="H91" s="21" t="s">
        <v>354</v>
      </c>
      <c r="I91" s="351"/>
    </row>
    <row r="92" spans="1:9" ht="15.75" customHeight="1">
      <c r="A92" s="79">
        <v>50</v>
      </c>
      <c r="B92" s="323"/>
      <c r="C92" s="327" t="s">
        <v>356</v>
      </c>
      <c r="D92" s="7" t="s">
        <v>359</v>
      </c>
      <c r="E92" s="7" t="s">
        <v>358</v>
      </c>
      <c r="F92" s="7" t="s">
        <v>360</v>
      </c>
      <c r="G92" s="7" t="s">
        <v>359</v>
      </c>
      <c r="H92" s="7" t="s">
        <v>358</v>
      </c>
      <c r="I92" s="410" t="s">
        <v>360</v>
      </c>
    </row>
    <row r="93" spans="1:9" ht="15.75" customHeight="1">
      <c r="A93" s="79">
        <v>51</v>
      </c>
      <c r="B93" s="323"/>
      <c r="C93" s="323"/>
      <c r="D93" s="7" t="s">
        <v>363</v>
      </c>
      <c r="E93" s="7" t="s">
        <v>362</v>
      </c>
      <c r="F93" s="7" t="s">
        <v>364</v>
      </c>
      <c r="G93" s="7" t="s">
        <v>363</v>
      </c>
      <c r="H93" s="7" t="s">
        <v>362</v>
      </c>
      <c r="I93" s="350"/>
    </row>
    <row r="94" spans="1:9" ht="15.75" customHeight="1">
      <c r="A94" s="79">
        <v>52</v>
      </c>
      <c r="B94" s="323"/>
      <c r="C94" s="323"/>
      <c r="D94" s="7" t="s">
        <v>367</v>
      </c>
      <c r="E94" s="7" t="s">
        <v>366</v>
      </c>
      <c r="F94" s="7" t="s">
        <v>368</v>
      </c>
      <c r="G94" s="7" t="s">
        <v>367</v>
      </c>
      <c r="H94" s="7" t="s">
        <v>366</v>
      </c>
      <c r="I94" s="350"/>
    </row>
    <row r="95" spans="1:9" ht="15.75" customHeight="1">
      <c r="A95" s="79">
        <v>53</v>
      </c>
      <c r="B95" s="323"/>
      <c r="C95" s="323"/>
      <c r="D95" s="7" t="s">
        <v>371</v>
      </c>
      <c r="E95" s="7" t="s">
        <v>370</v>
      </c>
      <c r="F95" s="7" t="s">
        <v>372</v>
      </c>
      <c r="G95" s="7" t="s">
        <v>371</v>
      </c>
      <c r="H95" s="7" t="s">
        <v>370</v>
      </c>
      <c r="I95" s="350"/>
    </row>
    <row r="96" spans="1:9" ht="15.75" customHeight="1">
      <c r="A96" s="79">
        <v>54</v>
      </c>
      <c r="B96" s="323"/>
      <c r="C96" s="323"/>
      <c r="D96" s="7" t="s">
        <v>376</v>
      </c>
      <c r="E96" s="7" t="s">
        <v>375</v>
      </c>
      <c r="F96" s="7" t="s">
        <v>377</v>
      </c>
      <c r="G96" s="7" t="s">
        <v>376</v>
      </c>
      <c r="H96" s="7" t="s">
        <v>375</v>
      </c>
      <c r="I96" s="350"/>
    </row>
    <row r="97" spans="1:9" ht="15.75" customHeight="1">
      <c r="A97" s="79">
        <v>55</v>
      </c>
      <c r="B97" s="323"/>
      <c r="C97" s="324"/>
      <c r="D97" s="7" t="s">
        <v>380</v>
      </c>
      <c r="E97" s="7" t="s">
        <v>379</v>
      </c>
      <c r="F97" s="7" t="s">
        <v>381</v>
      </c>
      <c r="G97" s="7" t="s">
        <v>380</v>
      </c>
      <c r="H97" s="7" t="s">
        <v>379</v>
      </c>
      <c r="I97" s="351"/>
    </row>
    <row r="98" spans="1:9" ht="15.75" customHeight="1">
      <c r="A98" s="79">
        <v>56</v>
      </c>
      <c r="B98" s="324"/>
      <c r="C98" s="91" t="s">
        <v>382</v>
      </c>
      <c r="D98" s="7" t="s">
        <v>385</v>
      </c>
      <c r="E98" s="7" t="s">
        <v>384</v>
      </c>
      <c r="F98" s="7" t="s">
        <v>360</v>
      </c>
      <c r="G98" s="7" t="s">
        <v>385</v>
      </c>
      <c r="H98" s="7" t="s">
        <v>384</v>
      </c>
      <c r="I98" s="169" t="s">
        <v>360</v>
      </c>
    </row>
    <row r="99" spans="1:9" ht="15.75" customHeight="1">
      <c r="A99" s="79">
        <v>57</v>
      </c>
      <c r="B99" s="329" t="s">
        <v>391</v>
      </c>
      <c r="C99" s="328" t="s">
        <v>386</v>
      </c>
      <c r="D99" s="21" t="s">
        <v>389</v>
      </c>
      <c r="E99" s="21" t="s">
        <v>388</v>
      </c>
      <c r="F99" s="21" t="s">
        <v>390</v>
      </c>
      <c r="G99" s="21" t="s">
        <v>389</v>
      </c>
      <c r="H99" s="21" t="s">
        <v>388</v>
      </c>
      <c r="I99" s="412" t="s">
        <v>390</v>
      </c>
    </row>
    <row r="100" spans="1:9" ht="15.75" customHeight="1">
      <c r="A100" s="79">
        <v>58</v>
      </c>
      <c r="B100" s="323"/>
      <c r="C100" s="323"/>
      <c r="D100" s="21" t="s">
        <v>395</v>
      </c>
      <c r="E100" s="21" t="s">
        <v>394</v>
      </c>
      <c r="F100" s="21" t="s">
        <v>396</v>
      </c>
      <c r="G100" s="21" t="s">
        <v>395</v>
      </c>
      <c r="H100" s="21" t="s">
        <v>394</v>
      </c>
      <c r="I100" s="350"/>
    </row>
    <row r="101" spans="1:9" ht="15.75" customHeight="1">
      <c r="A101" s="79">
        <v>59</v>
      </c>
      <c r="B101" s="323"/>
      <c r="C101" s="323"/>
      <c r="D101" s="21" t="s">
        <v>399</v>
      </c>
      <c r="E101" s="21" t="s">
        <v>398</v>
      </c>
      <c r="F101" s="21" t="s">
        <v>400</v>
      </c>
      <c r="G101" s="21" t="s">
        <v>399</v>
      </c>
      <c r="H101" s="21" t="s">
        <v>398</v>
      </c>
      <c r="I101" s="350"/>
    </row>
    <row r="102" spans="1:9" ht="15.75" customHeight="1">
      <c r="A102" s="79">
        <v>60</v>
      </c>
      <c r="B102" s="323"/>
      <c r="C102" s="323"/>
      <c r="D102" s="21" t="s">
        <v>403</v>
      </c>
      <c r="E102" s="21" t="s">
        <v>402</v>
      </c>
      <c r="F102" s="21" t="s">
        <v>404</v>
      </c>
      <c r="G102" s="21" t="s">
        <v>403</v>
      </c>
      <c r="H102" s="21" t="s">
        <v>402</v>
      </c>
      <c r="I102" s="350"/>
    </row>
    <row r="103" spans="1:9" ht="15.75" customHeight="1">
      <c r="A103" s="79">
        <v>61</v>
      </c>
      <c r="B103" s="323"/>
      <c r="C103" s="323"/>
      <c r="D103" s="21" t="s">
        <v>407</v>
      </c>
      <c r="E103" s="21" t="s">
        <v>406</v>
      </c>
      <c r="F103" s="21" t="s">
        <v>408</v>
      </c>
      <c r="G103" s="21" t="s">
        <v>407</v>
      </c>
      <c r="H103" s="21" t="s">
        <v>406</v>
      </c>
      <c r="I103" s="350"/>
    </row>
    <row r="104" spans="1:9" ht="15.75" customHeight="1">
      <c r="A104" s="79">
        <v>62</v>
      </c>
      <c r="B104" s="323"/>
      <c r="C104" s="323"/>
      <c r="D104" s="21" t="s">
        <v>411</v>
      </c>
      <c r="E104" s="21" t="s">
        <v>410</v>
      </c>
      <c r="F104" s="21" t="s">
        <v>412</v>
      </c>
      <c r="G104" s="21" t="s">
        <v>411</v>
      </c>
      <c r="H104" s="21" t="s">
        <v>410</v>
      </c>
      <c r="I104" s="350"/>
    </row>
    <row r="105" spans="1:9" ht="15.75" customHeight="1">
      <c r="A105" s="79">
        <v>63</v>
      </c>
      <c r="B105" s="323"/>
      <c r="C105" s="323"/>
      <c r="D105" s="21" t="s">
        <v>415</v>
      </c>
      <c r="E105" s="21" t="s">
        <v>414</v>
      </c>
      <c r="F105" s="21" t="s">
        <v>416</v>
      </c>
      <c r="G105" s="21" t="s">
        <v>415</v>
      </c>
      <c r="H105" s="21" t="s">
        <v>414</v>
      </c>
      <c r="I105" s="350"/>
    </row>
    <row r="106" spans="1:9" ht="15.75" customHeight="1">
      <c r="A106" s="79">
        <v>64</v>
      </c>
      <c r="B106" s="323"/>
      <c r="C106" s="324"/>
      <c r="D106" s="21" t="s">
        <v>419</v>
      </c>
      <c r="E106" s="21" t="s">
        <v>418</v>
      </c>
      <c r="F106" s="22">
        <v>1111081008</v>
      </c>
      <c r="G106" s="21" t="s">
        <v>419</v>
      </c>
      <c r="H106" s="21" t="s">
        <v>418</v>
      </c>
      <c r="I106" s="351"/>
    </row>
    <row r="107" spans="1:9" ht="15.75" customHeight="1">
      <c r="A107" s="79">
        <v>65</v>
      </c>
      <c r="B107" s="323"/>
      <c r="C107" s="327" t="s">
        <v>356</v>
      </c>
      <c r="D107" s="7" t="s">
        <v>422</v>
      </c>
      <c r="E107" s="7" t="s">
        <v>421</v>
      </c>
      <c r="F107" s="6">
        <v>1111082501</v>
      </c>
      <c r="G107" s="7" t="s">
        <v>422</v>
      </c>
      <c r="H107" s="7" t="s">
        <v>421</v>
      </c>
      <c r="I107" s="410">
        <v>1111082504</v>
      </c>
    </row>
    <row r="108" spans="1:9" ht="15.75" customHeight="1">
      <c r="A108" s="79">
        <v>66</v>
      </c>
      <c r="B108" s="323"/>
      <c r="C108" s="323"/>
      <c r="D108" s="7" t="s">
        <v>434</v>
      </c>
      <c r="E108" s="7" t="s">
        <v>433</v>
      </c>
      <c r="F108" s="6">
        <v>1111082401</v>
      </c>
      <c r="G108" s="7" t="s">
        <v>434</v>
      </c>
      <c r="H108" s="7" t="s">
        <v>433</v>
      </c>
      <c r="I108" s="351"/>
    </row>
    <row r="109" spans="1:9" ht="15.75" customHeight="1">
      <c r="A109" s="79">
        <v>67</v>
      </c>
      <c r="B109" s="323"/>
      <c r="C109" s="323"/>
      <c r="D109" s="7" t="s">
        <v>426</v>
      </c>
      <c r="E109" s="7" t="s">
        <v>427</v>
      </c>
      <c r="F109" s="6">
        <v>1111082504</v>
      </c>
      <c r="G109" s="7" t="s">
        <v>426</v>
      </c>
      <c r="H109" s="7" t="s">
        <v>427</v>
      </c>
      <c r="I109" s="410">
        <v>1111082504</v>
      </c>
    </row>
    <row r="110" spans="1:9" ht="15.75" customHeight="1">
      <c r="A110" s="79">
        <v>68</v>
      </c>
      <c r="B110" s="323"/>
      <c r="C110" s="323"/>
      <c r="D110" s="7" t="s">
        <v>430</v>
      </c>
      <c r="E110" s="7" t="s">
        <v>431</v>
      </c>
      <c r="F110" s="6">
        <v>1111082503</v>
      </c>
      <c r="G110" s="7" t="s">
        <v>430</v>
      </c>
      <c r="H110" s="7" t="s">
        <v>431</v>
      </c>
      <c r="I110" s="350"/>
    </row>
    <row r="111" spans="1:9" ht="15.75" customHeight="1">
      <c r="A111" s="79">
        <v>69</v>
      </c>
      <c r="B111" s="323"/>
      <c r="C111" s="323"/>
      <c r="D111" s="7" t="s">
        <v>434</v>
      </c>
      <c r="E111" s="7" t="s">
        <v>433</v>
      </c>
      <c r="F111" s="6">
        <v>1111082401</v>
      </c>
      <c r="G111" s="7" t="s">
        <v>434</v>
      </c>
      <c r="H111" s="7" t="s">
        <v>433</v>
      </c>
      <c r="I111" s="350"/>
    </row>
    <row r="112" spans="1:9" ht="15.75" customHeight="1">
      <c r="A112" s="79">
        <v>70</v>
      </c>
      <c r="B112" s="323"/>
      <c r="C112" s="323"/>
      <c r="D112" s="7" t="s">
        <v>437</v>
      </c>
      <c r="E112" s="7" t="s">
        <v>438</v>
      </c>
      <c r="F112" s="6">
        <v>1111082404</v>
      </c>
      <c r="G112" s="7" t="s">
        <v>437</v>
      </c>
      <c r="H112" s="7" t="s">
        <v>438</v>
      </c>
      <c r="I112" s="350"/>
    </row>
    <row r="113" spans="1:9" ht="15.75" customHeight="1">
      <c r="A113" s="79">
        <v>71</v>
      </c>
      <c r="B113" s="323"/>
      <c r="C113" s="323"/>
      <c r="D113" s="7" t="s">
        <v>441</v>
      </c>
      <c r="E113" s="7" t="s">
        <v>440</v>
      </c>
      <c r="F113" s="6">
        <v>1111082403</v>
      </c>
      <c r="G113" s="7" t="s">
        <v>441</v>
      </c>
      <c r="H113" s="7" t="s">
        <v>440</v>
      </c>
      <c r="I113" s="350"/>
    </row>
    <row r="114" spans="1:9" ht="15.75" customHeight="1">
      <c r="A114" s="79">
        <v>72</v>
      </c>
      <c r="B114" s="323"/>
      <c r="C114" s="323"/>
      <c r="D114" s="7" t="s">
        <v>442</v>
      </c>
      <c r="E114" s="7" t="s">
        <v>443</v>
      </c>
      <c r="F114" s="6">
        <v>1111082505</v>
      </c>
      <c r="G114" s="7" t="s">
        <v>442</v>
      </c>
      <c r="H114" s="7" t="s">
        <v>443</v>
      </c>
      <c r="I114" s="350"/>
    </row>
    <row r="115" spans="1:9" ht="15.75" customHeight="1">
      <c r="A115" s="79">
        <v>73</v>
      </c>
      <c r="B115" s="323"/>
      <c r="C115" s="323"/>
      <c r="D115" s="7" t="s">
        <v>444</v>
      </c>
      <c r="E115" s="7" t="s">
        <v>445</v>
      </c>
      <c r="F115" s="6">
        <v>1111082506</v>
      </c>
      <c r="G115" s="7" t="s">
        <v>444</v>
      </c>
      <c r="H115" s="7" t="s">
        <v>445</v>
      </c>
      <c r="I115" s="350"/>
    </row>
    <row r="116" spans="1:9" ht="15.75" customHeight="1">
      <c r="A116" s="79">
        <v>74</v>
      </c>
      <c r="B116" s="323"/>
      <c r="C116" s="323"/>
      <c r="D116" s="7" t="s">
        <v>446</v>
      </c>
      <c r="E116" s="7" t="s">
        <v>447</v>
      </c>
      <c r="F116" s="6">
        <v>1111082507</v>
      </c>
      <c r="G116" s="7" t="s">
        <v>446</v>
      </c>
      <c r="H116" s="7" t="s">
        <v>447</v>
      </c>
      <c r="I116" s="350"/>
    </row>
    <row r="117" spans="1:9" ht="15.75" customHeight="1">
      <c r="A117" s="79">
        <v>75</v>
      </c>
      <c r="B117" s="324"/>
      <c r="C117" s="324"/>
      <c r="D117" s="7" t="s">
        <v>448</v>
      </c>
      <c r="E117" s="7" t="s">
        <v>449</v>
      </c>
      <c r="F117" s="6">
        <v>1111082405</v>
      </c>
      <c r="G117" s="7" t="s">
        <v>448</v>
      </c>
      <c r="H117" s="7" t="s">
        <v>449</v>
      </c>
      <c r="I117" s="351"/>
    </row>
    <row r="118" spans="1:9" ht="15.75" customHeight="1">
      <c r="A118" s="79">
        <v>76</v>
      </c>
      <c r="B118" s="329" t="s">
        <v>450</v>
      </c>
      <c r="C118" s="19" t="s">
        <v>1956</v>
      </c>
      <c r="D118" s="7" t="s">
        <v>453</v>
      </c>
      <c r="E118" s="7" t="s">
        <v>452</v>
      </c>
      <c r="F118" s="6">
        <v>1111110001</v>
      </c>
      <c r="G118" s="7" t="s">
        <v>453</v>
      </c>
      <c r="H118" s="7" t="s">
        <v>452</v>
      </c>
      <c r="I118" s="410">
        <v>1111110001</v>
      </c>
    </row>
    <row r="119" spans="1:9" ht="15.75" customHeight="1">
      <c r="A119" s="79">
        <v>77</v>
      </c>
      <c r="B119" s="324"/>
      <c r="C119" s="19" t="s">
        <v>450</v>
      </c>
      <c r="D119" s="7" t="s">
        <v>457</v>
      </c>
      <c r="E119" s="7" t="s">
        <v>456</v>
      </c>
      <c r="F119" s="6" t="s">
        <v>458</v>
      </c>
      <c r="G119" s="7" t="s">
        <v>457</v>
      </c>
      <c r="H119" s="7" t="s">
        <v>456</v>
      </c>
      <c r="I119" s="351"/>
    </row>
    <row r="120" spans="1:9" ht="15.75" customHeight="1">
      <c r="A120" s="79">
        <v>78</v>
      </c>
      <c r="B120" s="329" t="s">
        <v>1960</v>
      </c>
      <c r="C120" s="327" t="s">
        <v>168</v>
      </c>
      <c r="D120" s="21" t="s">
        <v>461</v>
      </c>
      <c r="E120" s="21" t="s">
        <v>460</v>
      </c>
      <c r="F120" s="22" t="s">
        <v>462</v>
      </c>
      <c r="G120" s="21" t="s">
        <v>461</v>
      </c>
      <c r="H120" s="21" t="s">
        <v>460</v>
      </c>
      <c r="I120" s="412" t="s">
        <v>462</v>
      </c>
    </row>
    <row r="121" spans="1:9" ht="15.75" customHeight="1">
      <c r="A121" s="79">
        <v>79</v>
      </c>
      <c r="B121" s="323"/>
      <c r="C121" s="323"/>
      <c r="D121" s="21" t="s">
        <v>468</v>
      </c>
      <c r="E121" s="21" t="s">
        <v>467</v>
      </c>
      <c r="F121" s="22">
        <v>1111071002</v>
      </c>
      <c r="G121" s="21" t="s">
        <v>468</v>
      </c>
      <c r="H121" s="21" t="s">
        <v>467</v>
      </c>
      <c r="I121" s="350"/>
    </row>
    <row r="122" spans="1:9" ht="15.75" customHeight="1">
      <c r="A122" s="79">
        <v>80</v>
      </c>
      <c r="B122" s="323"/>
      <c r="C122" s="324"/>
      <c r="D122" s="21" t="s">
        <v>472</v>
      </c>
      <c r="E122" s="21" t="s">
        <v>471</v>
      </c>
      <c r="F122" s="22" t="s">
        <v>473</v>
      </c>
      <c r="G122" s="21" t="s">
        <v>472</v>
      </c>
      <c r="H122" s="21" t="s">
        <v>471</v>
      </c>
      <c r="I122" s="351"/>
    </row>
    <row r="123" spans="1:9" ht="15.75" customHeight="1">
      <c r="A123" s="79">
        <v>81</v>
      </c>
      <c r="B123" s="323"/>
      <c r="C123" s="163" t="s">
        <v>465</v>
      </c>
      <c r="D123" s="21" t="s">
        <v>476</v>
      </c>
      <c r="E123" s="21" t="s">
        <v>475</v>
      </c>
      <c r="F123" s="22" t="s">
        <v>477</v>
      </c>
      <c r="G123" s="21" t="s">
        <v>476</v>
      </c>
      <c r="H123" s="21" t="s">
        <v>475</v>
      </c>
      <c r="I123" s="175" t="s">
        <v>477</v>
      </c>
    </row>
    <row r="124" spans="1:9" ht="15.75" customHeight="1">
      <c r="A124" s="79">
        <v>82</v>
      </c>
      <c r="B124" s="323"/>
      <c r="C124" s="327" t="s">
        <v>356</v>
      </c>
      <c r="D124" s="7" t="s">
        <v>480</v>
      </c>
      <c r="E124" s="7" t="s">
        <v>479</v>
      </c>
      <c r="F124" s="6" t="s">
        <v>481</v>
      </c>
      <c r="G124" s="7" t="s">
        <v>480</v>
      </c>
      <c r="H124" s="7" t="s">
        <v>479</v>
      </c>
      <c r="I124" s="410">
        <v>1111073002</v>
      </c>
    </row>
    <row r="125" spans="1:9" ht="15.75" customHeight="1">
      <c r="A125" s="79">
        <v>83</v>
      </c>
      <c r="B125" s="323"/>
      <c r="C125" s="323"/>
      <c r="D125" s="7" t="s">
        <v>484</v>
      </c>
      <c r="E125" s="7" t="s">
        <v>485</v>
      </c>
      <c r="F125" s="6">
        <v>1111073002</v>
      </c>
      <c r="G125" s="7" t="s">
        <v>484</v>
      </c>
      <c r="H125" s="7" t="s">
        <v>485</v>
      </c>
      <c r="I125" s="350"/>
    </row>
    <row r="126" spans="1:9" ht="15.75" customHeight="1">
      <c r="A126" s="79">
        <v>84</v>
      </c>
      <c r="B126" s="324"/>
      <c r="C126" s="324"/>
      <c r="D126" s="7" t="s">
        <v>487</v>
      </c>
      <c r="E126" s="7" t="s">
        <v>488</v>
      </c>
      <c r="F126" s="6">
        <v>1111073003</v>
      </c>
      <c r="G126" s="7" t="s">
        <v>487</v>
      </c>
      <c r="H126" s="7" t="s">
        <v>488</v>
      </c>
      <c r="I126" s="351"/>
    </row>
    <row r="127" spans="1:9" ht="15.75" customHeight="1">
      <c r="A127" s="79">
        <v>85</v>
      </c>
      <c r="B127" s="331" t="s">
        <v>494</v>
      </c>
      <c r="C127" s="327" t="s">
        <v>489</v>
      </c>
      <c r="D127" s="21" t="s">
        <v>492</v>
      </c>
      <c r="E127" s="21" t="s">
        <v>491</v>
      </c>
      <c r="F127" s="22" t="s">
        <v>493</v>
      </c>
      <c r="G127" s="21" t="s">
        <v>492</v>
      </c>
      <c r="H127" s="21" t="s">
        <v>491</v>
      </c>
      <c r="I127" s="412" t="s">
        <v>493</v>
      </c>
    </row>
    <row r="128" spans="1:9" ht="15.75" customHeight="1">
      <c r="A128" s="79">
        <v>86</v>
      </c>
      <c r="B128" s="323"/>
      <c r="C128" s="323"/>
      <c r="D128" s="21" t="s">
        <v>498</v>
      </c>
      <c r="E128" s="21" t="s">
        <v>497</v>
      </c>
      <c r="F128" s="22" t="s">
        <v>499</v>
      </c>
      <c r="G128" s="21" t="s">
        <v>498</v>
      </c>
      <c r="H128" s="21" t="s">
        <v>497</v>
      </c>
      <c r="I128" s="350"/>
    </row>
    <row r="129" spans="1:9" ht="15.75" customHeight="1">
      <c r="A129" s="79">
        <v>87</v>
      </c>
      <c r="B129" s="323"/>
      <c r="C129" s="323"/>
      <c r="D129" s="21" t="s">
        <v>502</v>
      </c>
      <c r="E129" s="21" t="s">
        <v>501</v>
      </c>
      <c r="F129" s="21" t="s">
        <v>503</v>
      </c>
      <c r="G129" s="21" t="s">
        <v>502</v>
      </c>
      <c r="H129" s="21" t="s">
        <v>501</v>
      </c>
      <c r="I129" s="350"/>
    </row>
    <row r="130" spans="1:9" ht="15.75" customHeight="1">
      <c r="A130" s="79">
        <v>88</v>
      </c>
      <c r="B130" s="323"/>
      <c r="C130" s="323"/>
      <c r="D130" s="21" t="s">
        <v>506</v>
      </c>
      <c r="E130" s="21" t="s">
        <v>505</v>
      </c>
      <c r="F130" s="21" t="s">
        <v>507</v>
      </c>
      <c r="G130" s="21" t="s">
        <v>506</v>
      </c>
      <c r="H130" s="21" t="s">
        <v>505</v>
      </c>
      <c r="I130" s="350"/>
    </row>
    <row r="131" spans="1:9" ht="15.75" customHeight="1">
      <c r="A131" s="79">
        <v>89</v>
      </c>
      <c r="B131" s="323"/>
      <c r="C131" s="323"/>
      <c r="D131" s="21" t="s">
        <v>510</v>
      </c>
      <c r="E131" s="21" t="s">
        <v>509</v>
      </c>
      <c r="F131" s="21" t="s">
        <v>511</v>
      </c>
      <c r="G131" s="21" t="s">
        <v>510</v>
      </c>
      <c r="H131" s="21" t="s">
        <v>509</v>
      </c>
      <c r="I131" s="350"/>
    </row>
    <row r="132" spans="1:9" ht="15.75" customHeight="1">
      <c r="A132" s="79">
        <v>90</v>
      </c>
      <c r="B132" s="323"/>
      <c r="C132" s="323"/>
      <c r="D132" s="21" t="s">
        <v>514</v>
      </c>
      <c r="E132" s="21" t="s">
        <v>513</v>
      </c>
      <c r="F132" s="21" t="s">
        <v>515</v>
      </c>
      <c r="G132" s="21" t="s">
        <v>514</v>
      </c>
      <c r="H132" s="21" t="s">
        <v>513</v>
      </c>
      <c r="I132" s="350"/>
    </row>
    <row r="133" spans="1:9" ht="15.75" customHeight="1">
      <c r="A133" s="79">
        <v>91</v>
      </c>
      <c r="B133" s="323"/>
      <c r="C133" s="323"/>
      <c r="D133" s="21" t="s">
        <v>518</v>
      </c>
      <c r="E133" s="21" t="s">
        <v>517</v>
      </c>
      <c r="F133" s="21" t="s">
        <v>519</v>
      </c>
      <c r="G133" s="21" t="s">
        <v>518</v>
      </c>
      <c r="H133" s="21" t="s">
        <v>517</v>
      </c>
      <c r="I133" s="350"/>
    </row>
    <row r="134" spans="1:9" ht="15.75" customHeight="1">
      <c r="A134" s="79">
        <v>92</v>
      </c>
      <c r="B134" s="323"/>
      <c r="C134" s="324"/>
      <c r="D134" s="21" t="s">
        <v>522</v>
      </c>
      <c r="E134" s="21" t="s">
        <v>521</v>
      </c>
      <c r="F134" s="21" t="s">
        <v>523</v>
      </c>
      <c r="G134" s="21" t="s">
        <v>522</v>
      </c>
      <c r="H134" s="21" t="s">
        <v>521</v>
      </c>
      <c r="I134" s="351"/>
    </row>
    <row r="135" spans="1:9" ht="15.75" customHeight="1">
      <c r="A135" s="79">
        <v>93</v>
      </c>
      <c r="B135" s="323"/>
      <c r="C135" s="330" t="s">
        <v>524</v>
      </c>
      <c r="D135" s="21" t="s">
        <v>527</v>
      </c>
      <c r="E135" s="21" t="s">
        <v>526</v>
      </c>
      <c r="F135" s="21" t="s">
        <v>528</v>
      </c>
      <c r="G135" s="21" t="s">
        <v>527</v>
      </c>
      <c r="H135" s="21" t="s">
        <v>526</v>
      </c>
      <c r="I135" s="412" t="s">
        <v>528</v>
      </c>
    </row>
    <row r="136" spans="1:9" ht="15.75" customHeight="1">
      <c r="A136" s="79">
        <v>94</v>
      </c>
      <c r="B136" s="323"/>
      <c r="C136" s="323"/>
      <c r="D136" s="21" t="s">
        <v>532</v>
      </c>
      <c r="E136" s="21" t="s">
        <v>531</v>
      </c>
      <c r="F136" s="21" t="s">
        <v>533</v>
      </c>
      <c r="G136" s="21" t="s">
        <v>532</v>
      </c>
      <c r="H136" s="21" t="s">
        <v>531</v>
      </c>
      <c r="I136" s="350"/>
    </row>
    <row r="137" spans="1:9" ht="15.75" customHeight="1">
      <c r="A137" s="79">
        <v>95</v>
      </c>
      <c r="B137" s="323"/>
      <c r="C137" s="323"/>
      <c r="D137" s="21" t="s">
        <v>536</v>
      </c>
      <c r="E137" s="21" t="s">
        <v>535</v>
      </c>
      <c r="F137" s="21" t="s">
        <v>537</v>
      </c>
      <c r="G137" s="21" t="s">
        <v>536</v>
      </c>
      <c r="H137" s="21" t="s">
        <v>535</v>
      </c>
      <c r="I137" s="350"/>
    </row>
    <row r="138" spans="1:9" ht="15.75" customHeight="1">
      <c r="A138" s="79">
        <v>96</v>
      </c>
      <c r="B138" s="323"/>
      <c r="C138" s="323"/>
      <c r="D138" s="21" t="s">
        <v>540</v>
      </c>
      <c r="E138" s="21" t="s">
        <v>539</v>
      </c>
      <c r="F138" s="21" t="s">
        <v>541</v>
      </c>
      <c r="G138" s="21" t="s">
        <v>540</v>
      </c>
      <c r="H138" s="21" t="s">
        <v>539</v>
      </c>
      <c r="I138" s="350"/>
    </row>
    <row r="139" spans="1:9" ht="15.75" customHeight="1">
      <c r="A139" s="79">
        <v>97</v>
      </c>
      <c r="B139" s="323"/>
      <c r="C139" s="323"/>
      <c r="D139" s="21" t="s">
        <v>544</v>
      </c>
      <c r="E139" s="21" t="s">
        <v>543</v>
      </c>
      <c r="F139" s="21" t="s">
        <v>545</v>
      </c>
      <c r="G139" s="21" t="s">
        <v>544</v>
      </c>
      <c r="H139" s="21" t="s">
        <v>543</v>
      </c>
      <c r="I139" s="350"/>
    </row>
    <row r="140" spans="1:9" ht="15.75" customHeight="1">
      <c r="A140" s="79">
        <v>98</v>
      </c>
      <c r="B140" s="323"/>
      <c r="C140" s="323"/>
      <c r="D140" s="21" t="s">
        <v>548</v>
      </c>
      <c r="E140" s="21" t="s">
        <v>547</v>
      </c>
      <c r="F140" s="21" t="s">
        <v>549</v>
      </c>
      <c r="G140" s="21" t="s">
        <v>548</v>
      </c>
      <c r="H140" s="21" t="s">
        <v>547</v>
      </c>
      <c r="I140" s="350"/>
    </row>
    <row r="141" spans="1:9" ht="15.75" customHeight="1">
      <c r="A141" s="79">
        <v>99</v>
      </c>
      <c r="B141" s="323"/>
      <c r="C141" s="323"/>
      <c r="D141" s="21" t="s">
        <v>552</v>
      </c>
      <c r="E141" s="21" t="s">
        <v>551</v>
      </c>
      <c r="F141" s="21" t="s">
        <v>553</v>
      </c>
      <c r="G141" s="21" t="s">
        <v>552</v>
      </c>
      <c r="H141" s="21" t="s">
        <v>551</v>
      </c>
      <c r="I141" s="350"/>
    </row>
    <row r="142" spans="1:9" ht="15.75" customHeight="1">
      <c r="A142" s="79">
        <v>100</v>
      </c>
      <c r="B142" s="323"/>
      <c r="C142" s="323"/>
      <c r="D142" s="21" t="s">
        <v>556</v>
      </c>
      <c r="E142" s="21" t="s">
        <v>555</v>
      </c>
      <c r="F142" s="21" t="s">
        <v>557</v>
      </c>
      <c r="G142" s="21" t="s">
        <v>556</v>
      </c>
      <c r="H142" s="21" t="s">
        <v>555</v>
      </c>
      <c r="I142" s="350"/>
    </row>
    <row r="143" spans="1:9" ht="15.75" customHeight="1">
      <c r="A143" s="79">
        <v>101</v>
      </c>
      <c r="B143" s="323"/>
      <c r="C143" s="324"/>
      <c r="D143" s="21" t="s">
        <v>560</v>
      </c>
      <c r="E143" s="21" t="s">
        <v>559</v>
      </c>
      <c r="F143" s="21" t="s">
        <v>561</v>
      </c>
      <c r="G143" s="21" t="s">
        <v>560</v>
      </c>
      <c r="H143" s="21" t="s">
        <v>559</v>
      </c>
      <c r="I143" s="351"/>
    </row>
    <row r="144" spans="1:9" ht="15.75" customHeight="1">
      <c r="A144" s="79">
        <v>102</v>
      </c>
      <c r="B144" s="323"/>
      <c r="C144" s="330" t="s">
        <v>566</v>
      </c>
      <c r="D144" s="19" t="s">
        <v>564</v>
      </c>
      <c r="E144" s="19" t="s">
        <v>563</v>
      </c>
      <c r="F144" s="19" t="s">
        <v>2251</v>
      </c>
      <c r="G144" s="19" t="s">
        <v>564</v>
      </c>
      <c r="H144" s="19" t="s">
        <v>563</v>
      </c>
      <c r="I144" s="410" t="s">
        <v>571</v>
      </c>
    </row>
    <row r="145" spans="1:9" ht="15.75" customHeight="1">
      <c r="A145" s="79">
        <v>103</v>
      </c>
      <c r="B145" s="323"/>
      <c r="C145" s="323"/>
      <c r="D145" s="7" t="s">
        <v>569</v>
      </c>
      <c r="E145" s="7" t="s">
        <v>568</v>
      </c>
      <c r="F145" s="7" t="s">
        <v>571</v>
      </c>
      <c r="G145" s="7" t="s">
        <v>569</v>
      </c>
      <c r="H145" s="7" t="s">
        <v>568</v>
      </c>
      <c r="I145" s="350"/>
    </row>
    <row r="146" spans="1:9" ht="15.75" customHeight="1">
      <c r="A146" s="79">
        <v>104</v>
      </c>
      <c r="B146" s="323"/>
      <c r="C146" s="323"/>
      <c r="D146" s="7" t="s">
        <v>574</v>
      </c>
      <c r="E146" s="7" t="s">
        <v>575</v>
      </c>
      <c r="F146" s="7" t="s">
        <v>576</v>
      </c>
      <c r="G146" s="7" t="s">
        <v>574</v>
      </c>
      <c r="H146" s="7" t="s">
        <v>575</v>
      </c>
      <c r="I146" s="351"/>
    </row>
    <row r="147" spans="1:9" ht="15.75" customHeight="1">
      <c r="A147" s="79">
        <v>105</v>
      </c>
      <c r="B147" s="323"/>
      <c r="C147" s="323"/>
      <c r="D147" s="7" t="s">
        <v>581</v>
      </c>
      <c r="E147" s="7" t="s">
        <v>1901</v>
      </c>
      <c r="F147" s="6">
        <v>1111053004</v>
      </c>
      <c r="G147" s="7" t="s">
        <v>581</v>
      </c>
      <c r="H147" s="7" t="s">
        <v>1901</v>
      </c>
      <c r="I147" s="410">
        <v>1111053004</v>
      </c>
    </row>
    <row r="148" spans="1:9" ht="15.75" customHeight="1">
      <c r="A148" s="79">
        <v>106</v>
      </c>
      <c r="B148" s="323"/>
      <c r="C148" s="323"/>
      <c r="D148" s="7" t="s">
        <v>582</v>
      </c>
      <c r="E148" s="7" t="s">
        <v>1902</v>
      </c>
      <c r="F148" s="6">
        <v>1111053005</v>
      </c>
      <c r="G148" s="7" t="s">
        <v>582</v>
      </c>
      <c r="H148" s="7" t="s">
        <v>1902</v>
      </c>
      <c r="I148" s="350"/>
    </row>
    <row r="149" spans="1:9" ht="15.75" customHeight="1">
      <c r="A149" s="79">
        <v>107</v>
      </c>
      <c r="B149" s="323"/>
      <c r="C149" s="323"/>
      <c r="D149" s="7" t="s">
        <v>583</v>
      </c>
      <c r="E149" s="7" t="s">
        <v>1903</v>
      </c>
      <c r="F149" s="6">
        <v>1111053006</v>
      </c>
      <c r="G149" s="7" t="s">
        <v>583</v>
      </c>
      <c r="H149" s="7" t="s">
        <v>1903</v>
      </c>
      <c r="I149" s="350"/>
    </row>
    <row r="150" spans="1:9" ht="15.75" customHeight="1">
      <c r="A150" s="79">
        <v>108</v>
      </c>
      <c r="B150" s="323"/>
      <c r="C150" s="324"/>
      <c r="D150" s="7" t="s">
        <v>584</v>
      </c>
      <c r="E150" s="7" t="s">
        <v>1904</v>
      </c>
      <c r="F150" s="6">
        <v>1111053007</v>
      </c>
      <c r="G150" s="7" t="s">
        <v>584</v>
      </c>
      <c r="H150" s="7" t="s">
        <v>1904</v>
      </c>
      <c r="I150" s="351"/>
    </row>
    <row r="151" spans="1:9" ht="15.75" customHeight="1">
      <c r="A151" s="79">
        <v>109</v>
      </c>
      <c r="B151" s="323"/>
      <c r="C151" s="330" t="s">
        <v>1927</v>
      </c>
      <c r="D151" s="7" t="s">
        <v>602</v>
      </c>
      <c r="E151" s="7" t="s">
        <v>1905</v>
      </c>
      <c r="F151" s="6">
        <v>1111054101</v>
      </c>
      <c r="G151" s="7" t="s">
        <v>602</v>
      </c>
      <c r="H151" s="7" t="s">
        <v>1905</v>
      </c>
      <c r="I151" s="410">
        <v>1111054101</v>
      </c>
    </row>
    <row r="152" spans="1:9" ht="15.75" customHeight="1">
      <c r="A152" s="79">
        <v>110</v>
      </c>
      <c r="B152" s="323"/>
      <c r="C152" s="323"/>
      <c r="D152" s="7" t="s">
        <v>603</v>
      </c>
      <c r="E152" s="7" t="s">
        <v>1906</v>
      </c>
      <c r="F152" s="6">
        <v>1111054102</v>
      </c>
      <c r="G152" s="7" t="s">
        <v>603</v>
      </c>
      <c r="H152" s="7" t="s">
        <v>1906</v>
      </c>
      <c r="I152" s="350"/>
    </row>
    <row r="153" spans="1:9" ht="15.75" customHeight="1">
      <c r="A153" s="79">
        <v>111</v>
      </c>
      <c r="B153" s="323"/>
      <c r="C153" s="323"/>
      <c r="D153" s="7" t="s">
        <v>604</v>
      </c>
      <c r="E153" s="7" t="s">
        <v>1907</v>
      </c>
      <c r="F153" s="6">
        <v>1111054103</v>
      </c>
      <c r="G153" s="7" t="s">
        <v>604</v>
      </c>
      <c r="H153" s="7" t="s">
        <v>1907</v>
      </c>
      <c r="I153" s="350"/>
    </row>
    <row r="154" spans="1:9" ht="15.75" customHeight="1">
      <c r="A154" s="79">
        <v>112</v>
      </c>
      <c r="B154" s="323"/>
      <c r="C154" s="323"/>
      <c r="D154" s="7" t="s">
        <v>605</v>
      </c>
      <c r="E154" s="7" t="s">
        <v>1908</v>
      </c>
      <c r="F154" s="6">
        <v>1111054104</v>
      </c>
      <c r="G154" s="7" t="s">
        <v>605</v>
      </c>
      <c r="H154" s="7" t="s">
        <v>1908</v>
      </c>
      <c r="I154" s="350"/>
    </row>
    <row r="155" spans="1:9" ht="15.75" customHeight="1">
      <c r="A155" s="79">
        <v>113</v>
      </c>
      <c r="B155" s="323"/>
      <c r="C155" s="323"/>
      <c r="D155" s="7" t="s">
        <v>606</v>
      </c>
      <c r="E155" s="7" t="s">
        <v>1909</v>
      </c>
      <c r="F155" s="6">
        <v>1111054201</v>
      </c>
      <c r="G155" s="7" t="s">
        <v>606</v>
      </c>
      <c r="H155" s="7" t="s">
        <v>1909</v>
      </c>
      <c r="I155" s="350"/>
    </row>
    <row r="156" spans="1:9" ht="15.75" customHeight="1">
      <c r="A156" s="79">
        <v>114</v>
      </c>
      <c r="B156" s="323"/>
      <c r="C156" s="323"/>
      <c r="D156" s="7" t="s">
        <v>607</v>
      </c>
      <c r="E156" s="7" t="s">
        <v>1910</v>
      </c>
      <c r="F156" s="6">
        <v>1111054202</v>
      </c>
      <c r="G156" s="7" t="s">
        <v>607</v>
      </c>
      <c r="H156" s="7" t="s">
        <v>1910</v>
      </c>
      <c r="I156" s="350"/>
    </row>
    <row r="157" spans="1:9" ht="15.75" customHeight="1">
      <c r="A157" s="79">
        <v>115</v>
      </c>
      <c r="B157" s="323"/>
      <c r="C157" s="323"/>
      <c r="D157" s="7" t="s">
        <v>608</v>
      </c>
      <c r="E157" s="7" t="s">
        <v>1911</v>
      </c>
      <c r="F157" s="6">
        <v>1111054203</v>
      </c>
      <c r="G157" s="7" t="s">
        <v>608</v>
      </c>
      <c r="H157" s="7" t="s">
        <v>1911</v>
      </c>
      <c r="I157" s="350"/>
    </row>
    <row r="158" spans="1:9" ht="15.75" customHeight="1">
      <c r="A158" s="79">
        <v>116</v>
      </c>
      <c r="B158" s="323"/>
      <c r="C158" s="323"/>
      <c r="D158" s="7" t="s">
        <v>609</v>
      </c>
      <c r="E158" s="7" t="s">
        <v>1912</v>
      </c>
      <c r="F158" s="6">
        <v>1111054204</v>
      </c>
      <c r="G158" s="7" t="s">
        <v>609</v>
      </c>
      <c r="H158" s="7" t="s">
        <v>1912</v>
      </c>
      <c r="I158" s="351"/>
    </row>
    <row r="159" spans="1:9" ht="15.75" customHeight="1">
      <c r="A159" s="79">
        <v>117</v>
      </c>
      <c r="B159" s="323"/>
      <c r="C159" s="323"/>
      <c r="D159" s="7" t="s">
        <v>610</v>
      </c>
      <c r="E159" s="7" t="s">
        <v>1913</v>
      </c>
      <c r="F159" s="6">
        <v>1111055003</v>
      </c>
      <c r="G159" s="7" t="s">
        <v>610</v>
      </c>
      <c r="H159" s="7" t="s">
        <v>1913</v>
      </c>
      <c r="I159" s="410">
        <v>1111055003</v>
      </c>
    </row>
    <row r="160" spans="1:9" ht="15.75" customHeight="1">
      <c r="A160" s="79">
        <v>118</v>
      </c>
      <c r="B160" s="323"/>
      <c r="C160" s="323"/>
      <c r="D160" s="7" t="s">
        <v>612</v>
      </c>
      <c r="E160" s="7" t="s">
        <v>1914</v>
      </c>
      <c r="F160" s="6">
        <v>1111055004</v>
      </c>
      <c r="G160" s="7" t="s">
        <v>612</v>
      </c>
      <c r="H160" s="7" t="s">
        <v>1914</v>
      </c>
      <c r="I160" s="350"/>
    </row>
    <row r="161" spans="1:9" ht="15.75" customHeight="1">
      <c r="A161" s="79">
        <v>119</v>
      </c>
      <c r="B161" s="324"/>
      <c r="C161" s="324"/>
      <c r="D161" s="7" t="s">
        <v>600</v>
      </c>
      <c r="E161" s="7" t="s">
        <v>599</v>
      </c>
      <c r="F161" s="6">
        <v>1111055002</v>
      </c>
      <c r="G161" s="7" t="s">
        <v>600</v>
      </c>
      <c r="H161" s="7" t="s">
        <v>599</v>
      </c>
      <c r="I161" s="351"/>
    </row>
    <row r="162" spans="1:9" ht="15.75" customHeight="1">
      <c r="A162" s="79">
        <v>120</v>
      </c>
      <c r="B162" s="326" t="s">
        <v>1965</v>
      </c>
      <c r="C162" s="330" t="s">
        <v>614</v>
      </c>
      <c r="D162" s="21" t="s">
        <v>617</v>
      </c>
      <c r="E162" s="21" t="s">
        <v>616</v>
      </c>
      <c r="F162" s="21" t="s">
        <v>618</v>
      </c>
      <c r="G162" s="21" t="s">
        <v>617</v>
      </c>
      <c r="H162" s="21" t="s">
        <v>616</v>
      </c>
      <c r="I162" s="412" t="s">
        <v>618</v>
      </c>
    </row>
    <row r="163" spans="1:9" ht="15.75" customHeight="1">
      <c r="A163" s="79">
        <v>121</v>
      </c>
      <c r="B163" s="323"/>
      <c r="C163" s="324"/>
      <c r="D163" s="21" t="s">
        <v>623</v>
      </c>
      <c r="E163" s="21" t="s">
        <v>622</v>
      </c>
      <c r="F163" s="21" t="s">
        <v>624</v>
      </c>
      <c r="G163" s="21" t="s">
        <v>623</v>
      </c>
      <c r="H163" s="21" t="s">
        <v>622</v>
      </c>
      <c r="I163" s="351"/>
    </row>
    <row r="164" spans="1:9" ht="15.75" customHeight="1">
      <c r="A164" s="79">
        <v>122</v>
      </c>
      <c r="B164" s="323"/>
      <c r="C164" s="330" t="s">
        <v>625</v>
      </c>
      <c r="D164" s="21" t="s">
        <v>628</v>
      </c>
      <c r="E164" s="21" t="s">
        <v>627</v>
      </c>
      <c r="F164" s="21" t="s">
        <v>629</v>
      </c>
      <c r="G164" s="21" t="s">
        <v>628</v>
      </c>
      <c r="H164" s="21" t="s">
        <v>627</v>
      </c>
      <c r="I164" s="412" t="s">
        <v>629</v>
      </c>
    </row>
    <row r="165" spans="1:9" ht="15.75" customHeight="1">
      <c r="A165" s="79">
        <v>123</v>
      </c>
      <c r="B165" s="323"/>
      <c r="C165" s="323"/>
      <c r="D165" s="21" t="s">
        <v>632</v>
      </c>
      <c r="E165" s="21" t="s">
        <v>631</v>
      </c>
      <c r="F165" s="21" t="s">
        <v>633</v>
      </c>
      <c r="G165" s="21" t="s">
        <v>632</v>
      </c>
      <c r="H165" s="21" t="s">
        <v>631</v>
      </c>
      <c r="I165" s="350"/>
    </row>
    <row r="166" spans="1:9" ht="15.75" customHeight="1">
      <c r="A166" s="79">
        <v>124</v>
      </c>
      <c r="B166" s="323"/>
      <c r="C166" s="323"/>
      <c r="D166" s="21" t="s">
        <v>636</v>
      </c>
      <c r="E166" s="21" t="s">
        <v>635</v>
      </c>
      <c r="F166" s="21" t="s">
        <v>637</v>
      </c>
      <c r="G166" s="21" t="s">
        <v>636</v>
      </c>
      <c r="H166" s="21" t="s">
        <v>635</v>
      </c>
      <c r="I166" s="350"/>
    </row>
    <row r="167" spans="1:9" ht="15.75" customHeight="1">
      <c r="A167" s="79">
        <v>125</v>
      </c>
      <c r="B167" s="323"/>
      <c r="C167" s="324"/>
      <c r="D167" s="21" t="s">
        <v>640</v>
      </c>
      <c r="E167" s="21" t="s">
        <v>639</v>
      </c>
      <c r="F167" s="21" t="s">
        <v>641</v>
      </c>
      <c r="G167" s="21" t="s">
        <v>640</v>
      </c>
      <c r="H167" s="21" t="s">
        <v>639</v>
      </c>
      <c r="I167" s="351"/>
    </row>
    <row r="168" spans="1:9" ht="15.75" customHeight="1">
      <c r="A168" s="79">
        <v>126</v>
      </c>
      <c r="B168" s="323"/>
      <c r="C168" s="330" t="s">
        <v>642</v>
      </c>
      <c r="D168" s="7" t="s">
        <v>645</v>
      </c>
      <c r="E168" s="7" t="s">
        <v>644</v>
      </c>
      <c r="F168" s="7" t="s">
        <v>646</v>
      </c>
      <c r="G168" s="7" t="s">
        <v>645</v>
      </c>
      <c r="H168" s="7" t="s">
        <v>644</v>
      </c>
      <c r="I168" s="410" t="s">
        <v>646</v>
      </c>
    </row>
    <row r="169" spans="1:9" ht="15.75" customHeight="1">
      <c r="A169" s="79">
        <v>127</v>
      </c>
      <c r="B169" s="324"/>
      <c r="C169" s="324"/>
      <c r="D169" s="7" t="s">
        <v>649</v>
      </c>
      <c r="E169" s="7" t="s">
        <v>648</v>
      </c>
      <c r="F169" s="7" t="s">
        <v>650</v>
      </c>
      <c r="G169" s="7" t="s">
        <v>649</v>
      </c>
      <c r="H169" s="7" t="s">
        <v>648</v>
      </c>
      <c r="I169" s="351"/>
    </row>
    <row r="170" spans="1:9" ht="15" customHeight="1">
      <c r="A170" s="79">
        <v>128</v>
      </c>
      <c r="B170" s="326" t="s">
        <v>651</v>
      </c>
      <c r="C170" s="328" t="s">
        <v>651</v>
      </c>
      <c r="D170" s="22" t="s">
        <v>654</v>
      </c>
      <c r="E170" s="22" t="s">
        <v>653</v>
      </c>
      <c r="F170" s="22" t="s">
        <v>655</v>
      </c>
      <c r="G170" s="22" t="s">
        <v>654</v>
      </c>
      <c r="H170" s="22" t="s">
        <v>653</v>
      </c>
      <c r="I170" s="412" t="s">
        <v>661</v>
      </c>
    </row>
    <row r="171" spans="1:9" ht="15.75" customHeight="1">
      <c r="A171" s="79">
        <v>129</v>
      </c>
      <c r="B171" s="323"/>
      <c r="C171" s="323"/>
      <c r="D171" s="22" t="s">
        <v>660</v>
      </c>
      <c r="E171" s="22" t="s">
        <v>659</v>
      </c>
      <c r="F171" s="22" t="s">
        <v>661</v>
      </c>
      <c r="G171" s="22" t="s">
        <v>660</v>
      </c>
      <c r="H171" s="22" t="s">
        <v>659</v>
      </c>
      <c r="I171" s="350"/>
    </row>
    <row r="172" spans="1:9" ht="15.75" customHeight="1">
      <c r="A172" s="79">
        <v>130</v>
      </c>
      <c r="B172" s="323"/>
      <c r="C172" s="323"/>
      <c r="D172" s="22" t="s">
        <v>664</v>
      </c>
      <c r="E172" s="22" t="s">
        <v>663</v>
      </c>
      <c r="F172" s="22" t="s">
        <v>665</v>
      </c>
      <c r="G172" s="22" t="s">
        <v>664</v>
      </c>
      <c r="H172" s="22" t="s">
        <v>663</v>
      </c>
      <c r="I172" s="350"/>
    </row>
    <row r="173" spans="1:9" ht="15.75" customHeight="1">
      <c r="A173" s="79">
        <v>131</v>
      </c>
      <c r="B173" s="323"/>
      <c r="C173" s="323"/>
      <c r="D173" s="22" t="s">
        <v>668</v>
      </c>
      <c r="E173" s="22" t="s">
        <v>667</v>
      </c>
      <c r="F173" s="22" t="s">
        <v>669</v>
      </c>
      <c r="G173" s="22" t="s">
        <v>668</v>
      </c>
      <c r="H173" s="22" t="s">
        <v>667</v>
      </c>
      <c r="I173" s="350"/>
    </row>
    <row r="174" spans="1:9" ht="15.75" customHeight="1">
      <c r="A174" s="79">
        <v>132</v>
      </c>
      <c r="B174" s="323"/>
      <c r="C174" s="323"/>
      <c r="D174" s="22" t="s">
        <v>672</v>
      </c>
      <c r="E174" s="22" t="s">
        <v>671</v>
      </c>
      <c r="F174" s="22" t="s">
        <v>673</v>
      </c>
      <c r="G174" s="22" t="s">
        <v>672</v>
      </c>
      <c r="H174" s="22" t="s">
        <v>671</v>
      </c>
      <c r="I174" s="350"/>
    </row>
    <row r="175" spans="1:9" ht="15.75" customHeight="1">
      <c r="A175" s="79">
        <v>133</v>
      </c>
      <c r="B175" s="323"/>
      <c r="C175" s="323"/>
      <c r="D175" s="22" t="s">
        <v>676</v>
      </c>
      <c r="E175" s="22" t="s">
        <v>675</v>
      </c>
      <c r="F175" s="22" t="s">
        <v>677</v>
      </c>
      <c r="G175" s="22" t="s">
        <v>676</v>
      </c>
      <c r="H175" s="22" t="s">
        <v>675</v>
      </c>
      <c r="I175" s="350"/>
    </row>
    <row r="176" spans="1:9" ht="15.75" customHeight="1">
      <c r="A176" s="79">
        <v>134</v>
      </c>
      <c r="B176" s="323"/>
      <c r="C176" s="323"/>
      <c r="D176" s="22" t="s">
        <v>680</v>
      </c>
      <c r="E176" s="22" t="s">
        <v>679</v>
      </c>
      <c r="F176" s="22" t="s">
        <v>681</v>
      </c>
      <c r="G176" s="22" t="s">
        <v>680</v>
      </c>
      <c r="H176" s="22" t="s">
        <v>679</v>
      </c>
      <c r="I176" s="350"/>
    </row>
    <row r="177" spans="1:9" ht="15.75" customHeight="1">
      <c r="A177" s="79">
        <v>135</v>
      </c>
      <c r="B177" s="323"/>
      <c r="C177" s="323"/>
      <c r="D177" s="22" t="s">
        <v>684</v>
      </c>
      <c r="E177" s="22" t="s">
        <v>683</v>
      </c>
      <c r="F177" s="22" t="s">
        <v>685</v>
      </c>
      <c r="G177" s="22" t="s">
        <v>684</v>
      </c>
      <c r="H177" s="22" t="s">
        <v>683</v>
      </c>
      <c r="I177" s="350"/>
    </row>
    <row r="178" spans="1:9" ht="15.75" customHeight="1">
      <c r="A178" s="79">
        <v>136</v>
      </c>
      <c r="B178" s="323"/>
      <c r="C178" s="323"/>
      <c r="D178" s="22" t="s">
        <v>688</v>
      </c>
      <c r="E178" s="22" t="s">
        <v>687</v>
      </c>
      <c r="F178" s="22">
        <v>1111061109</v>
      </c>
      <c r="G178" s="22" t="s">
        <v>688</v>
      </c>
      <c r="H178" s="22" t="s">
        <v>687</v>
      </c>
      <c r="I178" s="350"/>
    </row>
    <row r="179" spans="1:9" ht="15.75" customHeight="1">
      <c r="A179" s="79">
        <v>137</v>
      </c>
      <c r="B179" s="323"/>
      <c r="C179" s="323"/>
      <c r="D179" s="22" t="s">
        <v>691</v>
      </c>
      <c r="E179" s="22" t="s">
        <v>690</v>
      </c>
      <c r="F179" s="22">
        <v>1111061110</v>
      </c>
      <c r="G179" s="22" t="s">
        <v>691</v>
      </c>
      <c r="H179" s="22" t="s">
        <v>690</v>
      </c>
      <c r="I179" s="350"/>
    </row>
    <row r="180" spans="1:9" ht="15.75" customHeight="1">
      <c r="A180" s="79">
        <v>138</v>
      </c>
      <c r="B180" s="323"/>
      <c r="C180" s="323"/>
      <c r="D180" s="22" t="s">
        <v>694</v>
      </c>
      <c r="E180" s="22" t="s">
        <v>693</v>
      </c>
      <c r="F180" s="22" t="s">
        <v>695</v>
      </c>
      <c r="G180" s="22" t="s">
        <v>694</v>
      </c>
      <c r="H180" s="22" t="s">
        <v>693</v>
      </c>
      <c r="I180" s="350"/>
    </row>
    <row r="181" spans="1:9" ht="15.75" customHeight="1">
      <c r="A181" s="79">
        <v>139</v>
      </c>
      <c r="B181" s="323"/>
      <c r="C181" s="323"/>
      <c r="D181" s="22" t="s">
        <v>698</v>
      </c>
      <c r="E181" s="22" t="s">
        <v>697</v>
      </c>
      <c r="F181" s="22" t="s">
        <v>699</v>
      </c>
      <c r="G181" s="22" t="s">
        <v>698</v>
      </c>
      <c r="H181" s="22" t="s">
        <v>697</v>
      </c>
      <c r="I181" s="350"/>
    </row>
    <row r="182" spans="1:9" ht="15.75" customHeight="1">
      <c r="A182" s="79">
        <v>140</v>
      </c>
      <c r="B182" s="323"/>
      <c r="C182" s="323"/>
      <c r="D182" s="22" t="s">
        <v>702</v>
      </c>
      <c r="E182" s="22" t="s">
        <v>701</v>
      </c>
      <c r="F182" s="22" t="s">
        <v>703</v>
      </c>
      <c r="G182" s="22" t="s">
        <v>702</v>
      </c>
      <c r="H182" s="22" t="s">
        <v>701</v>
      </c>
      <c r="I182" s="350"/>
    </row>
    <row r="183" spans="1:9" ht="15.75" customHeight="1">
      <c r="A183" s="79">
        <v>141</v>
      </c>
      <c r="B183" s="323"/>
      <c r="C183" s="323"/>
      <c r="D183" s="22" t="s">
        <v>706</v>
      </c>
      <c r="E183" s="22" t="s">
        <v>705</v>
      </c>
      <c r="F183" s="22" t="s">
        <v>707</v>
      </c>
      <c r="G183" s="22" t="s">
        <v>706</v>
      </c>
      <c r="H183" s="22" t="s">
        <v>705</v>
      </c>
      <c r="I183" s="350"/>
    </row>
    <row r="184" spans="1:9" ht="15.75" customHeight="1">
      <c r="A184" s="79">
        <v>142</v>
      </c>
      <c r="B184" s="323"/>
      <c r="C184" s="323"/>
      <c r="D184" s="22" t="s">
        <v>710</v>
      </c>
      <c r="E184" s="22" t="s">
        <v>709</v>
      </c>
      <c r="F184" s="22" t="s">
        <v>711</v>
      </c>
      <c r="G184" s="22" t="s">
        <v>710</v>
      </c>
      <c r="H184" s="22" t="s">
        <v>709</v>
      </c>
      <c r="I184" s="350"/>
    </row>
    <row r="185" spans="1:9" ht="15.75" customHeight="1">
      <c r="A185" s="79">
        <v>143</v>
      </c>
      <c r="B185" s="323"/>
      <c r="C185" s="323"/>
      <c r="D185" s="22" t="s">
        <v>714</v>
      </c>
      <c r="E185" s="22" t="s">
        <v>713</v>
      </c>
      <c r="F185" s="22" t="s">
        <v>715</v>
      </c>
      <c r="G185" s="22" t="s">
        <v>714</v>
      </c>
      <c r="H185" s="22" t="s">
        <v>713</v>
      </c>
      <c r="I185" s="350"/>
    </row>
    <row r="186" spans="1:9" ht="15.75" customHeight="1">
      <c r="A186" s="79">
        <v>144</v>
      </c>
      <c r="B186" s="323"/>
      <c r="C186" s="323"/>
      <c r="D186" s="22" t="s">
        <v>718</v>
      </c>
      <c r="E186" s="22" t="s">
        <v>717</v>
      </c>
      <c r="F186" s="22" t="s">
        <v>719</v>
      </c>
      <c r="G186" s="22" t="s">
        <v>718</v>
      </c>
      <c r="H186" s="22" t="s">
        <v>717</v>
      </c>
      <c r="I186" s="350"/>
    </row>
    <row r="187" spans="1:9" ht="15.75" customHeight="1">
      <c r="A187" s="79">
        <v>145</v>
      </c>
      <c r="B187" s="323"/>
      <c r="C187" s="323"/>
      <c r="D187" s="22" t="s">
        <v>722</v>
      </c>
      <c r="E187" s="22" t="s">
        <v>721</v>
      </c>
      <c r="F187" s="22" t="s">
        <v>723</v>
      </c>
      <c r="G187" s="22" t="s">
        <v>722</v>
      </c>
      <c r="H187" s="22" t="s">
        <v>721</v>
      </c>
      <c r="I187" s="350"/>
    </row>
    <row r="188" spans="1:9" ht="15.75" customHeight="1">
      <c r="A188" s="79">
        <v>146</v>
      </c>
      <c r="B188" s="323"/>
      <c r="C188" s="323"/>
      <c r="D188" s="22" t="s">
        <v>726</v>
      </c>
      <c r="E188" s="22" t="s">
        <v>725</v>
      </c>
      <c r="F188" s="22" t="s">
        <v>727</v>
      </c>
      <c r="G188" s="22" t="s">
        <v>726</v>
      </c>
      <c r="H188" s="22" t="s">
        <v>725</v>
      </c>
      <c r="I188" s="350"/>
    </row>
    <row r="189" spans="1:9" ht="15.75" customHeight="1">
      <c r="A189" s="79">
        <v>147</v>
      </c>
      <c r="B189" s="323"/>
      <c r="C189" s="323"/>
      <c r="D189" s="22" t="s">
        <v>730</v>
      </c>
      <c r="E189" s="22" t="s">
        <v>729</v>
      </c>
      <c r="F189" s="22" t="s">
        <v>731</v>
      </c>
      <c r="G189" s="22" t="s">
        <v>730</v>
      </c>
      <c r="H189" s="22" t="s">
        <v>729</v>
      </c>
      <c r="I189" s="350"/>
    </row>
    <row r="190" spans="1:9" ht="15.75" customHeight="1">
      <c r="A190" s="79">
        <v>148</v>
      </c>
      <c r="B190" s="323"/>
      <c r="C190" s="323"/>
      <c r="D190" s="22" t="s">
        <v>734</v>
      </c>
      <c r="E190" s="22" t="s">
        <v>733</v>
      </c>
      <c r="F190" s="22">
        <v>1111061211</v>
      </c>
      <c r="G190" s="22" t="s">
        <v>734</v>
      </c>
      <c r="H190" s="22" t="s">
        <v>733</v>
      </c>
      <c r="I190" s="350"/>
    </row>
    <row r="191" spans="1:9" ht="15.75" customHeight="1">
      <c r="A191" s="79">
        <v>149</v>
      </c>
      <c r="B191" s="323"/>
      <c r="C191" s="323"/>
      <c r="D191" s="22" t="s">
        <v>737</v>
      </c>
      <c r="E191" s="22" t="s">
        <v>736</v>
      </c>
      <c r="F191" s="22">
        <v>1111061212</v>
      </c>
      <c r="G191" s="22" t="s">
        <v>737</v>
      </c>
      <c r="H191" s="22" t="s">
        <v>736</v>
      </c>
      <c r="I191" s="350"/>
    </row>
    <row r="192" spans="1:9" ht="15.75" customHeight="1">
      <c r="A192" s="79">
        <v>150</v>
      </c>
      <c r="B192" s="323"/>
      <c r="C192" s="323"/>
      <c r="D192" s="22" t="s">
        <v>740</v>
      </c>
      <c r="E192" s="22" t="s">
        <v>739</v>
      </c>
      <c r="F192" s="22" t="s">
        <v>741</v>
      </c>
      <c r="G192" s="22" t="s">
        <v>740</v>
      </c>
      <c r="H192" s="22" t="s">
        <v>739</v>
      </c>
      <c r="I192" s="350"/>
    </row>
    <row r="193" spans="1:9" ht="15.75" customHeight="1">
      <c r="A193" s="79">
        <v>151</v>
      </c>
      <c r="B193" s="324"/>
      <c r="C193" s="324"/>
      <c r="D193" s="22" t="s">
        <v>744</v>
      </c>
      <c r="E193" s="22" t="s">
        <v>743</v>
      </c>
      <c r="F193" s="22">
        <v>1111061001</v>
      </c>
      <c r="G193" s="22" t="s">
        <v>744</v>
      </c>
      <c r="H193" s="22" t="s">
        <v>743</v>
      </c>
      <c r="I193" s="351"/>
    </row>
    <row r="194" spans="1:9" ht="15.75" customHeight="1">
      <c r="A194" s="79">
        <v>152</v>
      </c>
      <c r="B194" s="329" t="s">
        <v>1966</v>
      </c>
      <c r="C194" s="327" t="s">
        <v>1966</v>
      </c>
      <c r="D194" s="22" t="s">
        <v>747</v>
      </c>
      <c r="E194" s="22" t="s">
        <v>748</v>
      </c>
      <c r="F194" s="22" t="s">
        <v>749</v>
      </c>
      <c r="G194" s="22" t="s">
        <v>747</v>
      </c>
      <c r="H194" s="22" t="s">
        <v>748</v>
      </c>
      <c r="I194" s="412" t="s">
        <v>749</v>
      </c>
    </row>
    <row r="195" spans="1:9" ht="15.75" customHeight="1">
      <c r="A195" s="79">
        <v>153</v>
      </c>
      <c r="B195" s="323"/>
      <c r="C195" s="323"/>
      <c r="D195" s="22" t="s">
        <v>754</v>
      </c>
      <c r="E195" s="22" t="s">
        <v>755</v>
      </c>
      <c r="F195" s="22" t="s">
        <v>749</v>
      </c>
      <c r="G195" s="22" t="s">
        <v>754</v>
      </c>
      <c r="H195" s="22" t="s">
        <v>755</v>
      </c>
      <c r="I195" s="350"/>
    </row>
    <row r="196" spans="1:9" ht="15.75" customHeight="1">
      <c r="A196" s="79">
        <v>154</v>
      </c>
      <c r="B196" s="323"/>
      <c r="C196" s="323"/>
      <c r="D196" s="22" t="s">
        <v>758</v>
      </c>
      <c r="E196" s="22" t="s">
        <v>759</v>
      </c>
      <c r="F196" s="22" t="s">
        <v>760</v>
      </c>
      <c r="G196" s="22" t="s">
        <v>758</v>
      </c>
      <c r="H196" s="22" t="s">
        <v>759</v>
      </c>
      <c r="I196" s="350"/>
    </row>
    <row r="197" spans="1:9" ht="15.75" customHeight="1">
      <c r="A197" s="79">
        <v>155</v>
      </c>
      <c r="B197" s="323"/>
      <c r="C197" s="323"/>
      <c r="D197" s="22" t="s">
        <v>763</v>
      </c>
      <c r="E197" s="22" t="s">
        <v>764</v>
      </c>
      <c r="F197" s="22" t="s">
        <v>760</v>
      </c>
      <c r="G197" s="22" t="s">
        <v>763</v>
      </c>
      <c r="H197" s="22" t="s">
        <v>764</v>
      </c>
      <c r="I197" s="350"/>
    </row>
    <row r="198" spans="1:9" ht="15.75" customHeight="1">
      <c r="A198" s="79">
        <v>156</v>
      </c>
      <c r="B198" s="323"/>
      <c r="C198" s="323"/>
      <c r="D198" s="22" t="s">
        <v>767</v>
      </c>
      <c r="E198" s="22" t="s">
        <v>768</v>
      </c>
      <c r="F198" s="22" t="s">
        <v>760</v>
      </c>
      <c r="G198" s="22" t="s">
        <v>767</v>
      </c>
      <c r="H198" s="22" t="s">
        <v>768</v>
      </c>
      <c r="I198" s="350"/>
    </row>
    <row r="199" spans="1:9" ht="15.75" customHeight="1">
      <c r="A199" s="79">
        <v>157</v>
      </c>
      <c r="B199" s="323"/>
      <c r="C199" s="323"/>
      <c r="D199" s="22" t="s">
        <v>771</v>
      </c>
      <c r="E199" s="22" t="s">
        <v>772</v>
      </c>
      <c r="F199" s="22" t="s">
        <v>760</v>
      </c>
      <c r="G199" s="22" t="s">
        <v>771</v>
      </c>
      <c r="H199" s="22" t="s">
        <v>772</v>
      </c>
      <c r="I199" s="350"/>
    </row>
    <row r="200" spans="1:9" ht="15.75" customHeight="1">
      <c r="A200" s="79">
        <v>158</v>
      </c>
      <c r="B200" s="324"/>
      <c r="C200" s="324"/>
      <c r="D200" s="22" t="s">
        <v>774</v>
      </c>
      <c r="E200" s="22" t="s">
        <v>773</v>
      </c>
      <c r="F200" s="22">
        <v>1111120003</v>
      </c>
      <c r="G200" s="22" t="s">
        <v>774</v>
      </c>
      <c r="H200" s="22" t="s">
        <v>773</v>
      </c>
      <c r="I200" s="351"/>
    </row>
    <row r="201" spans="1:9" ht="15.75" customHeight="1">
      <c r="A201" s="79">
        <v>159</v>
      </c>
      <c r="B201" s="326" t="s">
        <v>779</v>
      </c>
      <c r="C201" s="327" t="s">
        <v>1967</v>
      </c>
      <c r="D201" s="6" t="s">
        <v>786</v>
      </c>
      <c r="E201" s="6" t="s">
        <v>785</v>
      </c>
      <c r="F201" s="6">
        <v>1111062101</v>
      </c>
      <c r="G201" s="6" t="s">
        <v>786</v>
      </c>
      <c r="H201" s="6" t="s">
        <v>785</v>
      </c>
      <c r="I201" s="410">
        <v>1111062102</v>
      </c>
    </row>
    <row r="202" spans="1:9" ht="15.75" customHeight="1">
      <c r="A202" s="79">
        <v>160</v>
      </c>
      <c r="B202" s="323"/>
      <c r="C202" s="323"/>
      <c r="D202" s="6" t="s">
        <v>791</v>
      </c>
      <c r="E202" s="6" t="s">
        <v>790</v>
      </c>
      <c r="F202" s="6">
        <v>1111062102</v>
      </c>
      <c r="G202" s="6" t="s">
        <v>791</v>
      </c>
      <c r="H202" s="6" t="s">
        <v>790</v>
      </c>
      <c r="I202" s="350"/>
    </row>
    <row r="203" spans="1:9" ht="15.75" customHeight="1">
      <c r="A203" s="79">
        <v>161</v>
      </c>
      <c r="B203" s="323"/>
      <c r="C203" s="323"/>
      <c r="D203" s="6" t="s">
        <v>794</v>
      </c>
      <c r="E203" s="6" t="s">
        <v>793</v>
      </c>
      <c r="F203" s="6">
        <v>1111062103</v>
      </c>
      <c r="G203" s="6" t="s">
        <v>794</v>
      </c>
      <c r="H203" s="6" t="s">
        <v>793</v>
      </c>
      <c r="I203" s="350"/>
    </row>
    <row r="204" spans="1:9" ht="15.75" customHeight="1">
      <c r="A204" s="79">
        <v>162</v>
      </c>
      <c r="B204" s="323"/>
      <c r="C204" s="323"/>
      <c r="D204" s="6" t="s">
        <v>797</v>
      </c>
      <c r="E204" s="6" t="s">
        <v>796</v>
      </c>
      <c r="F204" s="6">
        <v>1111062202</v>
      </c>
      <c r="G204" s="6" t="s">
        <v>797</v>
      </c>
      <c r="H204" s="6" t="s">
        <v>796</v>
      </c>
      <c r="I204" s="350"/>
    </row>
    <row r="205" spans="1:9" ht="15.75" customHeight="1">
      <c r="A205" s="79">
        <v>163</v>
      </c>
      <c r="B205" s="323"/>
      <c r="C205" s="324"/>
      <c r="D205" s="6" t="s">
        <v>800</v>
      </c>
      <c r="E205" s="6" t="s">
        <v>799</v>
      </c>
      <c r="F205" s="6">
        <v>1111062203</v>
      </c>
      <c r="G205" s="6" t="s">
        <v>800</v>
      </c>
      <c r="H205" s="6" t="s">
        <v>799</v>
      </c>
      <c r="I205" s="351"/>
    </row>
    <row r="206" spans="1:9" ht="15.75" customHeight="1">
      <c r="A206" s="79">
        <v>164</v>
      </c>
      <c r="B206" s="323"/>
      <c r="C206" s="328" t="s">
        <v>1969</v>
      </c>
      <c r="D206" s="6" t="s">
        <v>801</v>
      </c>
      <c r="E206" s="6" t="s">
        <v>802</v>
      </c>
      <c r="F206" s="6">
        <v>1111062303</v>
      </c>
      <c r="G206" s="6" t="s">
        <v>801</v>
      </c>
      <c r="H206" s="6" t="s">
        <v>802</v>
      </c>
      <c r="I206" s="410">
        <v>1111062303</v>
      </c>
    </row>
    <row r="207" spans="1:9" ht="15.75" customHeight="1">
      <c r="A207" s="79">
        <v>165</v>
      </c>
      <c r="B207" s="323"/>
      <c r="C207" s="323"/>
      <c r="D207" s="6" t="s">
        <v>803</v>
      </c>
      <c r="E207" s="6" t="s">
        <v>804</v>
      </c>
      <c r="F207" s="6">
        <v>1111062304</v>
      </c>
      <c r="G207" s="6" t="s">
        <v>803</v>
      </c>
      <c r="H207" s="6" t="s">
        <v>804</v>
      </c>
      <c r="I207" s="350"/>
    </row>
    <row r="208" spans="1:9" ht="15.75" customHeight="1">
      <c r="A208" s="79">
        <v>166</v>
      </c>
      <c r="B208" s="323"/>
      <c r="C208" s="323"/>
      <c r="D208" s="6" t="s">
        <v>805</v>
      </c>
      <c r="E208" s="6" t="s">
        <v>806</v>
      </c>
      <c r="F208" s="6">
        <v>1111062305</v>
      </c>
      <c r="G208" s="6" t="s">
        <v>805</v>
      </c>
      <c r="H208" s="6" t="s">
        <v>806</v>
      </c>
      <c r="I208" s="350"/>
    </row>
    <row r="209" spans="1:9" ht="15.75" customHeight="1">
      <c r="A209" s="79">
        <v>167</v>
      </c>
      <c r="B209" s="323"/>
      <c r="C209" s="323"/>
      <c r="D209" s="6" t="s">
        <v>807</v>
      </c>
      <c r="E209" s="6" t="s">
        <v>808</v>
      </c>
      <c r="F209" s="6">
        <v>1111062306</v>
      </c>
      <c r="G209" s="6" t="s">
        <v>807</v>
      </c>
      <c r="H209" s="6" t="s">
        <v>808</v>
      </c>
      <c r="I209" s="350"/>
    </row>
    <row r="210" spans="1:9" ht="15.75" customHeight="1">
      <c r="A210" s="79">
        <v>168</v>
      </c>
      <c r="B210" s="323"/>
      <c r="C210" s="323"/>
      <c r="D210" s="6" t="s">
        <v>809</v>
      </c>
      <c r="E210" s="6" t="s">
        <v>810</v>
      </c>
      <c r="F210" s="6">
        <v>1111062307</v>
      </c>
      <c r="G210" s="6" t="s">
        <v>809</v>
      </c>
      <c r="H210" s="6" t="s">
        <v>810</v>
      </c>
      <c r="I210" s="350"/>
    </row>
    <row r="211" spans="1:9" ht="15.75" customHeight="1">
      <c r="A211" s="79">
        <v>169</v>
      </c>
      <c r="B211" s="323"/>
      <c r="C211" s="323"/>
      <c r="D211" s="6" t="s">
        <v>811</v>
      </c>
      <c r="E211" s="6" t="s">
        <v>812</v>
      </c>
      <c r="F211" s="6">
        <v>1111062308</v>
      </c>
      <c r="G211" s="6" t="s">
        <v>811</v>
      </c>
      <c r="H211" s="6" t="s">
        <v>812</v>
      </c>
      <c r="I211" s="350"/>
    </row>
    <row r="212" spans="1:9" ht="15.75" customHeight="1">
      <c r="A212" s="79">
        <v>170</v>
      </c>
      <c r="B212" s="323"/>
      <c r="C212" s="323"/>
      <c r="D212" s="6" t="s">
        <v>813</v>
      </c>
      <c r="E212" s="6" t="s">
        <v>814</v>
      </c>
      <c r="F212" s="6">
        <v>1111062309</v>
      </c>
      <c r="G212" s="6" t="s">
        <v>813</v>
      </c>
      <c r="H212" s="6" t="s">
        <v>814</v>
      </c>
      <c r="I212" s="350"/>
    </row>
    <row r="213" spans="1:9" ht="15.75" customHeight="1">
      <c r="A213" s="79">
        <v>171</v>
      </c>
      <c r="B213" s="323"/>
      <c r="C213" s="323"/>
      <c r="D213" s="6" t="s">
        <v>815</v>
      </c>
      <c r="E213" s="6" t="s">
        <v>816</v>
      </c>
      <c r="F213" s="6">
        <v>1111062310</v>
      </c>
      <c r="G213" s="6" t="s">
        <v>815</v>
      </c>
      <c r="H213" s="6" t="s">
        <v>816</v>
      </c>
      <c r="I213" s="350"/>
    </row>
    <row r="214" spans="1:9" ht="15.75" customHeight="1">
      <c r="A214" s="79">
        <v>172</v>
      </c>
      <c r="B214" s="323"/>
      <c r="C214" s="323"/>
      <c r="D214" s="6" t="s">
        <v>817</v>
      </c>
      <c r="E214" s="6" t="s">
        <v>818</v>
      </c>
      <c r="F214" s="6">
        <v>1111062311</v>
      </c>
      <c r="G214" s="6" t="s">
        <v>817</v>
      </c>
      <c r="H214" s="6" t="s">
        <v>818</v>
      </c>
      <c r="I214" s="350"/>
    </row>
    <row r="215" spans="1:9" ht="15.75" customHeight="1">
      <c r="A215" s="79">
        <v>173</v>
      </c>
      <c r="B215" s="323"/>
      <c r="C215" s="323"/>
      <c r="D215" s="6" t="s">
        <v>819</v>
      </c>
      <c r="E215" s="6" t="s">
        <v>820</v>
      </c>
      <c r="F215" s="6">
        <v>1111062312</v>
      </c>
      <c r="G215" s="6" t="s">
        <v>819</v>
      </c>
      <c r="H215" s="6" t="s">
        <v>820</v>
      </c>
      <c r="I215" s="350"/>
    </row>
    <row r="216" spans="1:9" ht="15.75" customHeight="1">
      <c r="A216" s="79">
        <v>174</v>
      </c>
      <c r="B216" s="323"/>
      <c r="C216" s="323"/>
      <c r="D216" s="6" t="s">
        <v>821</v>
      </c>
      <c r="E216" s="6" t="s">
        <v>822</v>
      </c>
      <c r="F216" s="6">
        <v>1111062313</v>
      </c>
      <c r="G216" s="6" t="s">
        <v>821</v>
      </c>
      <c r="H216" s="6" t="s">
        <v>822</v>
      </c>
      <c r="I216" s="350"/>
    </row>
    <row r="217" spans="1:9" ht="15.75" customHeight="1">
      <c r="A217" s="79">
        <v>175</v>
      </c>
      <c r="B217" s="323"/>
      <c r="C217" s="323"/>
      <c r="D217" s="6" t="s">
        <v>823</v>
      </c>
      <c r="E217" s="6" t="s">
        <v>824</v>
      </c>
      <c r="F217" s="6">
        <v>1111062314</v>
      </c>
      <c r="G217" s="6" t="s">
        <v>823</v>
      </c>
      <c r="H217" s="6" t="s">
        <v>824</v>
      </c>
      <c r="I217" s="350"/>
    </row>
    <row r="218" spans="1:9" ht="15.75" customHeight="1">
      <c r="A218" s="79">
        <v>176</v>
      </c>
      <c r="B218" s="323"/>
      <c r="C218" s="323"/>
      <c r="D218" s="6" t="s">
        <v>825</v>
      </c>
      <c r="E218" s="6" t="s">
        <v>826</v>
      </c>
      <c r="F218" s="6">
        <v>1111062401</v>
      </c>
      <c r="G218" s="6" t="s">
        <v>825</v>
      </c>
      <c r="H218" s="6" t="s">
        <v>826</v>
      </c>
      <c r="I218" s="350"/>
    </row>
    <row r="219" spans="1:9" ht="15.75" customHeight="1">
      <c r="A219" s="79">
        <v>177</v>
      </c>
      <c r="B219" s="323"/>
      <c r="C219" s="323"/>
      <c r="D219" s="6" t="s">
        <v>827</v>
      </c>
      <c r="E219" s="6" t="s">
        <v>828</v>
      </c>
      <c r="F219" s="6">
        <v>1111062402</v>
      </c>
      <c r="G219" s="6" t="s">
        <v>827</v>
      </c>
      <c r="H219" s="6" t="s">
        <v>828</v>
      </c>
      <c r="I219" s="350"/>
    </row>
    <row r="220" spans="1:9" ht="15.75" customHeight="1">
      <c r="A220" s="79">
        <v>178</v>
      </c>
      <c r="B220" s="323"/>
      <c r="C220" s="323"/>
      <c r="D220" s="6" t="s">
        <v>829</v>
      </c>
      <c r="E220" s="6" t="s">
        <v>830</v>
      </c>
      <c r="F220" s="6">
        <v>1111062403</v>
      </c>
      <c r="G220" s="6" t="s">
        <v>829</v>
      </c>
      <c r="H220" s="6" t="s">
        <v>830</v>
      </c>
      <c r="I220" s="350"/>
    </row>
    <row r="221" spans="1:9" ht="15.75" customHeight="1">
      <c r="A221" s="79">
        <v>179</v>
      </c>
      <c r="B221" s="323"/>
      <c r="C221" s="323"/>
      <c r="D221" s="6" t="s">
        <v>831</v>
      </c>
      <c r="E221" s="6" t="s">
        <v>832</v>
      </c>
      <c r="F221" s="6">
        <v>1111062404</v>
      </c>
      <c r="G221" s="6" t="s">
        <v>831</v>
      </c>
      <c r="H221" s="6" t="s">
        <v>832</v>
      </c>
      <c r="I221" s="350"/>
    </row>
    <row r="222" spans="1:9" ht="15.75" customHeight="1">
      <c r="A222" s="79">
        <v>180</v>
      </c>
      <c r="B222" s="323"/>
      <c r="C222" s="323"/>
      <c r="D222" s="6" t="s">
        <v>833</v>
      </c>
      <c r="E222" s="6" t="s">
        <v>834</v>
      </c>
      <c r="F222" s="6">
        <v>1111062405</v>
      </c>
      <c r="G222" s="6" t="s">
        <v>833</v>
      </c>
      <c r="H222" s="6" t="s">
        <v>834</v>
      </c>
      <c r="I222" s="350"/>
    </row>
    <row r="223" spans="1:9" ht="15.75" customHeight="1">
      <c r="A223" s="79">
        <v>181</v>
      </c>
      <c r="B223" s="323"/>
      <c r="C223" s="323"/>
      <c r="D223" s="6" t="s">
        <v>835</v>
      </c>
      <c r="E223" s="6" t="s">
        <v>836</v>
      </c>
      <c r="F223" s="6">
        <v>1111062406</v>
      </c>
      <c r="G223" s="6" t="s">
        <v>835</v>
      </c>
      <c r="H223" s="6" t="s">
        <v>836</v>
      </c>
      <c r="I223" s="350"/>
    </row>
    <row r="224" spans="1:9" ht="15.75" customHeight="1">
      <c r="A224" s="79">
        <v>182</v>
      </c>
      <c r="B224" s="323"/>
      <c r="C224" s="323"/>
      <c r="D224" s="6" t="s">
        <v>837</v>
      </c>
      <c r="E224" s="6" t="s">
        <v>838</v>
      </c>
      <c r="F224" s="6">
        <v>1111062407</v>
      </c>
      <c r="G224" s="6" t="s">
        <v>837</v>
      </c>
      <c r="H224" s="6" t="s">
        <v>838</v>
      </c>
      <c r="I224" s="350"/>
    </row>
    <row r="225" spans="1:9" ht="15.75" customHeight="1">
      <c r="A225" s="79">
        <v>183</v>
      </c>
      <c r="B225" s="323"/>
      <c r="C225" s="323"/>
      <c r="D225" s="6" t="s">
        <v>839</v>
      </c>
      <c r="E225" s="6" t="s">
        <v>840</v>
      </c>
      <c r="F225" s="6">
        <v>1111062408</v>
      </c>
      <c r="G225" s="6" t="s">
        <v>839</v>
      </c>
      <c r="H225" s="6" t="s">
        <v>840</v>
      </c>
      <c r="I225" s="350"/>
    </row>
    <row r="226" spans="1:9" ht="15.75" customHeight="1">
      <c r="A226" s="79">
        <v>184</v>
      </c>
      <c r="B226" s="323"/>
      <c r="C226" s="323"/>
      <c r="D226" s="6" t="s">
        <v>841</v>
      </c>
      <c r="E226" s="6" t="s">
        <v>842</v>
      </c>
      <c r="F226" s="6">
        <v>1111062409</v>
      </c>
      <c r="G226" s="6" t="s">
        <v>841</v>
      </c>
      <c r="H226" s="6" t="s">
        <v>842</v>
      </c>
      <c r="I226" s="350"/>
    </row>
    <row r="227" spans="1:9" ht="15.75" customHeight="1">
      <c r="A227" s="79">
        <v>185</v>
      </c>
      <c r="B227" s="323"/>
      <c r="C227" s="323"/>
      <c r="D227" s="6" t="s">
        <v>843</v>
      </c>
      <c r="E227" s="6" t="s">
        <v>844</v>
      </c>
      <c r="F227" s="6">
        <v>1111062410</v>
      </c>
      <c r="G227" s="6" t="s">
        <v>843</v>
      </c>
      <c r="H227" s="6" t="s">
        <v>844</v>
      </c>
      <c r="I227" s="350"/>
    </row>
    <row r="228" spans="1:9" ht="15.75" customHeight="1">
      <c r="A228" s="79">
        <v>186</v>
      </c>
      <c r="B228" s="323"/>
      <c r="C228" s="323"/>
      <c r="D228" s="6" t="s">
        <v>845</v>
      </c>
      <c r="E228" s="6" t="s">
        <v>846</v>
      </c>
      <c r="F228" s="6">
        <v>1111062411</v>
      </c>
      <c r="G228" s="6" t="s">
        <v>845</v>
      </c>
      <c r="H228" s="6" t="s">
        <v>846</v>
      </c>
      <c r="I228" s="350"/>
    </row>
    <row r="229" spans="1:9" ht="15.75" customHeight="1">
      <c r="A229" s="79">
        <v>187</v>
      </c>
      <c r="B229" s="324"/>
      <c r="C229" s="324"/>
      <c r="D229" s="6" t="s">
        <v>847</v>
      </c>
      <c r="E229" s="6" t="s">
        <v>848</v>
      </c>
      <c r="F229" s="6">
        <v>1111062412</v>
      </c>
      <c r="G229" s="6" t="s">
        <v>847</v>
      </c>
      <c r="H229" s="6" t="s">
        <v>848</v>
      </c>
      <c r="I229" s="351"/>
    </row>
    <row r="230" spans="1:9" ht="15.75" customHeight="1">
      <c r="A230" s="79">
        <v>188</v>
      </c>
      <c r="B230" s="331" t="s">
        <v>1972</v>
      </c>
      <c r="C230" s="327" t="s">
        <v>465</v>
      </c>
      <c r="D230" s="6" t="s">
        <v>852</v>
      </c>
      <c r="E230" s="6" t="s">
        <v>851</v>
      </c>
      <c r="F230" s="6" t="s">
        <v>853</v>
      </c>
      <c r="G230" s="6" t="s">
        <v>852</v>
      </c>
      <c r="H230" s="6" t="s">
        <v>851</v>
      </c>
      <c r="I230" s="169" t="s">
        <v>853</v>
      </c>
    </row>
    <row r="231" spans="1:9" ht="15.75" customHeight="1">
      <c r="A231" s="79">
        <v>189</v>
      </c>
      <c r="B231" s="323"/>
      <c r="C231" s="323"/>
      <c r="D231" s="6" t="s">
        <v>862</v>
      </c>
      <c r="E231" s="6" t="s">
        <v>861</v>
      </c>
      <c r="F231" s="6" t="s">
        <v>863</v>
      </c>
      <c r="G231" s="6" t="s">
        <v>862</v>
      </c>
      <c r="H231" s="6" t="s">
        <v>861</v>
      </c>
      <c r="I231" s="169" t="s">
        <v>863</v>
      </c>
    </row>
    <row r="232" spans="1:9" ht="15.75" customHeight="1">
      <c r="A232" s="79">
        <v>190</v>
      </c>
      <c r="B232" s="323"/>
      <c r="C232" s="323"/>
      <c r="D232" s="6" t="s">
        <v>858</v>
      </c>
      <c r="E232" s="6" t="s">
        <v>857</v>
      </c>
      <c r="F232" s="6" t="s">
        <v>859</v>
      </c>
      <c r="G232" s="6" t="s">
        <v>858</v>
      </c>
      <c r="H232" s="6" t="s">
        <v>857</v>
      </c>
      <c r="I232" s="410">
        <v>1111091006</v>
      </c>
    </row>
    <row r="233" spans="1:9" ht="15.75" customHeight="1">
      <c r="A233" s="79">
        <v>191</v>
      </c>
      <c r="B233" s="323"/>
      <c r="C233" s="323"/>
      <c r="D233" s="6" t="s">
        <v>866</v>
      </c>
      <c r="E233" s="6" t="s">
        <v>865</v>
      </c>
      <c r="F233" s="6" t="s">
        <v>867</v>
      </c>
      <c r="G233" s="6" t="s">
        <v>866</v>
      </c>
      <c r="H233" s="6" t="s">
        <v>865</v>
      </c>
      <c r="I233" s="350"/>
    </row>
    <row r="234" spans="1:9" ht="15.75" customHeight="1">
      <c r="A234" s="79">
        <v>192</v>
      </c>
      <c r="B234" s="323"/>
      <c r="C234" s="323"/>
      <c r="D234" s="6" t="s">
        <v>870</v>
      </c>
      <c r="E234" s="6" t="s">
        <v>869</v>
      </c>
      <c r="F234" s="6">
        <v>1111091006</v>
      </c>
      <c r="G234" s="6" t="s">
        <v>870</v>
      </c>
      <c r="H234" s="6" t="s">
        <v>869</v>
      </c>
      <c r="I234" s="350"/>
    </row>
    <row r="235" spans="1:9" ht="15.75" customHeight="1">
      <c r="A235" s="79">
        <v>193</v>
      </c>
      <c r="B235" s="323"/>
      <c r="C235" s="324"/>
      <c r="D235" s="6" t="s">
        <v>871</v>
      </c>
      <c r="E235" s="6" t="s">
        <v>872</v>
      </c>
      <c r="F235" s="6">
        <v>1111091007</v>
      </c>
      <c r="G235" s="6" t="s">
        <v>871</v>
      </c>
      <c r="H235" s="6" t="s">
        <v>872</v>
      </c>
      <c r="I235" s="351"/>
    </row>
    <row r="236" spans="1:9" ht="15.75" customHeight="1">
      <c r="A236" s="79">
        <v>194</v>
      </c>
      <c r="B236" s="323"/>
      <c r="C236" s="327" t="s">
        <v>1984</v>
      </c>
      <c r="D236" s="6" t="s">
        <v>875</v>
      </c>
      <c r="E236" s="6" t="s">
        <v>874</v>
      </c>
      <c r="F236" s="6" t="s">
        <v>876</v>
      </c>
      <c r="G236" s="6" t="s">
        <v>875</v>
      </c>
      <c r="H236" s="6" t="s">
        <v>874</v>
      </c>
      <c r="I236" s="410" t="s">
        <v>876</v>
      </c>
    </row>
    <row r="237" spans="1:9" ht="15.75" customHeight="1">
      <c r="A237" s="79">
        <v>195</v>
      </c>
      <c r="B237" s="323"/>
      <c r="C237" s="323"/>
      <c r="D237" s="6" t="s">
        <v>879</v>
      </c>
      <c r="E237" s="6" t="s">
        <v>878</v>
      </c>
      <c r="F237" s="6" t="s">
        <v>880</v>
      </c>
      <c r="G237" s="6" t="s">
        <v>879</v>
      </c>
      <c r="H237" s="6" t="s">
        <v>878</v>
      </c>
      <c r="I237" s="350"/>
    </row>
    <row r="238" spans="1:9" ht="15.75" customHeight="1">
      <c r="A238" s="79">
        <v>196</v>
      </c>
      <c r="B238" s="323"/>
      <c r="C238" s="323"/>
      <c r="D238" s="6" t="s">
        <v>883</v>
      </c>
      <c r="E238" s="6" t="s">
        <v>882</v>
      </c>
      <c r="F238" s="6" t="s">
        <v>884</v>
      </c>
      <c r="G238" s="6" t="s">
        <v>883</v>
      </c>
      <c r="H238" s="6" t="s">
        <v>882</v>
      </c>
      <c r="I238" s="350"/>
    </row>
    <row r="239" spans="1:9" ht="15.75" customHeight="1">
      <c r="A239" s="79">
        <v>197</v>
      </c>
      <c r="B239" s="323"/>
      <c r="C239" s="323"/>
      <c r="D239" s="6" t="s">
        <v>887</v>
      </c>
      <c r="E239" s="6" t="s">
        <v>886</v>
      </c>
      <c r="F239" s="6" t="s">
        <v>888</v>
      </c>
      <c r="G239" s="6" t="s">
        <v>887</v>
      </c>
      <c r="H239" s="6" t="s">
        <v>886</v>
      </c>
      <c r="I239" s="350"/>
    </row>
    <row r="240" spans="1:9" ht="15.75" customHeight="1">
      <c r="A240" s="79">
        <v>198</v>
      </c>
      <c r="B240" s="323"/>
      <c r="C240" s="323"/>
      <c r="D240" s="6" t="s">
        <v>891</v>
      </c>
      <c r="E240" s="6" t="s">
        <v>890</v>
      </c>
      <c r="F240" s="6" t="s">
        <v>892</v>
      </c>
      <c r="G240" s="6" t="s">
        <v>891</v>
      </c>
      <c r="H240" s="6" t="s">
        <v>890</v>
      </c>
      <c r="I240" s="350"/>
    </row>
    <row r="241" spans="1:9" ht="15.75" customHeight="1">
      <c r="A241" s="79">
        <v>199</v>
      </c>
      <c r="B241" s="323"/>
      <c r="C241" s="323"/>
      <c r="D241" s="6" t="s">
        <v>895</v>
      </c>
      <c r="E241" s="6" t="s">
        <v>894</v>
      </c>
      <c r="F241" s="6" t="s">
        <v>896</v>
      </c>
      <c r="G241" s="6" t="s">
        <v>895</v>
      </c>
      <c r="H241" s="6" t="s">
        <v>894</v>
      </c>
      <c r="I241" s="350"/>
    </row>
    <row r="242" spans="1:9" ht="15.75" customHeight="1">
      <c r="A242" s="79">
        <v>200</v>
      </c>
      <c r="B242" s="323"/>
      <c r="C242" s="323"/>
      <c r="D242" s="6" t="s">
        <v>899</v>
      </c>
      <c r="E242" s="6" t="s">
        <v>898</v>
      </c>
      <c r="F242" s="6" t="s">
        <v>900</v>
      </c>
      <c r="G242" s="6" t="s">
        <v>899</v>
      </c>
      <c r="H242" s="6" t="s">
        <v>898</v>
      </c>
      <c r="I242" s="350"/>
    </row>
    <row r="243" spans="1:9" ht="15.75" customHeight="1">
      <c r="A243" s="79">
        <v>201</v>
      </c>
      <c r="B243" s="323"/>
      <c r="C243" s="323"/>
      <c r="D243" s="6" t="s">
        <v>903</v>
      </c>
      <c r="E243" s="6" t="s">
        <v>902</v>
      </c>
      <c r="F243" s="6" t="s">
        <v>904</v>
      </c>
      <c r="G243" s="6" t="s">
        <v>903</v>
      </c>
      <c r="H243" s="6" t="s">
        <v>902</v>
      </c>
      <c r="I243" s="350"/>
    </row>
    <row r="244" spans="1:9" ht="15.75" customHeight="1">
      <c r="A244" s="79">
        <v>202</v>
      </c>
      <c r="B244" s="324"/>
      <c r="C244" s="324"/>
      <c r="D244" s="6" t="s">
        <v>907</v>
      </c>
      <c r="E244" s="6" t="s">
        <v>906</v>
      </c>
      <c r="F244" s="6" t="s">
        <v>908</v>
      </c>
      <c r="G244" s="6" t="s">
        <v>907</v>
      </c>
      <c r="H244" s="6" t="s">
        <v>906</v>
      </c>
      <c r="I244" s="351"/>
    </row>
    <row r="245" spans="1:9" ht="15.75" customHeight="1">
      <c r="A245" s="79">
        <v>203</v>
      </c>
      <c r="B245" s="326" t="s">
        <v>1987</v>
      </c>
      <c r="C245" s="330" t="s">
        <v>917</v>
      </c>
      <c r="D245" s="6" t="s">
        <v>920</v>
      </c>
      <c r="E245" s="6" t="s">
        <v>921</v>
      </c>
      <c r="F245" s="6" t="s">
        <v>922</v>
      </c>
      <c r="G245" s="6" t="s">
        <v>920</v>
      </c>
      <c r="H245" s="6" t="s">
        <v>921</v>
      </c>
      <c r="I245" s="410" t="s">
        <v>922</v>
      </c>
    </row>
    <row r="246" spans="1:9" ht="15.75" customHeight="1">
      <c r="A246" s="79">
        <v>204</v>
      </c>
      <c r="B246" s="323"/>
      <c r="C246" s="323"/>
      <c r="D246" s="6" t="s">
        <v>926</v>
      </c>
      <c r="E246" s="6" t="s">
        <v>2252</v>
      </c>
      <c r="F246" s="6" t="s">
        <v>922</v>
      </c>
      <c r="G246" s="6" t="s">
        <v>926</v>
      </c>
      <c r="H246" s="6" t="s">
        <v>2252</v>
      </c>
      <c r="I246" s="350"/>
    </row>
    <row r="247" spans="1:9" ht="15.75" customHeight="1">
      <c r="A247" s="79">
        <v>205</v>
      </c>
      <c r="B247" s="323"/>
      <c r="C247" s="323"/>
      <c r="D247" s="6" t="s">
        <v>930</v>
      </c>
      <c r="E247" s="6" t="s">
        <v>2253</v>
      </c>
      <c r="F247" s="6" t="s">
        <v>922</v>
      </c>
      <c r="G247" s="6" t="s">
        <v>930</v>
      </c>
      <c r="H247" s="6" t="s">
        <v>2253</v>
      </c>
      <c r="I247" s="350"/>
    </row>
    <row r="248" spans="1:9" ht="15.75" customHeight="1">
      <c r="A248" s="79">
        <v>206</v>
      </c>
      <c r="B248" s="323"/>
      <c r="C248" s="323"/>
      <c r="D248" s="6" t="s">
        <v>934</v>
      </c>
      <c r="E248" s="6" t="s">
        <v>2254</v>
      </c>
      <c r="F248" s="6" t="s">
        <v>922</v>
      </c>
      <c r="G248" s="6" t="s">
        <v>934</v>
      </c>
      <c r="H248" s="6" t="s">
        <v>2254</v>
      </c>
      <c r="I248" s="350"/>
    </row>
    <row r="249" spans="1:9" ht="15.75" customHeight="1">
      <c r="A249" s="79">
        <v>207</v>
      </c>
      <c r="B249" s="323"/>
      <c r="C249" s="323"/>
      <c r="D249" s="6" t="s">
        <v>938</v>
      </c>
      <c r="E249" s="6" t="s">
        <v>2255</v>
      </c>
      <c r="F249" s="6" t="s">
        <v>922</v>
      </c>
      <c r="G249" s="6" t="s">
        <v>938</v>
      </c>
      <c r="H249" s="6" t="s">
        <v>2255</v>
      </c>
      <c r="I249" s="350"/>
    </row>
    <row r="250" spans="1:9" ht="15.75" customHeight="1">
      <c r="A250" s="79">
        <v>208</v>
      </c>
      <c r="B250" s="323"/>
      <c r="C250" s="323"/>
      <c r="D250" s="6" t="s">
        <v>942</v>
      </c>
      <c r="E250" s="27" t="s">
        <v>2256</v>
      </c>
      <c r="F250" s="6" t="s">
        <v>922</v>
      </c>
      <c r="G250" s="6" t="s">
        <v>942</v>
      </c>
      <c r="H250" s="27" t="s">
        <v>2256</v>
      </c>
      <c r="I250" s="350"/>
    </row>
    <row r="251" spans="1:9" ht="15.75" customHeight="1">
      <c r="A251" s="79">
        <v>209</v>
      </c>
      <c r="B251" s="323"/>
      <c r="C251" s="323"/>
      <c r="D251" s="6" t="s">
        <v>946</v>
      </c>
      <c r="E251" s="6" t="s">
        <v>2257</v>
      </c>
      <c r="F251" s="6" t="s">
        <v>922</v>
      </c>
      <c r="G251" s="6" t="s">
        <v>946</v>
      </c>
      <c r="H251" s="6" t="s">
        <v>2257</v>
      </c>
      <c r="I251" s="350"/>
    </row>
    <row r="252" spans="1:9" ht="15.75" customHeight="1">
      <c r="A252" s="79">
        <v>210</v>
      </c>
      <c r="B252" s="323"/>
      <c r="C252" s="323"/>
      <c r="D252" s="6" t="s">
        <v>950</v>
      </c>
      <c r="E252" s="6" t="s">
        <v>2258</v>
      </c>
      <c r="F252" s="6" t="s">
        <v>922</v>
      </c>
      <c r="G252" s="6" t="s">
        <v>950</v>
      </c>
      <c r="H252" s="6" t="s">
        <v>2258</v>
      </c>
      <c r="I252" s="350"/>
    </row>
    <row r="253" spans="1:9" ht="15.75" customHeight="1">
      <c r="A253" s="79">
        <v>211</v>
      </c>
      <c r="B253" s="323"/>
      <c r="C253" s="323"/>
      <c r="D253" s="6" t="s">
        <v>954</v>
      </c>
      <c r="E253" s="6" t="s">
        <v>2259</v>
      </c>
      <c r="F253" s="6" t="s">
        <v>922</v>
      </c>
      <c r="G253" s="6" t="s">
        <v>954</v>
      </c>
      <c r="H253" s="6" t="s">
        <v>2259</v>
      </c>
      <c r="I253" s="350"/>
    </row>
    <row r="254" spans="1:9" ht="15.75" customHeight="1">
      <c r="A254" s="79">
        <v>212</v>
      </c>
      <c r="B254" s="323"/>
      <c r="C254" s="323"/>
      <c r="D254" s="6" t="s">
        <v>958</v>
      </c>
      <c r="E254" s="6" t="s">
        <v>2260</v>
      </c>
      <c r="F254" s="6">
        <v>1075011001</v>
      </c>
      <c r="G254" s="6" t="s">
        <v>958</v>
      </c>
      <c r="H254" s="6" t="s">
        <v>2260</v>
      </c>
      <c r="I254" s="350"/>
    </row>
    <row r="255" spans="1:9" ht="15.75" customHeight="1">
      <c r="A255" s="79">
        <v>213</v>
      </c>
      <c r="B255" s="323"/>
      <c r="C255" s="323"/>
      <c r="D255" s="6" t="s">
        <v>962</v>
      </c>
      <c r="E255" s="27" t="s">
        <v>2261</v>
      </c>
      <c r="F255" s="6" t="s">
        <v>922</v>
      </c>
      <c r="G255" s="6" t="s">
        <v>962</v>
      </c>
      <c r="H255" s="27" t="s">
        <v>2261</v>
      </c>
      <c r="I255" s="350"/>
    </row>
    <row r="256" spans="1:9" ht="15.75" customHeight="1">
      <c r="A256" s="79">
        <v>214</v>
      </c>
      <c r="B256" s="323"/>
      <c r="C256" s="323"/>
      <c r="D256" s="6" t="s">
        <v>966</v>
      </c>
      <c r="E256" s="6" t="s">
        <v>2262</v>
      </c>
      <c r="F256" s="6" t="s">
        <v>922</v>
      </c>
      <c r="G256" s="6" t="s">
        <v>966</v>
      </c>
      <c r="H256" s="6" t="s">
        <v>2262</v>
      </c>
      <c r="I256" s="350"/>
    </row>
    <row r="257" spans="1:9" ht="15.75" customHeight="1">
      <c r="A257" s="79">
        <v>215</v>
      </c>
      <c r="B257" s="323"/>
      <c r="C257" s="323"/>
      <c r="D257" s="6" t="s">
        <v>971</v>
      </c>
      <c r="E257" s="6" t="s">
        <v>2263</v>
      </c>
      <c r="F257" s="6" t="s">
        <v>922</v>
      </c>
      <c r="G257" s="6" t="s">
        <v>971</v>
      </c>
      <c r="H257" s="6" t="s">
        <v>2263</v>
      </c>
      <c r="I257" s="350"/>
    </row>
    <row r="258" spans="1:9" ht="15.75" customHeight="1">
      <c r="A258" s="79">
        <v>216</v>
      </c>
      <c r="B258" s="323"/>
      <c r="C258" s="323"/>
      <c r="D258" s="6" t="s">
        <v>973</v>
      </c>
      <c r="E258" s="6" t="s">
        <v>1842</v>
      </c>
      <c r="F258" s="6" t="s">
        <v>922</v>
      </c>
      <c r="G258" s="6" t="s">
        <v>973</v>
      </c>
      <c r="H258" s="6" t="s">
        <v>1842</v>
      </c>
      <c r="I258" s="350"/>
    </row>
    <row r="259" spans="1:9" ht="15.75" customHeight="1">
      <c r="A259" s="79">
        <v>217</v>
      </c>
      <c r="B259" s="323"/>
      <c r="C259" s="323"/>
      <c r="D259" s="6" t="s">
        <v>975</v>
      </c>
      <c r="E259" s="6" t="s">
        <v>1843</v>
      </c>
      <c r="F259" s="6" t="s">
        <v>922</v>
      </c>
      <c r="G259" s="6" t="s">
        <v>975</v>
      </c>
      <c r="H259" s="6" t="s">
        <v>1843</v>
      </c>
      <c r="I259" s="350"/>
    </row>
    <row r="260" spans="1:9" ht="15.75" customHeight="1">
      <c r="A260" s="79">
        <v>218</v>
      </c>
      <c r="B260" s="323"/>
      <c r="C260" s="324"/>
      <c r="D260" s="6" t="s">
        <v>977</v>
      </c>
      <c r="E260" s="6" t="s">
        <v>1844</v>
      </c>
      <c r="F260" s="6" t="s">
        <v>922</v>
      </c>
      <c r="G260" s="6" t="s">
        <v>977</v>
      </c>
      <c r="H260" s="6" t="s">
        <v>1844</v>
      </c>
      <c r="I260" s="351"/>
    </row>
    <row r="261" spans="1:9" ht="15.75" customHeight="1">
      <c r="A261" s="79">
        <v>219</v>
      </c>
      <c r="B261" s="323"/>
      <c r="C261" s="330" t="s">
        <v>987</v>
      </c>
      <c r="D261" s="6" t="s">
        <v>988</v>
      </c>
      <c r="E261" s="6" t="s">
        <v>2264</v>
      </c>
      <c r="F261" s="6">
        <v>1075013001</v>
      </c>
      <c r="G261" s="6" t="s">
        <v>988</v>
      </c>
      <c r="H261" s="6" t="s">
        <v>2264</v>
      </c>
      <c r="I261" s="410">
        <v>1075013001</v>
      </c>
    </row>
    <row r="262" spans="1:9" ht="15.75" customHeight="1">
      <c r="A262" s="79">
        <v>220</v>
      </c>
      <c r="B262" s="323"/>
      <c r="C262" s="323"/>
      <c r="D262" s="6" t="s">
        <v>985</v>
      </c>
      <c r="E262" s="6" t="s">
        <v>2265</v>
      </c>
      <c r="F262" s="6">
        <v>1075013001</v>
      </c>
      <c r="G262" s="6" t="s">
        <v>985</v>
      </c>
      <c r="H262" s="6" t="s">
        <v>2265</v>
      </c>
      <c r="I262" s="350"/>
    </row>
    <row r="263" spans="1:9" ht="15.75" customHeight="1">
      <c r="A263" s="79">
        <v>221</v>
      </c>
      <c r="B263" s="323"/>
      <c r="C263" s="323"/>
      <c r="D263" s="6" t="s">
        <v>979</v>
      </c>
      <c r="E263" s="6" t="s">
        <v>2266</v>
      </c>
      <c r="F263" s="6">
        <v>1075013001</v>
      </c>
      <c r="G263" s="6" t="s">
        <v>979</v>
      </c>
      <c r="H263" s="6" t="s">
        <v>2266</v>
      </c>
      <c r="I263" s="350"/>
    </row>
    <row r="264" spans="1:9" ht="15.75" customHeight="1">
      <c r="A264" s="79">
        <v>222</v>
      </c>
      <c r="B264" s="323"/>
      <c r="C264" s="324"/>
      <c r="D264" s="6" t="s">
        <v>981</v>
      </c>
      <c r="E264" s="6" t="s">
        <v>2267</v>
      </c>
      <c r="F264" s="6">
        <v>1075013001</v>
      </c>
      <c r="G264" s="6" t="s">
        <v>981</v>
      </c>
      <c r="H264" s="6" t="s">
        <v>2267</v>
      </c>
      <c r="I264" s="351"/>
    </row>
    <row r="265" spans="1:9" ht="15.75" customHeight="1">
      <c r="A265" s="79">
        <v>223</v>
      </c>
      <c r="B265" s="323"/>
      <c r="C265" s="362" t="s">
        <v>1988</v>
      </c>
      <c r="D265" s="22" t="s">
        <v>993</v>
      </c>
      <c r="E265" s="22" t="s">
        <v>1989</v>
      </c>
      <c r="F265" s="22" t="s">
        <v>994</v>
      </c>
      <c r="G265" s="22" t="s">
        <v>993</v>
      </c>
      <c r="H265" s="22" t="s">
        <v>1989</v>
      </c>
      <c r="I265" s="412" t="s">
        <v>994</v>
      </c>
    </row>
    <row r="266" spans="1:9" ht="15.75" customHeight="1">
      <c r="A266" s="79">
        <v>224</v>
      </c>
      <c r="B266" s="323"/>
      <c r="C266" s="323"/>
      <c r="D266" s="22" t="s">
        <v>999</v>
      </c>
      <c r="E266" s="22" t="s">
        <v>1000</v>
      </c>
      <c r="F266" s="22">
        <v>1075012001</v>
      </c>
      <c r="G266" s="22" t="s">
        <v>999</v>
      </c>
      <c r="H266" s="22" t="s">
        <v>1000</v>
      </c>
      <c r="I266" s="350"/>
    </row>
    <row r="267" spans="1:9" ht="15.75" customHeight="1">
      <c r="A267" s="79">
        <v>225</v>
      </c>
      <c r="B267" s="323"/>
      <c r="C267" s="323"/>
      <c r="D267" s="22" t="s">
        <v>1002</v>
      </c>
      <c r="E267" s="22" t="s">
        <v>1001</v>
      </c>
      <c r="F267" s="22">
        <v>1075012004</v>
      </c>
      <c r="G267" s="22" t="s">
        <v>1002</v>
      </c>
      <c r="H267" s="22" t="s">
        <v>1001</v>
      </c>
      <c r="I267" s="351"/>
    </row>
    <row r="268" spans="1:9" ht="15.75" customHeight="1">
      <c r="A268" s="79">
        <v>226</v>
      </c>
      <c r="B268" s="323"/>
      <c r="C268" s="323"/>
      <c r="D268" s="6" t="s">
        <v>997</v>
      </c>
      <c r="E268" s="6" t="s">
        <v>996</v>
      </c>
      <c r="F268" s="6" t="s">
        <v>998</v>
      </c>
      <c r="G268" s="6" t="s">
        <v>997</v>
      </c>
      <c r="H268" s="6" t="s">
        <v>996</v>
      </c>
      <c r="I268" s="169" t="s">
        <v>998</v>
      </c>
    </row>
    <row r="269" spans="1:9" ht="15.75" customHeight="1">
      <c r="A269" s="79">
        <v>227</v>
      </c>
      <c r="B269" s="324"/>
      <c r="C269" s="324"/>
      <c r="D269" s="6" t="s">
        <v>1005</v>
      </c>
      <c r="E269" s="6" t="s">
        <v>1004</v>
      </c>
      <c r="F269" s="6" t="s">
        <v>1006</v>
      </c>
      <c r="G269" s="6" t="s">
        <v>1005</v>
      </c>
      <c r="H269" s="6" t="s">
        <v>1004</v>
      </c>
      <c r="I269" s="169" t="s">
        <v>1006</v>
      </c>
    </row>
    <row r="270" spans="1:9" ht="15.75" customHeight="1">
      <c r="A270" s="79">
        <v>228</v>
      </c>
      <c r="B270" s="176" t="s">
        <v>1990</v>
      </c>
      <c r="C270" s="177" t="s">
        <v>1991</v>
      </c>
      <c r="D270" s="178" t="s">
        <v>102</v>
      </c>
      <c r="E270" s="178" t="s">
        <v>103</v>
      </c>
      <c r="F270" s="178" t="s">
        <v>104</v>
      </c>
      <c r="G270" s="178" t="s">
        <v>102</v>
      </c>
      <c r="H270" s="178" t="s">
        <v>103</v>
      </c>
      <c r="I270" s="172" t="s">
        <v>104</v>
      </c>
    </row>
    <row r="271" spans="1:9" ht="15.75" customHeight="1">
      <c r="C271" s="30"/>
      <c r="F271" s="67"/>
      <c r="I271" s="67"/>
    </row>
    <row r="272" spans="1:9" ht="15.75" customHeight="1">
      <c r="C272" s="30"/>
      <c r="F272" s="67"/>
      <c r="I272" s="67"/>
    </row>
    <row r="273" spans="3:9" ht="15.75" customHeight="1">
      <c r="C273" s="30"/>
      <c r="F273" s="67"/>
      <c r="I273" s="67"/>
    </row>
    <row r="274" spans="3:9" ht="15.75" customHeight="1">
      <c r="C274" s="30"/>
      <c r="F274" s="67"/>
      <c r="I274" s="67"/>
    </row>
    <row r="275" spans="3:9" ht="15.75" customHeight="1">
      <c r="C275" s="30"/>
      <c r="F275" s="67"/>
      <c r="I275" s="67"/>
    </row>
    <row r="276" spans="3:9" ht="15.75" customHeight="1">
      <c r="C276" s="30"/>
      <c r="F276" s="67"/>
      <c r="I276" s="67"/>
    </row>
    <row r="277" spans="3:9" ht="15.75" customHeight="1">
      <c r="C277" s="30"/>
      <c r="F277" s="67"/>
      <c r="I277" s="67"/>
    </row>
    <row r="278" spans="3:9" ht="15.75" customHeight="1">
      <c r="C278" s="30"/>
      <c r="F278" s="67"/>
      <c r="I278" s="67"/>
    </row>
    <row r="279" spans="3:9" ht="15.75" customHeight="1">
      <c r="C279" s="30"/>
      <c r="F279" s="67"/>
      <c r="I279" s="67"/>
    </row>
    <row r="280" spans="3:9" ht="15.75" customHeight="1">
      <c r="C280" s="30"/>
      <c r="F280" s="67"/>
      <c r="I280" s="67"/>
    </row>
    <row r="281" spans="3:9" ht="15.75" customHeight="1">
      <c r="C281" s="30"/>
      <c r="F281" s="67"/>
      <c r="I281" s="67"/>
    </row>
    <row r="282" spans="3:9" ht="15.75" customHeight="1">
      <c r="C282" s="30"/>
      <c r="F282" s="67"/>
      <c r="I282" s="67"/>
    </row>
    <row r="283" spans="3:9" ht="15.75" customHeight="1">
      <c r="C283" s="30"/>
      <c r="F283" s="67"/>
      <c r="I283" s="67"/>
    </row>
    <row r="284" spans="3:9" ht="15.75" customHeight="1">
      <c r="C284" s="30"/>
      <c r="F284" s="67"/>
      <c r="I284" s="67"/>
    </row>
    <row r="285" spans="3:9" ht="15.75" customHeight="1">
      <c r="C285" s="30"/>
      <c r="F285" s="67"/>
      <c r="I285" s="67"/>
    </row>
    <row r="286" spans="3:9" ht="15.75" customHeight="1">
      <c r="C286" s="30"/>
      <c r="F286" s="67"/>
      <c r="I286" s="67"/>
    </row>
    <row r="287" spans="3:9" ht="15.75" customHeight="1">
      <c r="C287" s="30"/>
      <c r="F287" s="67"/>
      <c r="I287" s="67"/>
    </row>
    <row r="288" spans="3:9" ht="15.75" customHeight="1">
      <c r="C288" s="30"/>
      <c r="F288" s="67"/>
      <c r="I288" s="67"/>
    </row>
    <row r="289" spans="3:9" ht="15.75" customHeight="1">
      <c r="C289" s="30"/>
      <c r="F289" s="67"/>
      <c r="I289" s="67"/>
    </row>
    <row r="290" spans="3:9" ht="15.75" customHeight="1">
      <c r="C290" s="30"/>
      <c r="F290" s="67"/>
      <c r="I290" s="67"/>
    </row>
    <row r="291" spans="3:9" ht="15.75" customHeight="1">
      <c r="C291" s="30"/>
      <c r="F291" s="67"/>
      <c r="I291" s="67"/>
    </row>
    <row r="292" spans="3:9" ht="15.75" customHeight="1">
      <c r="C292" s="30"/>
      <c r="F292" s="67"/>
      <c r="I292" s="67"/>
    </row>
    <row r="293" spans="3:9" ht="15.75" customHeight="1">
      <c r="C293" s="30"/>
      <c r="F293" s="67"/>
      <c r="I293" s="67"/>
    </row>
    <row r="294" spans="3:9" ht="15.75" customHeight="1">
      <c r="C294" s="30"/>
      <c r="F294" s="67"/>
      <c r="I294" s="67"/>
    </row>
    <row r="295" spans="3:9" ht="15.75" customHeight="1">
      <c r="C295" s="30"/>
      <c r="F295" s="67"/>
      <c r="I295" s="67"/>
    </row>
    <row r="296" spans="3:9" ht="15.75" customHeight="1">
      <c r="C296" s="30"/>
      <c r="F296" s="67"/>
      <c r="I296" s="67"/>
    </row>
    <row r="297" spans="3:9" ht="15.75" customHeight="1">
      <c r="C297" s="30"/>
      <c r="F297" s="67"/>
      <c r="I297" s="67"/>
    </row>
    <row r="298" spans="3:9" ht="15.75" customHeight="1">
      <c r="C298" s="30"/>
      <c r="F298" s="67"/>
      <c r="I298" s="67"/>
    </row>
    <row r="299" spans="3:9" ht="15.75" customHeight="1">
      <c r="C299" s="30"/>
      <c r="F299" s="67"/>
      <c r="I299" s="67"/>
    </row>
    <row r="300" spans="3:9" ht="15.75" customHeight="1">
      <c r="C300" s="30"/>
      <c r="F300" s="67"/>
      <c r="I300" s="67"/>
    </row>
    <row r="301" spans="3:9" ht="15.75" customHeight="1">
      <c r="C301" s="30"/>
      <c r="F301" s="67"/>
      <c r="I301" s="67"/>
    </row>
    <row r="302" spans="3:9" ht="15.75" customHeight="1">
      <c r="C302" s="30"/>
      <c r="F302" s="67"/>
      <c r="I302" s="67"/>
    </row>
    <row r="303" spans="3:9" ht="15.75" customHeight="1">
      <c r="C303" s="30"/>
      <c r="F303" s="67"/>
      <c r="I303" s="67"/>
    </row>
    <row r="304" spans="3:9" ht="15.75" customHeight="1">
      <c r="C304" s="30"/>
      <c r="F304" s="67"/>
      <c r="I304" s="67"/>
    </row>
    <row r="305" spans="3:9" ht="15.75" customHeight="1">
      <c r="C305" s="30"/>
      <c r="F305" s="67"/>
      <c r="I305" s="67"/>
    </row>
    <row r="306" spans="3:9" ht="15.75" customHeight="1">
      <c r="C306" s="30"/>
      <c r="F306" s="67"/>
      <c r="I306" s="67"/>
    </row>
    <row r="307" spans="3:9" ht="15.75" customHeight="1">
      <c r="C307" s="30"/>
      <c r="F307" s="67"/>
      <c r="I307" s="67"/>
    </row>
    <row r="308" spans="3:9" ht="15.75" customHeight="1">
      <c r="C308" s="30"/>
      <c r="F308" s="67"/>
      <c r="I308" s="67"/>
    </row>
    <row r="309" spans="3:9" ht="15.75" customHeight="1">
      <c r="C309" s="30"/>
      <c r="F309" s="67"/>
      <c r="I309" s="67"/>
    </row>
    <row r="310" spans="3:9" ht="15.75" customHeight="1">
      <c r="C310" s="30"/>
      <c r="F310" s="67"/>
      <c r="I310" s="67"/>
    </row>
    <row r="311" spans="3:9" ht="15.75" customHeight="1">
      <c r="C311" s="30"/>
      <c r="F311" s="67"/>
      <c r="I311" s="67"/>
    </row>
    <row r="312" spans="3:9" ht="15.75" customHeight="1">
      <c r="C312" s="30"/>
      <c r="F312" s="67"/>
      <c r="I312" s="67"/>
    </row>
    <row r="313" spans="3:9" ht="15.75" customHeight="1">
      <c r="C313" s="30"/>
      <c r="F313" s="67"/>
      <c r="I313" s="67"/>
    </row>
    <row r="314" spans="3:9" ht="15.75" customHeight="1">
      <c r="C314" s="30"/>
      <c r="F314" s="67"/>
      <c r="I314" s="67"/>
    </row>
    <row r="315" spans="3:9" ht="15.75" customHeight="1">
      <c r="C315" s="30"/>
      <c r="F315" s="67"/>
      <c r="I315" s="67"/>
    </row>
    <row r="316" spans="3:9" ht="15.75" customHeight="1">
      <c r="C316" s="30"/>
      <c r="F316" s="67"/>
      <c r="I316" s="67"/>
    </row>
    <row r="317" spans="3:9" ht="15.75" customHeight="1">
      <c r="C317" s="30"/>
      <c r="F317" s="67"/>
      <c r="I317" s="67"/>
    </row>
    <row r="318" spans="3:9" ht="15.75" customHeight="1">
      <c r="C318" s="30"/>
      <c r="F318" s="67"/>
      <c r="I318" s="67"/>
    </row>
    <row r="319" spans="3:9" ht="15.75" customHeight="1">
      <c r="C319" s="30"/>
      <c r="F319" s="67"/>
      <c r="I319" s="67"/>
    </row>
    <row r="320" spans="3:9" ht="15.75" customHeight="1">
      <c r="C320" s="30"/>
      <c r="F320" s="67"/>
      <c r="I320" s="67"/>
    </row>
    <row r="321" spans="3:9" ht="15.75" customHeight="1">
      <c r="C321" s="30"/>
      <c r="F321" s="67"/>
      <c r="I321" s="67"/>
    </row>
    <row r="322" spans="3:9" ht="15.75" customHeight="1">
      <c r="C322" s="30"/>
      <c r="F322" s="67"/>
      <c r="I322" s="67"/>
    </row>
    <row r="323" spans="3:9" ht="15.75" customHeight="1">
      <c r="C323" s="30"/>
      <c r="F323" s="67"/>
      <c r="I323" s="67"/>
    </row>
    <row r="324" spans="3:9" ht="15.75" customHeight="1">
      <c r="C324" s="30"/>
      <c r="F324" s="67"/>
      <c r="I324" s="67"/>
    </row>
    <row r="325" spans="3:9" ht="15.75" customHeight="1">
      <c r="C325" s="30"/>
      <c r="F325" s="67"/>
      <c r="I325" s="67"/>
    </row>
    <row r="326" spans="3:9" ht="15.75" customHeight="1">
      <c r="C326" s="30"/>
      <c r="F326" s="67"/>
      <c r="I326" s="67"/>
    </row>
    <row r="327" spans="3:9" ht="15.75" customHeight="1">
      <c r="C327" s="30"/>
      <c r="F327" s="67"/>
      <c r="I327" s="67"/>
    </row>
    <row r="328" spans="3:9" ht="15.75" customHeight="1">
      <c r="C328" s="30"/>
      <c r="F328" s="67"/>
      <c r="I328" s="67"/>
    </row>
    <row r="329" spans="3:9" ht="15.75" customHeight="1">
      <c r="C329" s="30"/>
      <c r="F329" s="67"/>
      <c r="I329" s="67"/>
    </row>
    <row r="330" spans="3:9" ht="15.75" customHeight="1">
      <c r="C330" s="30"/>
      <c r="F330" s="67"/>
      <c r="I330" s="67"/>
    </row>
    <row r="331" spans="3:9" ht="15.75" customHeight="1">
      <c r="C331" s="30"/>
      <c r="F331" s="67"/>
      <c r="I331" s="67"/>
    </row>
    <row r="332" spans="3:9" ht="15.75" customHeight="1">
      <c r="C332" s="30"/>
      <c r="F332" s="67"/>
      <c r="I332" s="67"/>
    </row>
    <row r="333" spans="3:9" ht="15.75" customHeight="1">
      <c r="C333" s="30"/>
      <c r="F333" s="67"/>
      <c r="I333" s="67"/>
    </row>
    <row r="334" spans="3:9" ht="15.75" customHeight="1">
      <c r="C334" s="30"/>
      <c r="F334" s="67"/>
      <c r="I334" s="67"/>
    </row>
    <row r="335" spans="3:9" ht="15.75" customHeight="1">
      <c r="C335" s="30"/>
      <c r="F335" s="67"/>
      <c r="I335" s="67"/>
    </row>
    <row r="336" spans="3:9" ht="15.75" customHeight="1">
      <c r="C336" s="30"/>
      <c r="F336" s="67"/>
      <c r="I336" s="67"/>
    </row>
    <row r="337" spans="3:9" ht="15.75" customHeight="1">
      <c r="C337" s="30"/>
      <c r="F337" s="67"/>
      <c r="I337" s="67"/>
    </row>
    <row r="338" spans="3:9" ht="15.75" customHeight="1">
      <c r="C338" s="30"/>
      <c r="F338" s="67"/>
      <c r="I338" s="67"/>
    </row>
    <row r="339" spans="3:9" ht="15.75" customHeight="1">
      <c r="C339" s="30"/>
      <c r="F339" s="67"/>
      <c r="I339" s="67"/>
    </row>
    <row r="340" spans="3:9" ht="15.75" customHeight="1">
      <c r="C340" s="30"/>
      <c r="F340" s="67"/>
      <c r="I340" s="67"/>
    </row>
    <row r="341" spans="3:9" ht="15.75" customHeight="1">
      <c r="C341" s="30"/>
      <c r="F341" s="67"/>
      <c r="I341" s="67"/>
    </row>
    <row r="342" spans="3:9" ht="15.75" customHeight="1">
      <c r="C342" s="30"/>
      <c r="F342" s="67"/>
      <c r="I342" s="67"/>
    </row>
    <row r="343" spans="3:9" ht="15.75" customHeight="1">
      <c r="C343" s="30"/>
      <c r="F343" s="67"/>
      <c r="I343" s="67"/>
    </row>
    <row r="344" spans="3:9" ht="15.75" customHeight="1">
      <c r="C344" s="30"/>
      <c r="F344" s="67"/>
      <c r="I344" s="67"/>
    </row>
    <row r="345" spans="3:9" ht="15.75" customHeight="1">
      <c r="C345" s="30"/>
      <c r="F345" s="67"/>
      <c r="I345" s="67"/>
    </row>
    <row r="346" spans="3:9" ht="15.75" customHeight="1">
      <c r="C346" s="30"/>
      <c r="F346" s="67"/>
      <c r="I346" s="67"/>
    </row>
    <row r="347" spans="3:9" ht="15.75" customHeight="1">
      <c r="C347" s="30"/>
      <c r="F347" s="67"/>
      <c r="I347" s="67"/>
    </row>
    <row r="348" spans="3:9" ht="15.75" customHeight="1">
      <c r="C348" s="30"/>
      <c r="F348" s="67"/>
      <c r="I348" s="67"/>
    </row>
    <row r="349" spans="3:9" ht="15.75" customHeight="1">
      <c r="C349" s="30"/>
      <c r="F349" s="67"/>
      <c r="I349" s="67"/>
    </row>
    <row r="350" spans="3:9" ht="15.75" customHeight="1">
      <c r="C350" s="30"/>
      <c r="F350" s="67"/>
      <c r="I350" s="67"/>
    </row>
    <row r="351" spans="3:9" ht="15.75" customHeight="1">
      <c r="C351" s="30"/>
      <c r="F351" s="67"/>
      <c r="I351" s="67"/>
    </row>
    <row r="352" spans="3:9" ht="15.75" customHeight="1">
      <c r="C352" s="30"/>
      <c r="F352" s="67"/>
      <c r="I352" s="67"/>
    </row>
    <row r="353" spans="3:9" ht="15.75" customHeight="1">
      <c r="C353" s="30"/>
      <c r="F353" s="67"/>
      <c r="I353" s="67"/>
    </row>
    <row r="354" spans="3:9" ht="15.75" customHeight="1">
      <c r="C354" s="30"/>
      <c r="F354" s="67"/>
      <c r="I354" s="67"/>
    </row>
    <row r="355" spans="3:9" ht="15.75" customHeight="1">
      <c r="C355" s="30"/>
      <c r="F355" s="67"/>
      <c r="I355" s="67"/>
    </row>
    <row r="356" spans="3:9" ht="15.75" customHeight="1">
      <c r="C356" s="30"/>
      <c r="F356" s="67"/>
      <c r="I356" s="67"/>
    </row>
    <row r="357" spans="3:9" ht="15.75" customHeight="1">
      <c r="C357" s="30"/>
      <c r="F357" s="67"/>
      <c r="I357" s="67"/>
    </row>
    <row r="358" spans="3:9" ht="15.75" customHeight="1">
      <c r="C358" s="30"/>
      <c r="F358" s="67"/>
      <c r="I358" s="67"/>
    </row>
    <row r="359" spans="3:9" ht="15.75" customHeight="1">
      <c r="C359" s="30"/>
      <c r="F359" s="67"/>
      <c r="I359" s="67"/>
    </row>
    <row r="360" spans="3:9" ht="15.75" customHeight="1">
      <c r="C360" s="30"/>
      <c r="F360" s="67"/>
      <c r="I360" s="67"/>
    </row>
    <row r="361" spans="3:9" ht="15.75" customHeight="1">
      <c r="C361" s="30"/>
      <c r="F361" s="67"/>
      <c r="I361" s="67"/>
    </row>
    <row r="362" spans="3:9" ht="15.75" customHeight="1">
      <c r="C362" s="30"/>
      <c r="F362" s="67"/>
      <c r="I362" s="67"/>
    </row>
    <row r="363" spans="3:9" ht="15.75" customHeight="1">
      <c r="C363" s="30"/>
      <c r="F363" s="67"/>
      <c r="I363" s="67"/>
    </row>
    <row r="364" spans="3:9" ht="15.75" customHeight="1">
      <c r="C364" s="30"/>
      <c r="F364" s="67"/>
      <c r="I364" s="67"/>
    </row>
    <row r="365" spans="3:9" ht="15.75" customHeight="1">
      <c r="C365" s="30"/>
      <c r="F365" s="67"/>
      <c r="I365" s="67"/>
    </row>
    <row r="366" spans="3:9" ht="15.75" customHeight="1">
      <c r="C366" s="30"/>
      <c r="F366" s="67"/>
      <c r="I366" s="67"/>
    </row>
    <row r="367" spans="3:9" ht="15.75" customHeight="1">
      <c r="C367" s="30"/>
      <c r="F367" s="67"/>
      <c r="I367" s="67"/>
    </row>
    <row r="368" spans="3:9" ht="15.75" customHeight="1">
      <c r="C368" s="30"/>
      <c r="F368" s="67"/>
      <c r="I368" s="67"/>
    </row>
    <row r="369" spans="3:9" ht="15.75" customHeight="1">
      <c r="C369" s="30"/>
      <c r="F369" s="67"/>
      <c r="I369" s="67"/>
    </row>
    <row r="370" spans="3:9" ht="15.75" customHeight="1">
      <c r="C370" s="30"/>
      <c r="F370" s="67"/>
      <c r="I370" s="67"/>
    </row>
    <row r="371" spans="3:9" ht="15.75" customHeight="1">
      <c r="C371" s="30"/>
      <c r="F371" s="67"/>
      <c r="I371" s="67"/>
    </row>
    <row r="372" spans="3:9" ht="15.75" customHeight="1">
      <c r="C372" s="30"/>
      <c r="F372" s="67"/>
      <c r="I372" s="67"/>
    </row>
    <row r="373" spans="3:9" ht="15.75" customHeight="1">
      <c r="C373" s="30"/>
      <c r="F373" s="67"/>
      <c r="I373" s="67"/>
    </row>
    <row r="374" spans="3:9" ht="15.75" customHeight="1">
      <c r="C374" s="30"/>
      <c r="F374" s="67"/>
      <c r="I374" s="67"/>
    </row>
    <row r="375" spans="3:9" ht="15.75" customHeight="1">
      <c r="C375" s="30"/>
      <c r="F375" s="67"/>
      <c r="I375" s="67"/>
    </row>
    <row r="376" spans="3:9" ht="15.75" customHeight="1">
      <c r="C376" s="30"/>
      <c r="F376" s="67"/>
      <c r="I376" s="67"/>
    </row>
    <row r="377" spans="3:9" ht="15.75" customHeight="1">
      <c r="C377" s="30"/>
      <c r="F377" s="67"/>
      <c r="I377" s="67"/>
    </row>
    <row r="378" spans="3:9" ht="15.75" customHeight="1">
      <c r="C378" s="30"/>
      <c r="F378" s="67"/>
      <c r="I378" s="67"/>
    </row>
    <row r="379" spans="3:9" ht="15.75" customHeight="1">
      <c r="C379" s="30"/>
      <c r="F379" s="67"/>
      <c r="I379" s="67"/>
    </row>
    <row r="380" spans="3:9" ht="15.75" customHeight="1">
      <c r="C380" s="30"/>
      <c r="F380" s="67"/>
      <c r="I380" s="67"/>
    </row>
    <row r="381" spans="3:9" ht="15.75" customHeight="1">
      <c r="C381" s="30"/>
      <c r="F381" s="67"/>
      <c r="I381" s="67"/>
    </row>
    <row r="382" spans="3:9" ht="15.75" customHeight="1">
      <c r="C382" s="30"/>
      <c r="F382" s="67"/>
      <c r="I382" s="67"/>
    </row>
    <row r="383" spans="3:9" ht="15.75" customHeight="1">
      <c r="C383" s="30"/>
      <c r="F383" s="67"/>
      <c r="I383" s="67"/>
    </row>
    <row r="384" spans="3:9" ht="15.75" customHeight="1">
      <c r="C384" s="30"/>
      <c r="F384" s="67"/>
      <c r="I384" s="67"/>
    </row>
    <row r="385" spans="3:9" ht="15.75" customHeight="1">
      <c r="C385" s="30"/>
      <c r="F385" s="67"/>
      <c r="I385" s="67"/>
    </row>
    <row r="386" spans="3:9" ht="15.75" customHeight="1">
      <c r="C386" s="30"/>
      <c r="F386" s="67"/>
      <c r="I386" s="67"/>
    </row>
    <row r="387" spans="3:9" ht="15.75" customHeight="1">
      <c r="C387" s="30"/>
      <c r="F387" s="67"/>
      <c r="I387" s="67"/>
    </row>
    <row r="388" spans="3:9" ht="15.75" customHeight="1">
      <c r="C388" s="30"/>
      <c r="F388" s="67"/>
      <c r="I388" s="67"/>
    </row>
    <row r="389" spans="3:9" ht="15.75" customHeight="1">
      <c r="C389" s="30"/>
      <c r="F389" s="67"/>
      <c r="I389" s="67"/>
    </row>
    <row r="390" spans="3:9" ht="15.75" customHeight="1">
      <c r="C390" s="30"/>
      <c r="F390" s="67"/>
      <c r="I390" s="67"/>
    </row>
    <row r="391" spans="3:9" ht="15.75" customHeight="1">
      <c r="C391" s="30"/>
      <c r="F391" s="67"/>
      <c r="I391" s="67"/>
    </row>
    <row r="392" spans="3:9" ht="15.75" customHeight="1">
      <c r="C392" s="30"/>
      <c r="F392" s="67"/>
      <c r="I392" s="67"/>
    </row>
    <row r="393" spans="3:9" ht="15.75" customHeight="1">
      <c r="C393" s="30"/>
      <c r="F393" s="67"/>
      <c r="I393" s="67"/>
    </row>
    <row r="394" spans="3:9" ht="15.75" customHeight="1">
      <c r="C394" s="30"/>
      <c r="F394" s="67"/>
      <c r="I394" s="67"/>
    </row>
    <row r="395" spans="3:9" ht="15.75" customHeight="1">
      <c r="C395" s="30"/>
      <c r="F395" s="67"/>
      <c r="I395" s="67"/>
    </row>
    <row r="396" spans="3:9" ht="15.75" customHeight="1">
      <c r="C396" s="30"/>
      <c r="F396" s="67"/>
      <c r="I396" s="67"/>
    </row>
    <row r="397" spans="3:9" ht="15.75" customHeight="1">
      <c r="C397" s="30"/>
      <c r="F397" s="67"/>
      <c r="I397" s="67"/>
    </row>
    <row r="398" spans="3:9" ht="15.75" customHeight="1">
      <c r="C398" s="30"/>
      <c r="F398" s="67"/>
      <c r="I398" s="67"/>
    </row>
    <row r="399" spans="3:9" ht="15.75" customHeight="1">
      <c r="C399" s="30"/>
      <c r="F399" s="67"/>
      <c r="I399" s="67"/>
    </row>
    <row r="400" spans="3:9" ht="15.75" customHeight="1">
      <c r="C400" s="30"/>
      <c r="F400" s="67"/>
      <c r="I400" s="67"/>
    </row>
    <row r="401" spans="3:9" ht="15.75" customHeight="1">
      <c r="C401" s="30"/>
      <c r="F401" s="67"/>
      <c r="I401" s="67"/>
    </row>
    <row r="402" spans="3:9" ht="15.75" customHeight="1">
      <c r="C402" s="30"/>
      <c r="F402" s="67"/>
      <c r="I402" s="67"/>
    </row>
    <row r="403" spans="3:9" ht="15.75" customHeight="1">
      <c r="C403" s="30"/>
      <c r="F403" s="67"/>
      <c r="I403" s="67"/>
    </row>
    <row r="404" spans="3:9" ht="15.75" customHeight="1">
      <c r="C404" s="30"/>
      <c r="F404" s="67"/>
      <c r="I404" s="67"/>
    </row>
    <row r="405" spans="3:9" ht="15.75" customHeight="1">
      <c r="C405" s="30"/>
      <c r="F405" s="67"/>
      <c r="I405" s="67"/>
    </row>
    <row r="406" spans="3:9" ht="15.75" customHeight="1">
      <c r="C406" s="30"/>
      <c r="F406" s="67"/>
      <c r="I406" s="67"/>
    </row>
    <row r="407" spans="3:9" ht="15.75" customHeight="1">
      <c r="C407" s="30"/>
      <c r="F407" s="67"/>
      <c r="I407" s="67"/>
    </row>
    <row r="408" spans="3:9" ht="15.75" customHeight="1">
      <c r="C408" s="30"/>
      <c r="F408" s="67"/>
      <c r="I408" s="67"/>
    </row>
    <row r="409" spans="3:9" ht="15.75" customHeight="1">
      <c r="C409" s="30"/>
      <c r="F409" s="67"/>
      <c r="I409" s="67"/>
    </row>
    <row r="410" spans="3:9" ht="15.75" customHeight="1">
      <c r="C410" s="30"/>
      <c r="F410" s="67"/>
      <c r="I410" s="67"/>
    </row>
    <row r="411" spans="3:9" ht="15.75" customHeight="1">
      <c r="C411" s="30"/>
      <c r="F411" s="67"/>
      <c r="I411" s="67"/>
    </row>
    <row r="412" spans="3:9" ht="15.75" customHeight="1">
      <c r="C412" s="30"/>
      <c r="F412" s="67"/>
      <c r="I412" s="67"/>
    </row>
    <row r="413" spans="3:9" ht="15.75" customHeight="1">
      <c r="C413" s="30"/>
      <c r="F413" s="67"/>
      <c r="I413" s="67"/>
    </row>
    <row r="414" spans="3:9" ht="15.75" customHeight="1">
      <c r="C414" s="30"/>
      <c r="F414" s="67"/>
      <c r="I414" s="67"/>
    </row>
    <row r="415" spans="3:9" ht="15.75" customHeight="1">
      <c r="C415" s="30"/>
      <c r="F415" s="67"/>
      <c r="I415" s="67"/>
    </row>
    <row r="416" spans="3:9" ht="15.75" customHeight="1">
      <c r="C416" s="30"/>
      <c r="F416" s="67"/>
      <c r="I416" s="67"/>
    </row>
    <row r="417" spans="3:9" ht="15.75" customHeight="1">
      <c r="C417" s="30"/>
      <c r="F417" s="67"/>
      <c r="I417" s="67"/>
    </row>
    <row r="418" spans="3:9" ht="15.75" customHeight="1">
      <c r="C418" s="30"/>
      <c r="F418" s="67"/>
      <c r="I418" s="67"/>
    </row>
    <row r="419" spans="3:9" ht="15.75" customHeight="1">
      <c r="C419" s="30"/>
      <c r="F419" s="67"/>
      <c r="I419" s="67"/>
    </row>
    <row r="420" spans="3:9" ht="15.75" customHeight="1">
      <c r="C420" s="30"/>
      <c r="F420" s="67"/>
      <c r="I420" s="67"/>
    </row>
    <row r="421" spans="3:9" ht="15.75" customHeight="1">
      <c r="C421" s="30"/>
      <c r="F421" s="67"/>
      <c r="I421" s="67"/>
    </row>
    <row r="422" spans="3:9" ht="15.75" customHeight="1">
      <c r="C422" s="30"/>
      <c r="F422" s="67"/>
      <c r="I422" s="67"/>
    </row>
    <row r="423" spans="3:9" ht="15.75" customHeight="1">
      <c r="C423" s="30"/>
      <c r="F423" s="67"/>
      <c r="I423" s="67"/>
    </row>
    <row r="424" spans="3:9" ht="15.75" customHeight="1">
      <c r="C424" s="30"/>
      <c r="F424" s="67"/>
      <c r="I424" s="67"/>
    </row>
    <row r="425" spans="3:9" ht="15.75" customHeight="1">
      <c r="C425" s="30"/>
      <c r="F425" s="67"/>
      <c r="I425" s="67"/>
    </row>
    <row r="426" spans="3:9" ht="15.75" customHeight="1">
      <c r="C426" s="30"/>
      <c r="F426" s="67"/>
      <c r="I426" s="67"/>
    </row>
    <row r="427" spans="3:9" ht="15.75" customHeight="1">
      <c r="C427" s="30"/>
      <c r="F427" s="67"/>
      <c r="I427" s="67"/>
    </row>
    <row r="428" spans="3:9" ht="15.75" customHeight="1">
      <c r="C428" s="30"/>
      <c r="F428" s="67"/>
      <c r="I428" s="67"/>
    </row>
    <row r="429" spans="3:9" ht="15.75" customHeight="1">
      <c r="C429" s="30"/>
      <c r="F429" s="67"/>
      <c r="I429" s="67"/>
    </row>
    <row r="430" spans="3:9" ht="15.75" customHeight="1">
      <c r="C430" s="30"/>
      <c r="F430" s="67"/>
      <c r="I430" s="67"/>
    </row>
    <row r="431" spans="3:9" ht="15.75" customHeight="1">
      <c r="C431" s="30"/>
      <c r="F431" s="67"/>
      <c r="I431" s="67"/>
    </row>
    <row r="432" spans="3:9" ht="15.75" customHeight="1">
      <c r="C432" s="30"/>
      <c r="F432" s="67"/>
      <c r="I432" s="67"/>
    </row>
    <row r="433" spans="3:9" ht="15.75" customHeight="1">
      <c r="C433" s="30"/>
      <c r="F433" s="67"/>
      <c r="I433" s="67"/>
    </row>
    <row r="434" spans="3:9" ht="15.75" customHeight="1">
      <c r="C434" s="30"/>
      <c r="F434" s="67"/>
      <c r="I434" s="67"/>
    </row>
    <row r="435" spans="3:9" ht="15.75" customHeight="1">
      <c r="C435" s="30"/>
      <c r="F435" s="67"/>
      <c r="I435" s="67"/>
    </row>
    <row r="436" spans="3:9" ht="15.75" customHeight="1">
      <c r="C436" s="30"/>
      <c r="F436" s="67"/>
      <c r="I436" s="67"/>
    </row>
    <row r="437" spans="3:9" ht="15.75" customHeight="1">
      <c r="C437" s="30"/>
      <c r="F437" s="67"/>
      <c r="I437" s="67"/>
    </row>
    <row r="438" spans="3:9" ht="15.75" customHeight="1">
      <c r="C438" s="30"/>
      <c r="F438" s="67"/>
      <c r="I438" s="67"/>
    </row>
    <row r="439" spans="3:9" ht="15.75" customHeight="1">
      <c r="C439" s="30"/>
      <c r="F439" s="67"/>
      <c r="I439" s="67"/>
    </row>
    <row r="440" spans="3:9" ht="15.75" customHeight="1">
      <c r="C440" s="30"/>
      <c r="F440" s="67"/>
      <c r="I440" s="67"/>
    </row>
    <row r="441" spans="3:9" ht="15.75" customHeight="1">
      <c r="C441" s="30"/>
      <c r="F441" s="67"/>
      <c r="I441" s="67"/>
    </row>
    <row r="442" spans="3:9" ht="15.75" customHeight="1">
      <c r="C442" s="30"/>
      <c r="F442" s="67"/>
      <c r="I442" s="67"/>
    </row>
    <row r="443" spans="3:9" ht="15.75" customHeight="1">
      <c r="C443" s="30"/>
      <c r="F443" s="67"/>
      <c r="I443" s="67"/>
    </row>
    <row r="444" spans="3:9" ht="15.75" customHeight="1">
      <c r="C444" s="30"/>
      <c r="F444" s="67"/>
      <c r="I444" s="67"/>
    </row>
    <row r="445" spans="3:9" ht="15.75" customHeight="1">
      <c r="C445" s="30"/>
      <c r="F445" s="67"/>
      <c r="I445" s="67"/>
    </row>
    <row r="446" spans="3:9" ht="15.75" customHeight="1">
      <c r="C446" s="30"/>
      <c r="F446" s="67"/>
      <c r="I446" s="67"/>
    </row>
    <row r="447" spans="3:9" ht="15.75" customHeight="1">
      <c r="C447" s="30"/>
      <c r="F447" s="67"/>
      <c r="I447" s="67"/>
    </row>
    <row r="448" spans="3:9" ht="15.75" customHeight="1">
      <c r="C448" s="30"/>
      <c r="F448" s="67"/>
      <c r="I448" s="67"/>
    </row>
    <row r="449" spans="3:9" ht="15.75" customHeight="1">
      <c r="C449" s="30"/>
      <c r="F449" s="67"/>
      <c r="I449" s="67"/>
    </row>
    <row r="450" spans="3:9" ht="15.75" customHeight="1">
      <c r="C450" s="30"/>
      <c r="F450" s="67"/>
      <c r="I450" s="67"/>
    </row>
    <row r="451" spans="3:9" ht="15.75" customHeight="1">
      <c r="C451" s="30"/>
      <c r="F451" s="67"/>
      <c r="I451" s="67"/>
    </row>
    <row r="452" spans="3:9" ht="15.75" customHeight="1">
      <c r="C452" s="30"/>
      <c r="F452" s="67"/>
      <c r="I452" s="67"/>
    </row>
    <row r="453" spans="3:9" ht="15.75" customHeight="1">
      <c r="C453" s="30"/>
      <c r="F453" s="67"/>
      <c r="I453" s="67"/>
    </row>
    <row r="454" spans="3:9" ht="15.75" customHeight="1">
      <c r="C454" s="30"/>
      <c r="F454" s="67"/>
      <c r="I454" s="67"/>
    </row>
    <row r="455" spans="3:9" ht="15.75" customHeight="1">
      <c r="C455" s="30"/>
      <c r="F455" s="67"/>
      <c r="I455" s="67"/>
    </row>
    <row r="456" spans="3:9" ht="15.75" customHeight="1">
      <c r="C456" s="30"/>
      <c r="F456" s="67"/>
      <c r="I456" s="67"/>
    </row>
    <row r="457" spans="3:9" ht="15.75" customHeight="1">
      <c r="C457" s="30"/>
      <c r="F457" s="67"/>
      <c r="I457" s="67"/>
    </row>
    <row r="458" spans="3:9" ht="15.75" customHeight="1">
      <c r="C458" s="30"/>
      <c r="F458" s="67"/>
      <c r="I458" s="67"/>
    </row>
    <row r="459" spans="3:9" ht="15.75" customHeight="1">
      <c r="C459" s="30"/>
      <c r="F459" s="67"/>
      <c r="I459" s="67"/>
    </row>
    <row r="460" spans="3:9" ht="15.75" customHeight="1">
      <c r="C460" s="30"/>
      <c r="F460" s="67"/>
      <c r="I460" s="67"/>
    </row>
    <row r="461" spans="3:9" ht="15.75" customHeight="1">
      <c r="C461" s="30"/>
      <c r="F461" s="67"/>
      <c r="I461" s="67"/>
    </row>
    <row r="462" spans="3:9" ht="15.75" customHeight="1">
      <c r="C462" s="30"/>
      <c r="F462" s="67"/>
      <c r="I462" s="67"/>
    </row>
    <row r="463" spans="3:9" ht="15.75" customHeight="1">
      <c r="C463" s="30"/>
      <c r="F463" s="67"/>
      <c r="I463" s="67"/>
    </row>
    <row r="464" spans="3:9" ht="15.75" customHeight="1">
      <c r="C464" s="30"/>
      <c r="F464" s="67"/>
      <c r="I464" s="67"/>
    </row>
    <row r="465" spans="3:9" ht="15.75" customHeight="1">
      <c r="C465" s="30"/>
      <c r="F465" s="67"/>
      <c r="I465" s="67"/>
    </row>
    <row r="466" spans="3:9" ht="15.75" customHeight="1">
      <c r="C466" s="30"/>
      <c r="F466" s="67"/>
      <c r="I466" s="67"/>
    </row>
    <row r="467" spans="3:9" ht="15.75" customHeight="1">
      <c r="C467" s="30"/>
      <c r="F467" s="67"/>
      <c r="I467" s="67"/>
    </row>
    <row r="468" spans="3:9" ht="15.75" customHeight="1">
      <c r="C468" s="30"/>
      <c r="F468" s="67"/>
      <c r="I468" s="67"/>
    </row>
    <row r="469" spans="3:9" ht="15.75" customHeight="1">
      <c r="C469" s="30"/>
      <c r="F469" s="67"/>
      <c r="I469" s="67"/>
    </row>
    <row r="470" spans="3:9" ht="15.75" customHeight="1">
      <c r="C470" s="30"/>
      <c r="F470" s="67"/>
      <c r="I470" s="67"/>
    </row>
    <row r="471" spans="3:9" ht="15.75" customHeight="1">
      <c r="C471" s="30"/>
      <c r="F471" s="67"/>
      <c r="I471" s="67"/>
    </row>
    <row r="472" spans="3:9" ht="15.75" customHeight="1">
      <c r="C472" s="30"/>
      <c r="F472" s="67"/>
      <c r="I472" s="67"/>
    </row>
    <row r="473" spans="3:9" ht="15.75" customHeight="1">
      <c r="C473" s="30"/>
      <c r="F473" s="67"/>
      <c r="I473" s="67"/>
    </row>
    <row r="474" spans="3:9" ht="15.75" customHeight="1">
      <c r="C474" s="30"/>
      <c r="F474" s="67"/>
      <c r="I474" s="67"/>
    </row>
    <row r="475" spans="3:9" ht="15.75" customHeight="1">
      <c r="C475" s="30"/>
      <c r="F475" s="67"/>
      <c r="I475" s="67"/>
    </row>
    <row r="476" spans="3:9" ht="15.75" customHeight="1">
      <c r="C476" s="30"/>
      <c r="F476" s="67"/>
      <c r="I476" s="67"/>
    </row>
    <row r="477" spans="3:9" ht="15.75" customHeight="1">
      <c r="C477" s="30"/>
      <c r="F477" s="67"/>
      <c r="I477" s="67"/>
    </row>
    <row r="478" spans="3:9" ht="15.75" customHeight="1">
      <c r="C478" s="30"/>
      <c r="F478" s="67"/>
      <c r="I478" s="67"/>
    </row>
    <row r="479" spans="3:9" ht="15.75" customHeight="1">
      <c r="C479" s="30"/>
      <c r="F479" s="67"/>
      <c r="I479" s="67"/>
    </row>
    <row r="480" spans="3:9" ht="15.75" customHeight="1">
      <c r="C480" s="30"/>
      <c r="F480" s="67"/>
      <c r="I480" s="67"/>
    </row>
    <row r="481" spans="3:9" ht="15.75" customHeight="1">
      <c r="C481" s="30"/>
      <c r="F481" s="67"/>
      <c r="I481" s="67"/>
    </row>
    <row r="482" spans="3:9" ht="15.75" customHeight="1">
      <c r="C482" s="30"/>
      <c r="F482" s="67"/>
      <c r="I482" s="67"/>
    </row>
    <row r="483" spans="3:9" ht="15.75" customHeight="1">
      <c r="C483" s="30"/>
      <c r="F483" s="67"/>
      <c r="I483" s="67"/>
    </row>
    <row r="484" spans="3:9" ht="15.75" customHeight="1">
      <c r="C484" s="30"/>
      <c r="F484" s="67"/>
      <c r="I484" s="67"/>
    </row>
    <row r="485" spans="3:9" ht="15.75" customHeight="1">
      <c r="C485" s="30"/>
      <c r="F485" s="67"/>
      <c r="I485" s="67"/>
    </row>
    <row r="486" spans="3:9" ht="15.75" customHeight="1">
      <c r="C486" s="30"/>
      <c r="F486" s="67"/>
      <c r="I486" s="67"/>
    </row>
    <row r="487" spans="3:9" ht="15.75" customHeight="1">
      <c r="C487" s="30"/>
      <c r="F487" s="67"/>
      <c r="I487" s="67"/>
    </row>
    <row r="488" spans="3:9" ht="15.75" customHeight="1">
      <c r="C488" s="30"/>
      <c r="F488" s="67"/>
      <c r="I488" s="67"/>
    </row>
    <row r="489" spans="3:9" ht="15.75" customHeight="1">
      <c r="C489" s="30"/>
      <c r="F489" s="67"/>
      <c r="I489" s="67"/>
    </row>
    <row r="490" spans="3:9" ht="15.75" customHeight="1">
      <c r="C490" s="30"/>
      <c r="F490" s="67"/>
      <c r="I490" s="67"/>
    </row>
    <row r="491" spans="3:9" ht="15.75" customHeight="1">
      <c r="C491" s="30"/>
      <c r="F491" s="67"/>
      <c r="I491" s="67"/>
    </row>
    <row r="492" spans="3:9" ht="15.75" customHeight="1">
      <c r="C492" s="30"/>
      <c r="F492" s="67"/>
      <c r="I492" s="67"/>
    </row>
    <row r="493" spans="3:9" ht="15.75" customHeight="1">
      <c r="C493" s="30"/>
      <c r="F493" s="67"/>
      <c r="I493" s="67"/>
    </row>
    <row r="494" spans="3:9" ht="15.75" customHeight="1">
      <c r="C494" s="30"/>
      <c r="F494" s="67"/>
      <c r="I494" s="67"/>
    </row>
    <row r="495" spans="3:9" ht="15.75" customHeight="1">
      <c r="C495" s="30"/>
      <c r="F495" s="67"/>
      <c r="I495" s="67"/>
    </row>
    <row r="496" spans="3:9" ht="15.75" customHeight="1">
      <c r="C496" s="30"/>
      <c r="F496" s="67"/>
      <c r="I496" s="67"/>
    </row>
    <row r="497" spans="3:9" ht="15.75" customHeight="1">
      <c r="C497" s="30"/>
      <c r="F497" s="67"/>
      <c r="I497" s="67"/>
    </row>
    <row r="498" spans="3:9" ht="15.75" customHeight="1">
      <c r="C498" s="30"/>
      <c r="F498" s="67"/>
      <c r="I498" s="67"/>
    </row>
    <row r="499" spans="3:9" ht="15.75" customHeight="1">
      <c r="C499" s="30"/>
      <c r="F499" s="67"/>
      <c r="I499" s="67"/>
    </row>
    <row r="500" spans="3:9" ht="15.75" customHeight="1">
      <c r="C500" s="30"/>
      <c r="F500" s="67"/>
      <c r="I500" s="67"/>
    </row>
    <row r="501" spans="3:9" ht="15.75" customHeight="1">
      <c r="C501" s="30"/>
      <c r="F501" s="67"/>
      <c r="I501" s="67"/>
    </row>
    <row r="502" spans="3:9" ht="15.75" customHeight="1">
      <c r="C502" s="30"/>
      <c r="F502" s="67"/>
      <c r="I502" s="67"/>
    </row>
    <row r="503" spans="3:9" ht="15.75" customHeight="1">
      <c r="C503" s="30"/>
      <c r="F503" s="67"/>
      <c r="I503" s="67"/>
    </row>
    <row r="504" spans="3:9" ht="15.75" customHeight="1">
      <c r="C504" s="30"/>
      <c r="F504" s="67"/>
      <c r="I504" s="67"/>
    </row>
    <row r="505" spans="3:9" ht="15.75" customHeight="1">
      <c r="C505" s="30"/>
      <c r="F505" s="67"/>
      <c r="I505" s="67"/>
    </row>
    <row r="506" spans="3:9" ht="15.75" customHeight="1">
      <c r="C506" s="30"/>
      <c r="F506" s="67"/>
      <c r="I506" s="67"/>
    </row>
    <row r="507" spans="3:9" ht="15.75" customHeight="1">
      <c r="C507" s="30"/>
      <c r="F507" s="67"/>
      <c r="I507" s="67"/>
    </row>
    <row r="508" spans="3:9" ht="15.75" customHeight="1">
      <c r="C508" s="30"/>
      <c r="F508" s="67"/>
      <c r="I508" s="67"/>
    </row>
    <row r="509" spans="3:9" ht="15.75" customHeight="1">
      <c r="C509" s="30"/>
      <c r="F509" s="67"/>
      <c r="I509" s="67"/>
    </row>
    <row r="510" spans="3:9" ht="15.75" customHeight="1">
      <c r="C510" s="30"/>
      <c r="F510" s="67"/>
      <c r="I510" s="67"/>
    </row>
    <row r="511" spans="3:9" ht="15.75" customHeight="1">
      <c r="C511" s="30"/>
      <c r="F511" s="67"/>
      <c r="I511" s="67"/>
    </row>
    <row r="512" spans="3:9" ht="15.75" customHeight="1">
      <c r="C512" s="30"/>
      <c r="F512" s="67"/>
      <c r="I512" s="67"/>
    </row>
    <row r="513" spans="3:9" ht="15.75" customHeight="1">
      <c r="C513" s="30"/>
      <c r="F513" s="67"/>
      <c r="I513" s="67"/>
    </row>
    <row r="514" spans="3:9" ht="15.75" customHeight="1">
      <c r="C514" s="30"/>
      <c r="F514" s="67"/>
      <c r="I514" s="67"/>
    </row>
    <row r="515" spans="3:9" ht="15.75" customHeight="1">
      <c r="C515" s="30"/>
      <c r="F515" s="67"/>
      <c r="I515" s="67"/>
    </row>
    <row r="516" spans="3:9" ht="15.75" customHeight="1">
      <c r="C516" s="30"/>
      <c r="F516" s="67"/>
      <c r="I516" s="67"/>
    </row>
    <row r="517" spans="3:9" ht="15.75" customHeight="1">
      <c r="C517" s="30"/>
      <c r="F517" s="67"/>
      <c r="I517" s="67"/>
    </row>
    <row r="518" spans="3:9" ht="15.75" customHeight="1">
      <c r="C518" s="30"/>
      <c r="F518" s="67"/>
      <c r="I518" s="67"/>
    </row>
    <row r="519" spans="3:9" ht="15.75" customHeight="1">
      <c r="C519" s="30"/>
      <c r="F519" s="67"/>
      <c r="I519" s="67"/>
    </row>
    <row r="520" spans="3:9" ht="15.75" customHeight="1">
      <c r="C520" s="30"/>
      <c r="F520" s="67"/>
      <c r="I520" s="67"/>
    </row>
    <row r="521" spans="3:9" ht="15.75" customHeight="1">
      <c r="C521" s="30"/>
      <c r="F521" s="67"/>
      <c r="I521" s="67"/>
    </row>
    <row r="522" spans="3:9" ht="15.75" customHeight="1">
      <c r="C522" s="30"/>
      <c r="F522" s="67"/>
      <c r="I522" s="67"/>
    </row>
    <row r="523" spans="3:9" ht="15.75" customHeight="1">
      <c r="C523" s="30"/>
      <c r="F523" s="67"/>
      <c r="I523" s="67"/>
    </row>
    <row r="524" spans="3:9" ht="15.75" customHeight="1">
      <c r="C524" s="30"/>
      <c r="F524" s="67"/>
      <c r="I524" s="67"/>
    </row>
    <row r="525" spans="3:9" ht="15.75" customHeight="1">
      <c r="C525" s="30"/>
      <c r="F525" s="67"/>
      <c r="I525" s="67"/>
    </row>
    <row r="526" spans="3:9" ht="15.75" customHeight="1">
      <c r="C526" s="30"/>
      <c r="F526" s="67"/>
      <c r="I526" s="67"/>
    </row>
    <row r="527" spans="3:9" ht="15.75" customHeight="1">
      <c r="C527" s="30"/>
      <c r="F527" s="67"/>
      <c r="I527" s="67"/>
    </row>
    <row r="528" spans="3:9" ht="15.75" customHeight="1">
      <c r="C528" s="30"/>
      <c r="F528" s="67"/>
      <c r="I528" s="67"/>
    </row>
    <row r="529" spans="3:9" ht="15.75" customHeight="1">
      <c r="C529" s="30"/>
      <c r="F529" s="67"/>
      <c r="I529" s="67"/>
    </row>
    <row r="530" spans="3:9" ht="15.75" customHeight="1">
      <c r="C530" s="30"/>
      <c r="F530" s="67"/>
      <c r="I530" s="67"/>
    </row>
    <row r="531" spans="3:9" ht="15.75" customHeight="1">
      <c r="C531" s="30"/>
      <c r="F531" s="67"/>
      <c r="I531" s="67"/>
    </row>
    <row r="532" spans="3:9" ht="15.75" customHeight="1">
      <c r="C532" s="30"/>
      <c r="F532" s="67"/>
      <c r="I532" s="67"/>
    </row>
    <row r="533" spans="3:9" ht="15.75" customHeight="1">
      <c r="C533" s="30"/>
      <c r="F533" s="67"/>
      <c r="I533" s="67"/>
    </row>
    <row r="534" spans="3:9" ht="15.75" customHeight="1">
      <c r="C534" s="30"/>
      <c r="F534" s="67"/>
      <c r="I534" s="67"/>
    </row>
    <row r="535" spans="3:9" ht="15.75" customHeight="1">
      <c r="C535" s="30"/>
      <c r="F535" s="67"/>
      <c r="I535" s="67"/>
    </row>
    <row r="536" spans="3:9" ht="15.75" customHeight="1">
      <c r="C536" s="30"/>
      <c r="F536" s="67"/>
      <c r="I536" s="67"/>
    </row>
    <row r="537" spans="3:9" ht="15.75" customHeight="1">
      <c r="C537" s="30"/>
      <c r="F537" s="67"/>
      <c r="I537" s="67"/>
    </row>
    <row r="538" spans="3:9" ht="15.75" customHeight="1">
      <c r="C538" s="30"/>
      <c r="F538" s="67"/>
      <c r="I538" s="67"/>
    </row>
    <row r="539" spans="3:9" ht="15.75" customHeight="1">
      <c r="C539" s="30"/>
      <c r="F539" s="67"/>
      <c r="I539" s="67"/>
    </row>
    <row r="540" spans="3:9" ht="15.75" customHeight="1">
      <c r="C540" s="30"/>
      <c r="F540" s="67"/>
      <c r="I540" s="67"/>
    </row>
    <row r="541" spans="3:9" ht="15.75" customHeight="1">
      <c r="C541" s="30"/>
      <c r="F541" s="67"/>
      <c r="I541" s="67"/>
    </row>
    <row r="542" spans="3:9" ht="15.75" customHeight="1">
      <c r="C542" s="30"/>
      <c r="F542" s="67"/>
      <c r="I542" s="67"/>
    </row>
    <row r="543" spans="3:9" ht="15.75" customHeight="1">
      <c r="C543" s="30"/>
      <c r="F543" s="67"/>
      <c r="I543" s="67"/>
    </row>
    <row r="544" spans="3:9" ht="15.75" customHeight="1">
      <c r="C544" s="30"/>
      <c r="F544" s="67"/>
      <c r="I544" s="67"/>
    </row>
    <row r="545" spans="3:9" ht="15.75" customHeight="1">
      <c r="C545" s="30"/>
      <c r="F545" s="67"/>
      <c r="I545" s="67"/>
    </row>
    <row r="546" spans="3:9" ht="15.75" customHeight="1">
      <c r="C546" s="30"/>
      <c r="F546" s="67"/>
      <c r="I546" s="67"/>
    </row>
    <row r="547" spans="3:9" ht="15.75" customHeight="1">
      <c r="C547" s="30"/>
      <c r="F547" s="67"/>
      <c r="I547" s="67"/>
    </row>
    <row r="548" spans="3:9" ht="15.75" customHeight="1">
      <c r="C548" s="30"/>
      <c r="F548" s="67"/>
      <c r="I548" s="67"/>
    </row>
    <row r="549" spans="3:9" ht="15.75" customHeight="1">
      <c r="C549" s="30"/>
      <c r="F549" s="67"/>
      <c r="I549" s="67"/>
    </row>
    <row r="550" spans="3:9" ht="15.75" customHeight="1">
      <c r="C550" s="30"/>
      <c r="F550" s="67"/>
      <c r="I550" s="67"/>
    </row>
    <row r="551" spans="3:9" ht="15.75" customHeight="1">
      <c r="C551" s="30"/>
      <c r="F551" s="67"/>
      <c r="I551" s="67"/>
    </row>
    <row r="552" spans="3:9" ht="15.75" customHeight="1">
      <c r="C552" s="30"/>
      <c r="F552" s="67"/>
      <c r="I552" s="67"/>
    </row>
    <row r="553" spans="3:9" ht="15.75" customHeight="1">
      <c r="C553" s="30"/>
      <c r="F553" s="67"/>
      <c r="I553" s="67"/>
    </row>
    <row r="554" spans="3:9" ht="15.75" customHeight="1">
      <c r="C554" s="30"/>
      <c r="F554" s="67"/>
      <c r="I554" s="67"/>
    </row>
    <row r="555" spans="3:9" ht="15.75" customHeight="1">
      <c r="C555" s="30"/>
      <c r="F555" s="67"/>
      <c r="I555" s="67"/>
    </row>
    <row r="556" spans="3:9" ht="15.75" customHeight="1">
      <c r="C556" s="30"/>
      <c r="F556" s="67"/>
      <c r="I556" s="67"/>
    </row>
    <row r="557" spans="3:9" ht="15.75" customHeight="1">
      <c r="C557" s="30"/>
      <c r="F557" s="67"/>
      <c r="I557" s="67"/>
    </row>
    <row r="558" spans="3:9" ht="15.75" customHeight="1">
      <c r="C558" s="30"/>
      <c r="F558" s="67"/>
      <c r="I558" s="67"/>
    </row>
    <row r="559" spans="3:9" ht="15.75" customHeight="1">
      <c r="C559" s="30"/>
      <c r="F559" s="67"/>
      <c r="I559" s="67"/>
    </row>
    <row r="560" spans="3:9" ht="15.75" customHeight="1">
      <c r="C560" s="30"/>
      <c r="F560" s="67"/>
      <c r="I560" s="67"/>
    </row>
    <row r="561" spans="3:9" ht="15.75" customHeight="1">
      <c r="C561" s="30"/>
      <c r="F561" s="67"/>
      <c r="I561" s="67"/>
    </row>
    <row r="562" spans="3:9" ht="15.75" customHeight="1">
      <c r="C562" s="30"/>
      <c r="F562" s="67"/>
      <c r="I562" s="67"/>
    </row>
    <row r="563" spans="3:9" ht="15.75" customHeight="1">
      <c r="C563" s="30"/>
      <c r="F563" s="67"/>
      <c r="I563" s="67"/>
    </row>
    <row r="564" spans="3:9" ht="15.75" customHeight="1">
      <c r="C564" s="30"/>
      <c r="F564" s="67"/>
      <c r="I564" s="67"/>
    </row>
    <row r="565" spans="3:9" ht="15.75" customHeight="1">
      <c r="C565" s="30"/>
      <c r="F565" s="67"/>
      <c r="I565" s="67"/>
    </row>
    <row r="566" spans="3:9" ht="15.75" customHeight="1">
      <c r="C566" s="30"/>
      <c r="F566" s="67"/>
      <c r="I566" s="67"/>
    </row>
    <row r="567" spans="3:9" ht="15.75" customHeight="1">
      <c r="C567" s="30"/>
      <c r="F567" s="67"/>
      <c r="I567" s="67"/>
    </row>
    <row r="568" spans="3:9" ht="15.75" customHeight="1">
      <c r="C568" s="30"/>
      <c r="F568" s="67"/>
      <c r="I568" s="67"/>
    </row>
    <row r="569" spans="3:9" ht="15.75" customHeight="1">
      <c r="C569" s="30"/>
      <c r="F569" s="67"/>
      <c r="I569" s="67"/>
    </row>
    <row r="570" spans="3:9" ht="15.75" customHeight="1">
      <c r="C570" s="30"/>
      <c r="F570" s="67"/>
      <c r="I570" s="67"/>
    </row>
    <row r="571" spans="3:9" ht="15.75" customHeight="1">
      <c r="C571" s="30"/>
      <c r="F571" s="67"/>
      <c r="I571" s="67"/>
    </row>
    <row r="572" spans="3:9" ht="15.75" customHeight="1">
      <c r="C572" s="30"/>
      <c r="F572" s="67"/>
      <c r="I572" s="67"/>
    </row>
    <row r="573" spans="3:9" ht="15.75" customHeight="1">
      <c r="C573" s="30"/>
      <c r="F573" s="67"/>
      <c r="I573" s="67"/>
    </row>
    <row r="574" spans="3:9" ht="15.75" customHeight="1">
      <c r="C574" s="30"/>
      <c r="F574" s="67"/>
      <c r="I574" s="67"/>
    </row>
    <row r="575" spans="3:9" ht="15.75" customHeight="1">
      <c r="C575" s="30"/>
      <c r="F575" s="67"/>
      <c r="I575" s="67"/>
    </row>
    <row r="576" spans="3:9" ht="15.75" customHeight="1">
      <c r="C576" s="30"/>
      <c r="F576" s="67"/>
      <c r="I576" s="67"/>
    </row>
    <row r="577" spans="3:9" ht="15.75" customHeight="1">
      <c r="C577" s="30"/>
      <c r="F577" s="67"/>
      <c r="I577" s="67"/>
    </row>
    <row r="578" spans="3:9" ht="15.75" customHeight="1">
      <c r="C578" s="30"/>
      <c r="F578" s="67"/>
      <c r="I578" s="67"/>
    </row>
    <row r="579" spans="3:9" ht="15.75" customHeight="1">
      <c r="C579" s="30"/>
      <c r="F579" s="67"/>
      <c r="I579" s="67"/>
    </row>
    <row r="580" spans="3:9" ht="15.75" customHeight="1">
      <c r="C580" s="30"/>
      <c r="F580" s="67"/>
      <c r="I580" s="67"/>
    </row>
    <row r="581" spans="3:9" ht="15.75" customHeight="1">
      <c r="C581" s="30"/>
      <c r="F581" s="67"/>
      <c r="I581" s="67"/>
    </row>
    <row r="582" spans="3:9" ht="15.75" customHeight="1">
      <c r="C582" s="30"/>
      <c r="F582" s="67"/>
      <c r="I582" s="67"/>
    </row>
    <row r="583" spans="3:9" ht="15.75" customHeight="1">
      <c r="C583" s="30"/>
      <c r="F583" s="67"/>
      <c r="I583" s="67"/>
    </row>
    <row r="584" spans="3:9" ht="15.75" customHeight="1">
      <c r="C584" s="30"/>
      <c r="F584" s="67"/>
      <c r="I584" s="67"/>
    </row>
    <row r="585" spans="3:9" ht="15.75" customHeight="1">
      <c r="C585" s="30"/>
      <c r="F585" s="67"/>
      <c r="I585" s="67"/>
    </row>
    <row r="586" spans="3:9" ht="15.75" customHeight="1">
      <c r="C586" s="30"/>
      <c r="F586" s="67"/>
      <c r="I586" s="67"/>
    </row>
    <row r="587" spans="3:9" ht="15.75" customHeight="1">
      <c r="C587" s="30"/>
      <c r="F587" s="67"/>
      <c r="I587" s="67"/>
    </row>
    <row r="588" spans="3:9" ht="15.75" customHeight="1">
      <c r="C588" s="30"/>
      <c r="F588" s="67"/>
      <c r="I588" s="67"/>
    </row>
    <row r="589" spans="3:9" ht="15.75" customHeight="1">
      <c r="C589" s="30"/>
      <c r="F589" s="67"/>
      <c r="I589" s="67"/>
    </row>
    <row r="590" spans="3:9" ht="15.75" customHeight="1">
      <c r="C590" s="30"/>
      <c r="F590" s="67"/>
      <c r="I590" s="67"/>
    </row>
    <row r="591" spans="3:9" ht="15.75" customHeight="1">
      <c r="C591" s="30"/>
      <c r="F591" s="67"/>
      <c r="I591" s="67"/>
    </row>
    <row r="592" spans="3:9" ht="15.75" customHeight="1">
      <c r="C592" s="30"/>
      <c r="F592" s="67"/>
      <c r="I592" s="67"/>
    </row>
    <row r="593" spans="3:9" ht="15.75" customHeight="1">
      <c r="C593" s="30"/>
      <c r="F593" s="67"/>
      <c r="I593" s="67"/>
    </row>
    <row r="594" spans="3:9" ht="15.75" customHeight="1">
      <c r="C594" s="30"/>
      <c r="F594" s="67"/>
      <c r="I594" s="67"/>
    </row>
    <row r="595" spans="3:9" ht="15.75" customHeight="1">
      <c r="C595" s="30"/>
      <c r="F595" s="67"/>
      <c r="I595" s="67"/>
    </row>
    <row r="596" spans="3:9" ht="15.75" customHeight="1">
      <c r="C596" s="30"/>
      <c r="F596" s="67"/>
      <c r="I596" s="67"/>
    </row>
    <row r="597" spans="3:9" ht="15.75" customHeight="1">
      <c r="C597" s="30"/>
      <c r="F597" s="67"/>
      <c r="I597" s="67"/>
    </row>
    <row r="598" spans="3:9" ht="15.75" customHeight="1">
      <c r="C598" s="30"/>
      <c r="F598" s="67"/>
      <c r="I598" s="67"/>
    </row>
    <row r="599" spans="3:9" ht="15.75" customHeight="1">
      <c r="C599" s="30"/>
      <c r="F599" s="67"/>
      <c r="I599" s="67"/>
    </row>
    <row r="600" spans="3:9" ht="15.75" customHeight="1">
      <c r="C600" s="30"/>
      <c r="F600" s="67"/>
      <c r="I600" s="67"/>
    </row>
    <row r="601" spans="3:9" ht="15.75" customHeight="1">
      <c r="C601" s="30"/>
      <c r="F601" s="67"/>
      <c r="I601" s="67"/>
    </row>
    <row r="602" spans="3:9" ht="15.75" customHeight="1">
      <c r="C602" s="30"/>
      <c r="F602" s="67"/>
      <c r="I602" s="67"/>
    </row>
    <row r="603" spans="3:9" ht="15.75" customHeight="1">
      <c r="C603" s="30"/>
      <c r="F603" s="67"/>
      <c r="I603" s="67"/>
    </row>
    <row r="604" spans="3:9" ht="15.75" customHeight="1">
      <c r="C604" s="30"/>
      <c r="F604" s="67"/>
      <c r="I604" s="67"/>
    </row>
    <row r="605" spans="3:9" ht="15.75" customHeight="1">
      <c r="C605" s="30"/>
      <c r="F605" s="67"/>
      <c r="I605" s="67"/>
    </row>
    <row r="606" spans="3:9" ht="15.75" customHeight="1">
      <c r="C606" s="30"/>
      <c r="F606" s="67"/>
      <c r="I606" s="67"/>
    </row>
    <row r="607" spans="3:9" ht="15.75" customHeight="1">
      <c r="C607" s="30"/>
      <c r="F607" s="67"/>
      <c r="I607" s="67"/>
    </row>
    <row r="608" spans="3:9" ht="15.75" customHeight="1">
      <c r="C608" s="30"/>
      <c r="F608" s="67"/>
      <c r="I608" s="67"/>
    </row>
    <row r="609" spans="3:9" ht="15.75" customHeight="1">
      <c r="C609" s="30"/>
      <c r="F609" s="67"/>
      <c r="I609" s="67"/>
    </row>
    <row r="610" spans="3:9" ht="15.75" customHeight="1">
      <c r="C610" s="30"/>
      <c r="F610" s="67"/>
      <c r="I610" s="67"/>
    </row>
    <row r="611" spans="3:9" ht="15.75" customHeight="1">
      <c r="C611" s="30"/>
      <c r="F611" s="67"/>
      <c r="I611" s="67"/>
    </row>
    <row r="612" spans="3:9" ht="15.75" customHeight="1">
      <c r="C612" s="30"/>
      <c r="F612" s="67"/>
      <c r="I612" s="67"/>
    </row>
    <row r="613" spans="3:9" ht="15.75" customHeight="1">
      <c r="C613" s="30"/>
      <c r="F613" s="67"/>
      <c r="I613" s="67"/>
    </row>
    <row r="614" spans="3:9" ht="15.75" customHeight="1">
      <c r="C614" s="30"/>
      <c r="F614" s="67"/>
      <c r="I614" s="67"/>
    </row>
    <row r="615" spans="3:9" ht="15.75" customHeight="1">
      <c r="C615" s="30"/>
      <c r="F615" s="67"/>
      <c r="I615" s="67"/>
    </row>
    <row r="616" spans="3:9" ht="15.75" customHeight="1">
      <c r="C616" s="30"/>
      <c r="F616" s="67"/>
      <c r="I616" s="67"/>
    </row>
    <row r="617" spans="3:9" ht="15.75" customHeight="1">
      <c r="C617" s="30"/>
      <c r="F617" s="67"/>
      <c r="I617" s="67"/>
    </row>
    <row r="618" spans="3:9" ht="15.75" customHeight="1">
      <c r="C618" s="30"/>
      <c r="F618" s="67"/>
      <c r="I618" s="67"/>
    </row>
    <row r="619" spans="3:9" ht="15.75" customHeight="1">
      <c r="C619" s="30"/>
      <c r="F619" s="67"/>
      <c r="I619" s="67"/>
    </row>
    <row r="620" spans="3:9" ht="15.75" customHeight="1">
      <c r="C620" s="30"/>
      <c r="F620" s="67"/>
      <c r="I620" s="67"/>
    </row>
    <row r="621" spans="3:9" ht="15.75" customHeight="1">
      <c r="C621" s="30"/>
      <c r="F621" s="67"/>
      <c r="I621" s="67"/>
    </row>
    <row r="622" spans="3:9" ht="15.75" customHeight="1">
      <c r="C622" s="30"/>
      <c r="F622" s="67"/>
      <c r="I622" s="67"/>
    </row>
    <row r="623" spans="3:9" ht="15.75" customHeight="1">
      <c r="C623" s="30"/>
      <c r="F623" s="67"/>
      <c r="I623" s="67"/>
    </row>
    <row r="624" spans="3:9" ht="15.75" customHeight="1">
      <c r="C624" s="30"/>
      <c r="F624" s="67"/>
      <c r="I624" s="67"/>
    </row>
    <row r="625" spans="3:9" ht="15.75" customHeight="1">
      <c r="C625" s="30"/>
      <c r="F625" s="67"/>
      <c r="I625" s="67"/>
    </row>
    <row r="626" spans="3:9" ht="15.75" customHeight="1">
      <c r="C626" s="30"/>
      <c r="F626" s="67"/>
      <c r="I626" s="67"/>
    </row>
    <row r="627" spans="3:9" ht="15.75" customHeight="1">
      <c r="C627" s="30"/>
      <c r="F627" s="67"/>
      <c r="I627" s="67"/>
    </row>
    <row r="628" spans="3:9" ht="15.75" customHeight="1">
      <c r="C628" s="30"/>
      <c r="F628" s="67"/>
      <c r="I628" s="67"/>
    </row>
    <row r="629" spans="3:9" ht="15.75" customHeight="1">
      <c r="C629" s="30"/>
      <c r="F629" s="67"/>
      <c r="I629" s="67"/>
    </row>
    <row r="630" spans="3:9" ht="15.75" customHeight="1">
      <c r="C630" s="30"/>
      <c r="F630" s="67"/>
      <c r="I630" s="67"/>
    </row>
    <row r="631" spans="3:9" ht="15.75" customHeight="1">
      <c r="C631" s="30"/>
      <c r="F631" s="67"/>
      <c r="I631" s="67"/>
    </row>
    <row r="632" spans="3:9" ht="15.75" customHeight="1">
      <c r="C632" s="30"/>
      <c r="F632" s="67"/>
      <c r="I632" s="67"/>
    </row>
    <row r="633" spans="3:9" ht="15.75" customHeight="1">
      <c r="C633" s="30"/>
      <c r="F633" s="67"/>
      <c r="I633" s="67"/>
    </row>
    <row r="634" spans="3:9" ht="15.75" customHeight="1">
      <c r="C634" s="30"/>
      <c r="F634" s="67"/>
      <c r="I634" s="67"/>
    </row>
    <row r="635" spans="3:9" ht="15.75" customHeight="1">
      <c r="C635" s="30"/>
      <c r="F635" s="67"/>
      <c r="I635" s="67"/>
    </row>
    <row r="636" spans="3:9" ht="15.75" customHeight="1">
      <c r="C636" s="30"/>
      <c r="F636" s="67"/>
      <c r="I636" s="67"/>
    </row>
    <row r="637" spans="3:9" ht="15.75" customHeight="1">
      <c r="C637" s="30"/>
      <c r="F637" s="67"/>
      <c r="I637" s="67"/>
    </row>
    <row r="638" spans="3:9" ht="15.75" customHeight="1">
      <c r="C638" s="30"/>
      <c r="F638" s="67"/>
      <c r="I638" s="67"/>
    </row>
    <row r="639" spans="3:9" ht="15.75" customHeight="1">
      <c r="C639" s="30"/>
      <c r="F639" s="67"/>
      <c r="I639" s="67"/>
    </row>
    <row r="640" spans="3:9" ht="15.75" customHeight="1">
      <c r="C640" s="30"/>
      <c r="F640" s="67"/>
      <c r="I640" s="67"/>
    </row>
    <row r="641" spans="3:9" ht="15.75" customHeight="1">
      <c r="C641" s="30"/>
      <c r="F641" s="67"/>
      <c r="I641" s="67"/>
    </row>
    <row r="642" spans="3:9" ht="15.75" customHeight="1">
      <c r="C642" s="30"/>
      <c r="F642" s="67"/>
      <c r="I642" s="67"/>
    </row>
    <row r="643" spans="3:9" ht="15.75" customHeight="1">
      <c r="C643" s="30"/>
      <c r="F643" s="67"/>
      <c r="I643" s="67"/>
    </row>
    <row r="644" spans="3:9" ht="15.75" customHeight="1">
      <c r="C644" s="30"/>
      <c r="F644" s="67"/>
      <c r="I644" s="67"/>
    </row>
    <row r="645" spans="3:9" ht="15.75" customHeight="1">
      <c r="C645" s="30"/>
      <c r="F645" s="67"/>
      <c r="I645" s="67"/>
    </row>
    <row r="646" spans="3:9" ht="15.75" customHeight="1">
      <c r="C646" s="30"/>
      <c r="F646" s="67"/>
      <c r="I646" s="67"/>
    </row>
    <row r="647" spans="3:9" ht="15.75" customHeight="1">
      <c r="C647" s="30"/>
      <c r="F647" s="67"/>
      <c r="I647" s="67"/>
    </row>
    <row r="648" spans="3:9" ht="15.75" customHeight="1">
      <c r="C648" s="30"/>
      <c r="F648" s="67"/>
      <c r="I648" s="67"/>
    </row>
    <row r="649" spans="3:9" ht="15.75" customHeight="1">
      <c r="C649" s="30"/>
      <c r="F649" s="67"/>
      <c r="I649" s="67"/>
    </row>
    <row r="650" spans="3:9" ht="15.75" customHeight="1">
      <c r="C650" s="30"/>
      <c r="F650" s="67"/>
      <c r="I650" s="67"/>
    </row>
    <row r="651" spans="3:9" ht="15.75" customHeight="1">
      <c r="C651" s="30"/>
      <c r="F651" s="67"/>
      <c r="I651" s="67"/>
    </row>
    <row r="652" spans="3:9" ht="15.75" customHeight="1">
      <c r="C652" s="30"/>
      <c r="F652" s="67"/>
      <c r="I652" s="67"/>
    </row>
    <row r="653" spans="3:9" ht="15.75" customHeight="1">
      <c r="C653" s="30"/>
      <c r="F653" s="67"/>
      <c r="I653" s="67"/>
    </row>
    <row r="654" spans="3:9" ht="15.75" customHeight="1">
      <c r="C654" s="30"/>
      <c r="F654" s="67"/>
      <c r="I654" s="67"/>
    </row>
    <row r="655" spans="3:9" ht="15.75" customHeight="1">
      <c r="C655" s="30"/>
      <c r="F655" s="67"/>
      <c r="I655" s="67"/>
    </row>
    <row r="656" spans="3:9" ht="15.75" customHeight="1">
      <c r="C656" s="30"/>
      <c r="F656" s="67"/>
      <c r="I656" s="67"/>
    </row>
    <row r="657" spans="3:9" ht="15.75" customHeight="1">
      <c r="C657" s="30"/>
      <c r="F657" s="67"/>
      <c r="I657" s="67"/>
    </row>
    <row r="658" spans="3:9" ht="15.75" customHeight="1">
      <c r="C658" s="30"/>
      <c r="F658" s="67"/>
      <c r="I658" s="67"/>
    </row>
    <row r="659" spans="3:9" ht="15.75" customHeight="1">
      <c r="C659" s="30"/>
      <c r="F659" s="67"/>
      <c r="I659" s="67"/>
    </row>
    <row r="660" spans="3:9" ht="15.75" customHeight="1">
      <c r="C660" s="30"/>
      <c r="F660" s="67"/>
      <c r="I660" s="67"/>
    </row>
    <row r="661" spans="3:9" ht="15.75" customHeight="1">
      <c r="C661" s="30"/>
      <c r="F661" s="67"/>
      <c r="I661" s="67"/>
    </row>
    <row r="662" spans="3:9" ht="15.75" customHeight="1">
      <c r="C662" s="30"/>
      <c r="F662" s="67"/>
      <c r="I662" s="67"/>
    </row>
    <row r="663" spans="3:9" ht="15.75" customHeight="1">
      <c r="C663" s="30"/>
      <c r="F663" s="67"/>
      <c r="I663" s="67"/>
    </row>
    <row r="664" spans="3:9" ht="15.75" customHeight="1">
      <c r="C664" s="30"/>
      <c r="F664" s="67"/>
      <c r="I664" s="67"/>
    </row>
    <row r="665" spans="3:9" ht="15.75" customHeight="1">
      <c r="C665" s="30"/>
      <c r="F665" s="67"/>
      <c r="I665" s="67"/>
    </row>
    <row r="666" spans="3:9" ht="15.75" customHeight="1">
      <c r="C666" s="30"/>
      <c r="F666" s="67"/>
      <c r="I666" s="67"/>
    </row>
    <row r="667" spans="3:9" ht="15.75" customHeight="1">
      <c r="C667" s="30"/>
      <c r="F667" s="67"/>
      <c r="I667" s="67"/>
    </row>
    <row r="668" spans="3:9" ht="15.75" customHeight="1">
      <c r="C668" s="30"/>
      <c r="F668" s="67"/>
      <c r="I668" s="67"/>
    </row>
    <row r="669" spans="3:9" ht="15.75" customHeight="1">
      <c r="C669" s="30"/>
      <c r="F669" s="67"/>
      <c r="I669" s="67"/>
    </row>
    <row r="670" spans="3:9" ht="15.75" customHeight="1">
      <c r="C670" s="30"/>
      <c r="F670" s="67"/>
      <c r="I670" s="67"/>
    </row>
    <row r="671" spans="3:9" ht="15.75" customHeight="1">
      <c r="C671" s="30"/>
      <c r="F671" s="67"/>
      <c r="I671" s="67"/>
    </row>
    <row r="672" spans="3:9" ht="15.75" customHeight="1">
      <c r="C672" s="30"/>
      <c r="F672" s="67"/>
      <c r="I672" s="67"/>
    </row>
    <row r="673" spans="3:9" ht="15.75" customHeight="1">
      <c r="C673" s="30"/>
      <c r="F673" s="67"/>
      <c r="I673" s="67"/>
    </row>
    <row r="674" spans="3:9" ht="15.75" customHeight="1">
      <c r="C674" s="30"/>
      <c r="F674" s="67"/>
      <c r="I674" s="67"/>
    </row>
    <row r="675" spans="3:9" ht="15.75" customHeight="1">
      <c r="C675" s="30"/>
      <c r="F675" s="67"/>
      <c r="I675" s="67"/>
    </row>
    <row r="676" spans="3:9" ht="15.75" customHeight="1">
      <c r="C676" s="30"/>
      <c r="F676" s="67"/>
      <c r="I676" s="67"/>
    </row>
    <row r="677" spans="3:9" ht="15.75" customHeight="1">
      <c r="C677" s="30"/>
      <c r="F677" s="67"/>
      <c r="I677" s="67"/>
    </row>
    <row r="678" spans="3:9" ht="15.75" customHeight="1">
      <c r="C678" s="30"/>
      <c r="F678" s="67"/>
      <c r="I678" s="67"/>
    </row>
    <row r="679" spans="3:9" ht="15.75" customHeight="1">
      <c r="C679" s="30"/>
      <c r="F679" s="67"/>
      <c r="I679" s="67"/>
    </row>
    <row r="680" spans="3:9" ht="15.75" customHeight="1">
      <c r="C680" s="30"/>
      <c r="F680" s="67"/>
      <c r="I680" s="67"/>
    </row>
    <row r="681" spans="3:9" ht="15.75" customHeight="1">
      <c r="C681" s="30"/>
      <c r="F681" s="67"/>
      <c r="I681" s="67"/>
    </row>
    <row r="682" spans="3:9" ht="15.75" customHeight="1">
      <c r="C682" s="30"/>
      <c r="F682" s="67"/>
      <c r="I682" s="67"/>
    </row>
    <row r="683" spans="3:9" ht="15.75" customHeight="1">
      <c r="C683" s="30"/>
      <c r="F683" s="67"/>
      <c r="I683" s="67"/>
    </row>
    <row r="684" spans="3:9" ht="15.75" customHeight="1">
      <c r="C684" s="30"/>
      <c r="F684" s="67"/>
      <c r="I684" s="67"/>
    </row>
    <row r="685" spans="3:9" ht="15.75" customHeight="1">
      <c r="C685" s="30"/>
      <c r="F685" s="67"/>
      <c r="I685" s="67"/>
    </row>
    <row r="686" spans="3:9" ht="15.75" customHeight="1">
      <c r="C686" s="30"/>
      <c r="F686" s="67"/>
      <c r="I686" s="67"/>
    </row>
    <row r="687" spans="3:9" ht="15.75" customHeight="1">
      <c r="C687" s="30"/>
      <c r="F687" s="67"/>
      <c r="I687" s="67"/>
    </row>
    <row r="688" spans="3:9" ht="15.75" customHeight="1">
      <c r="C688" s="30"/>
      <c r="F688" s="67"/>
      <c r="I688" s="67"/>
    </row>
    <row r="689" spans="3:9" ht="15.75" customHeight="1">
      <c r="C689" s="30"/>
      <c r="F689" s="67"/>
      <c r="I689" s="67"/>
    </row>
    <row r="690" spans="3:9" ht="15.75" customHeight="1">
      <c r="C690" s="30"/>
      <c r="F690" s="67"/>
      <c r="I690" s="67"/>
    </row>
    <row r="691" spans="3:9" ht="15.75" customHeight="1">
      <c r="C691" s="30"/>
      <c r="F691" s="67"/>
      <c r="I691" s="67"/>
    </row>
    <row r="692" spans="3:9" ht="15.75" customHeight="1">
      <c r="C692" s="30"/>
      <c r="F692" s="67"/>
      <c r="I692" s="67"/>
    </row>
    <row r="693" spans="3:9" ht="15.75" customHeight="1">
      <c r="C693" s="30"/>
      <c r="F693" s="67"/>
      <c r="I693" s="67"/>
    </row>
    <row r="694" spans="3:9" ht="15.75" customHeight="1">
      <c r="C694" s="30"/>
      <c r="F694" s="67"/>
      <c r="I694" s="67"/>
    </row>
    <row r="695" spans="3:9" ht="15.75" customHeight="1">
      <c r="C695" s="30"/>
      <c r="F695" s="67"/>
      <c r="I695" s="67"/>
    </row>
    <row r="696" spans="3:9" ht="15.75" customHeight="1">
      <c r="C696" s="30"/>
      <c r="F696" s="67"/>
      <c r="I696" s="67"/>
    </row>
    <row r="697" spans="3:9" ht="15.75" customHeight="1">
      <c r="C697" s="30"/>
      <c r="F697" s="67"/>
      <c r="I697" s="67"/>
    </row>
    <row r="698" spans="3:9" ht="15.75" customHeight="1">
      <c r="C698" s="30"/>
      <c r="F698" s="67"/>
      <c r="I698" s="67"/>
    </row>
    <row r="699" spans="3:9" ht="15.75" customHeight="1">
      <c r="C699" s="30"/>
      <c r="F699" s="67"/>
      <c r="I699" s="67"/>
    </row>
    <row r="700" spans="3:9" ht="15.75" customHeight="1">
      <c r="C700" s="30"/>
      <c r="F700" s="67"/>
      <c r="I700" s="67"/>
    </row>
    <row r="701" spans="3:9" ht="15.75" customHeight="1">
      <c r="C701" s="30"/>
      <c r="F701" s="67"/>
      <c r="I701" s="67"/>
    </row>
    <row r="702" spans="3:9" ht="15.75" customHeight="1">
      <c r="C702" s="30"/>
      <c r="F702" s="67"/>
      <c r="I702" s="67"/>
    </row>
    <row r="703" spans="3:9" ht="15.75" customHeight="1">
      <c r="C703" s="30"/>
      <c r="F703" s="67"/>
      <c r="I703" s="67"/>
    </row>
    <row r="704" spans="3:9" ht="15.75" customHeight="1">
      <c r="C704" s="30"/>
      <c r="F704" s="67"/>
      <c r="I704" s="67"/>
    </row>
    <row r="705" spans="3:9" ht="15.75" customHeight="1">
      <c r="C705" s="30"/>
      <c r="F705" s="67"/>
      <c r="I705" s="67"/>
    </row>
    <row r="706" spans="3:9" ht="15.75" customHeight="1">
      <c r="C706" s="30"/>
      <c r="F706" s="67"/>
      <c r="I706" s="67"/>
    </row>
    <row r="707" spans="3:9" ht="15.75" customHeight="1">
      <c r="C707" s="30"/>
      <c r="F707" s="67"/>
      <c r="I707" s="67"/>
    </row>
    <row r="708" spans="3:9" ht="15.75" customHeight="1">
      <c r="C708" s="30"/>
      <c r="F708" s="67"/>
      <c r="I708" s="67"/>
    </row>
    <row r="709" spans="3:9" ht="15.75" customHeight="1">
      <c r="C709" s="30"/>
      <c r="F709" s="67"/>
      <c r="I709" s="67"/>
    </row>
    <row r="710" spans="3:9" ht="15.75" customHeight="1">
      <c r="C710" s="30"/>
      <c r="F710" s="67"/>
      <c r="I710" s="67"/>
    </row>
    <row r="711" spans="3:9" ht="15.75" customHeight="1">
      <c r="C711" s="30"/>
      <c r="F711" s="67"/>
      <c r="I711" s="67"/>
    </row>
    <row r="712" spans="3:9" ht="15.75" customHeight="1">
      <c r="C712" s="30"/>
      <c r="F712" s="67"/>
      <c r="I712" s="67"/>
    </row>
    <row r="713" spans="3:9" ht="15.75" customHeight="1">
      <c r="C713" s="30"/>
      <c r="F713" s="67"/>
      <c r="I713" s="67"/>
    </row>
    <row r="714" spans="3:9" ht="15.75" customHeight="1">
      <c r="C714" s="30"/>
      <c r="F714" s="67"/>
      <c r="I714" s="67"/>
    </row>
    <row r="715" spans="3:9" ht="15.75" customHeight="1">
      <c r="C715" s="30"/>
      <c r="F715" s="67"/>
      <c r="I715" s="67"/>
    </row>
    <row r="716" spans="3:9" ht="15.75" customHeight="1">
      <c r="C716" s="30"/>
      <c r="F716" s="67"/>
      <c r="I716" s="67"/>
    </row>
    <row r="717" spans="3:9" ht="15.75" customHeight="1">
      <c r="C717" s="30"/>
      <c r="F717" s="67"/>
      <c r="I717" s="67"/>
    </row>
    <row r="718" spans="3:9" ht="15.75" customHeight="1">
      <c r="C718" s="30"/>
      <c r="F718" s="67"/>
      <c r="I718" s="67"/>
    </row>
    <row r="719" spans="3:9" ht="15.75" customHeight="1">
      <c r="C719" s="30"/>
      <c r="F719" s="67"/>
      <c r="I719" s="67"/>
    </row>
    <row r="720" spans="3:9" ht="15.75" customHeight="1">
      <c r="C720" s="30"/>
      <c r="F720" s="67"/>
      <c r="I720" s="67"/>
    </row>
    <row r="721" spans="3:9" ht="15.75" customHeight="1">
      <c r="C721" s="30"/>
      <c r="F721" s="67"/>
      <c r="I721" s="67"/>
    </row>
    <row r="722" spans="3:9" ht="15.75" customHeight="1">
      <c r="C722" s="30"/>
      <c r="F722" s="67"/>
      <c r="I722" s="67"/>
    </row>
    <row r="723" spans="3:9" ht="15.75" customHeight="1">
      <c r="C723" s="30"/>
      <c r="F723" s="67"/>
      <c r="I723" s="67"/>
    </row>
    <row r="724" spans="3:9" ht="15.75" customHeight="1">
      <c r="C724" s="30"/>
      <c r="F724" s="67"/>
      <c r="I724" s="67"/>
    </row>
    <row r="725" spans="3:9" ht="15.75" customHeight="1">
      <c r="C725" s="30"/>
      <c r="F725" s="67"/>
      <c r="I725" s="67"/>
    </row>
    <row r="726" spans="3:9" ht="15.75" customHeight="1">
      <c r="C726" s="30"/>
      <c r="F726" s="67"/>
      <c r="I726" s="67"/>
    </row>
    <row r="727" spans="3:9" ht="15.75" customHeight="1">
      <c r="C727" s="30"/>
      <c r="F727" s="67"/>
      <c r="I727" s="67"/>
    </row>
    <row r="728" spans="3:9" ht="15.75" customHeight="1">
      <c r="C728" s="30"/>
      <c r="F728" s="67"/>
      <c r="I728" s="67"/>
    </row>
    <row r="729" spans="3:9" ht="15.75" customHeight="1">
      <c r="C729" s="30"/>
      <c r="F729" s="67"/>
      <c r="I729" s="67"/>
    </row>
    <row r="730" spans="3:9" ht="15.75" customHeight="1">
      <c r="C730" s="30"/>
      <c r="F730" s="67"/>
      <c r="I730" s="67"/>
    </row>
    <row r="731" spans="3:9" ht="15.75" customHeight="1">
      <c r="C731" s="30"/>
      <c r="F731" s="67"/>
      <c r="I731" s="67"/>
    </row>
    <row r="732" spans="3:9" ht="15.75" customHeight="1">
      <c r="C732" s="30"/>
      <c r="F732" s="67"/>
      <c r="I732" s="67"/>
    </row>
    <row r="733" spans="3:9" ht="15.75" customHeight="1">
      <c r="C733" s="30"/>
      <c r="F733" s="67"/>
      <c r="I733" s="67"/>
    </row>
    <row r="734" spans="3:9" ht="15.75" customHeight="1">
      <c r="C734" s="30"/>
      <c r="F734" s="67"/>
      <c r="I734" s="67"/>
    </row>
    <row r="735" spans="3:9" ht="15.75" customHeight="1">
      <c r="C735" s="30"/>
      <c r="F735" s="67"/>
      <c r="I735" s="67"/>
    </row>
    <row r="736" spans="3:9" ht="15.75" customHeight="1">
      <c r="C736" s="30"/>
      <c r="F736" s="67"/>
      <c r="I736" s="67"/>
    </row>
    <row r="737" spans="3:9" ht="15.75" customHeight="1">
      <c r="C737" s="30"/>
      <c r="F737" s="67"/>
      <c r="I737" s="67"/>
    </row>
    <row r="738" spans="3:9" ht="15.75" customHeight="1">
      <c r="C738" s="30"/>
      <c r="F738" s="67"/>
      <c r="I738" s="67"/>
    </row>
    <row r="739" spans="3:9" ht="15.75" customHeight="1">
      <c r="C739" s="30"/>
      <c r="F739" s="67"/>
      <c r="I739" s="67"/>
    </row>
    <row r="740" spans="3:9" ht="15.75" customHeight="1">
      <c r="C740" s="30"/>
      <c r="F740" s="67"/>
      <c r="I740" s="67"/>
    </row>
    <row r="741" spans="3:9" ht="15.75" customHeight="1">
      <c r="C741" s="30"/>
      <c r="F741" s="67"/>
      <c r="I741" s="67"/>
    </row>
    <row r="742" spans="3:9" ht="15.75" customHeight="1">
      <c r="C742" s="30"/>
      <c r="F742" s="67"/>
      <c r="I742" s="67"/>
    </row>
    <row r="743" spans="3:9" ht="15.75" customHeight="1">
      <c r="C743" s="30"/>
      <c r="F743" s="67"/>
      <c r="I743" s="67"/>
    </row>
    <row r="744" spans="3:9" ht="15.75" customHeight="1">
      <c r="C744" s="30"/>
      <c r="F744" s="67"/>
      <c r="I744" s="67"/>
    </row>
    <row r="745" spans="3:9" ht="15.75" customHeight="1">
      <c r="C745" s="30"/>
      <c r="F745" s="67"/>
      <c r="I745" s="67"/>
    </row>
    <row r="746" spans="3:9" ht="15.75" customHeight="1">
      <c r="C746" s="30"/>
      <c r="F746" s="67"/>
      <c r="I746" s="67"/>
    </row>
    <row r="747" spans="3:9" ht="15.75" customHeight="1">
      <c r="C747" s="30"/>
      <c r="F747" s="67"/>
      <c r="I747" s="67"/>
    </row>
    <row r="748" spans="3:9" ht="15.75" customHeight="1">
      <c r="C748" s="30"/>
      <c r="F748" s="67"/>
      <c r="I748" s="67"/>
    </row>
    <row r="749" spans="3:9" ht="15.75" customHeight="1">
      <c r="C749" s="30"/>
      <c r="F749" s="67"/>
      <c r="I749" s="67"/>
    </row>
    <row r="750" spans="3:9" ht="15.75" customHeight="1">
      <c r="C750" s="30"/>
      <c r="F750" s="67"/>
      <c r="I750" s="67"/>
    </row>
    <row r="751" spans="3:9" ht="15.75" customHeight="1">
      <c r="C751" s="30"/>
      <c r="F751" s="67"/>
      <c r="I751" s="67"/>
    </row>
    <row r="752" spans="3:9" ht="15.75" customHeight="1">
      <c r="C752" s="30"/>
      <c r="F752" s="67"/>
      <c r="I752" s="67"/>
    </row>
    <row r="753" spans="3:9" ht="15.75" customHeight="1">
      <c r="C753" s="30"/>
      <c r="F753" s="67"/>
      <c r="I753" s="67"/>
    </row>
    <row r="754" spans="3:9" ht="15.75" customHeight="1">
      <c r="C754" s="30"/>
      <c r="F754" s="67"/>
      <c r="I754" s="67"/>
    </row>
    <row r="755" spans="3:9" ht="15.75" customHeight="1">
      <c r="C755" s="30"/>
      <c r="F755" s="67"/>
      <c r="I755" s="67"/>
    </row>
    <row r="756" spans="3:9" ht="15.75" customHeight="1">
      <c r="C756" s="30"/>
      <c r="F756" s="67"/>
      <c r="I756" s="67"/>
    </row>
    <row r="757" spans="3:9" ht="15.75" customHeight="1">
      <c r="C757" s="30"/>
      <c r="F757" s="67"/>
      <c r="I757" s="67"/>
    </row>
    <row r="758" spans="3:9" ht="15.75" customHeight="1">
      <c r="C758" s="30"/>
      <c r="F758" s="67"/>
      <c r="I758" s="67"/>
    </row>
    <row r="759" spans="3:9" ht="15.75" customHeight="1">
      <c r="C759" s="30"/>
      <c r="F759" s="67"/>
      <c r="I759" s="67"/>
    </row>
    <row r="760" spans="3:9" ht="15.75" customHeight="1">
      <c r="C760" s="30"/>
      <c r="F760" s="67"/>
      <c r="I760" s="67"/>
    </row>
    <row r="761" spans="3:9" ht="15.75" customHeight="1">
      <c r="C761" s="30"/>
      <c r="F761" s="67"/>
      <c r="I761" s="67"/>
    </row>
    <row r="762" spans="3:9" ht="15.75" customHeight="1">
      <c r="C762" s="30"/>
      <c r="F762" s="67"/>
      <c r="I762" s="67"/>
    </row>
    <row r="763" spans="3:9" ht="15.75" customHeight="1">
      <c r="C763" s="30"/>
      <c r="F763" s="67"/>
      <c r="I763" s="67"/>
    </row>
    <row r="764" spans="3:9" ht="15.75" customHeight="1">
      <c r="C764" s="30"/>
      <c r="F764" s="67"/>
      <c r="I764" s="67"/>
    </row>
    <row r="765" spans="3:9" ht="15.75" customHeight="1">
      <c r="C765" s="30"/>
      <c r="F765" s="67"/>
      <c r="I765" s="67"/>
    </row>
    <row r="766" spans="3:9" ht="15.75" customHeight="1">
      <c r="C766" s="30"/>
      <c r="F766" s="67"/>
      <c r="I766" s="67"/>
    </row>
    <row r="767" spans="3:9" ht="15.75" customHeight="1">
      <c r="C767" s="30"/>
      <c r="F767" s="67"/>
      <c r="I767" s="67"/>
    </row>
    <row r="768" spans="3:9" ht="15.75" customHeight="1">
      <c r="C768" s="30"/>
      <c r="F768" s="67"/>
      <c r="I768" s="67"/>
    </row>
    <row r="769" spans="3:9" ht="15.75" customHeight="1">
      <c r="C769" s="30"/>
      <c r="F769" s="67"/>
      <c r="I769" s="67"/>
    </row>
    <row r="770" spans="3:9" ht="15.75" customHeight="1">
      <c r="C770" s="30"/>
      <c r="F770" s="67"/>
      <c r="I770" s="67"/>
    </row>
    <row r="771" spans="3:9" ht="15.75" customHeight="1">
      <c r="C771" s="30"/>
      <c r="F771" s="67"/>
      <c r="I771" s="67"/>
    </row>
    <row r="772" spans="3:9" ht="15.75" customHeight="1">
      <c r="C772" s="30"/>
      <c r="F772" s="67"/>
      <c r="I772" s="67"/>
    </row>
    <row r="773" spans="3:9" ht="15.75" customHeight="1">
      <c r="C773" s="30"/>
      <c r="F773" s="67"/>
      <c r="I773" s="67"/>
    </row>
    <row r="774" spans="3:9" ht="15.75" customHeight="1">
      <c r="C774" s="30"/>
      <c r="F774" s="67"/>
      <c r="I774" s="67"/>
    </row>
    <row r="775" spans="3:9" ht="15.75" customHeight="1">
      <c r="C775" s="30"/>
      <c r="F775" s="67"/>
      <c r="I775" s="67"/>
    </row>
    <row r="776" spans="3:9" ht="15.75" customHeight="1">
      <c r="C776" s="30"/>
      <c r="F776" s="67"/>
      <c r="I776" s="67"/>
    </row>
    <row r="777" spans="3:9" ht="15.75" customHeight="1">
      <c r="C777" s="30"/>
      <c r="F777" s="67"/>
      <c r="I777" s="67"/>
    </row>
    <row r="778" spans="3:9" ht="15.75" customHeight="1">
      <c r="C778" s="30"/>
      <c r="F778" s="67"/>
      <c r="I778" s="67"/>
    </row>
    <row r="779" spans="3:9" ht="15.75" customHeight="1">
      <c r="C779" s="30"/>
      <c r="F779" s="67"/>
      <c r="I779" s="67"/>
    </row>
    <row r="780" spans="3:9" ht="15.75" customHeight="1">
      <c r="C780" s="30"/>
      <c r="F780" s="67"/>
      <c r="I780" s="67"/>
    </row>
    <row r="781" spans="3:9" ht="15.75" customHeight="1">
      <c r="C781" s="30"/>
      <c r="F781" s="67"/>
      <c r="I781" s="67"/>
    </row>
    <row r="782" spans="3:9" ht="15.75" customHeight="1">
      <c r="C782" s="30"/>
      <c r="F782" s="67"/>
      <c r="I782" s="67"/>
    </row>
    <row r="783" spans="3:9" ht="15.75" customHeight="1">
      <c r="C783" s="30"/>
      <c r="F783" s="67"/>
      <c r="I783" s="67"/>
    </row>
    <row r="784" spans="3:9" ht="15.75" customHeight="1">
      <c r="C784" s="30"/>
      <c r="F784" s="67"/>
      <c r="I784" s="67"/>
    </row>
    <row r="785" spans="3:9" ht="15.75" customHeight="1">
      <c r="C785" s="30"/>
      <c r="F785" s="67"/>
      <c r="I785" s="67"/>
    </row>
    <row r="786" spans="3:9" ht="15.75" customHeight="1">
      <c r="C786" s="30"/>
      <c r="F786" s="67"/>
      <c r="I786" s="67"/>
    </row>
    <row r="787" spans="3:9" ht="15.75" customHeight="1">
      <c r="C787" s="30"/>
      <c r="F787" s="67"/>
      <c r="I787" s="67"/>
    </row>
    <row r="788" spans="3:9" ht="15.75" customHeight="1">
      <c r="C788" s="30"/>
      <c r="F788" s="67"/>
      <c r="I788" s="67"/>
    </row>
    <row r="789" spans="3:9" ht="15.75" customHeight="1">
      <c r="C789" s="30"/>
      <c r="F789" s="67"/>
      <c r="I789" s="67"/>
    </row>
    <row r="790" spans="3:9" ht="15.75" customHeight="1">
      <c r="C790" s="30"/>
      <c r="F790" s="67"/>
      <c r="I790" s="67"/>
    </row>
    <row r="791" spans="3:9" ht="15.75" customHeight="1">
      <c r="C791" s="30"/>
      <c r="F791" s="67"/>
      <c r="I791" s="67"/>
    </row>
    <row r="792" spans="3:9" ht="15.75" customHeight="1">
      <c r="C792" s="30"/>
      <c r="F792" s="67"/>
      <c r="I792" s="67"/>
    </row>
    <row r="793" spans="3:9" ht="15.75" customHeight="1">
      <c r="C793" s="30"/>
      <c r="F793" s="67"/>
      <c r="I793" s="67"/>
    </row>
    <row r="794" spans="3:9" ht="15.75" customHeight="1">
      <c r="C794" s="30"/>
      <c r="F794" s="67"/>
      <c r="I794" s="67"/>
    </row>
    <row r="795" spans="3:9" ht="15.75" customHeight="1">
      <c r="C795" s="30"/>
      <c r="F795" s="67"/>
      <c r="I795" s="67"/>
    </row>
    <row r="796" spans="3:9" ht="15.75" customHeight="1">
      <c r="C796" s="30"/>
      <c r="F796" s="67"/>
      <c r="I796" s="67"/>
    </row>
    <row r="797" spans="3:9" ht="15.75" customHeight="1">
      <c r="C797" s="30"/>
      <c r="F797" s="67"/>
      <c r="I797" s="67"/>
    </row>
    <row r="798" spans="3:9" ht="15.75" customHeight="1">
      <c r="C798" s="30"/>
      <c r="F798" s="67"/>
      <c r="I798" s="67"/>
    </row>
    <row r="799" spans="3:9" ht="15.75" customHeight="1">
      <c r="C799" s="30"/>
      <c r="F799" s="67"/>
      <c r="I799" s="67"/>
    </row>
    <row r="800" spans="3:9" ht="15.75" customHeight="1">
      <c r="C800" s="30"/>
      <c r="F800" s="67"/>
      <c r="I800" s="67"/>
    </row>
    <row r="801" spans="3:9" ht="15.75" customHeight="1">
      <c r="C801" s="30"/>
      <c r="F801" s="67"/>
      <c r="I801" s="67"/>
    </row>
    <row r="802" spans="3:9" ht="15.75" customHeight="1">
      <c r="C802" s="30"/>
      <c r="F802" s="67"/>
      <c r="I802" s="67"/>
    </row>
    <row r="803" spans="3:9" ht="15.75" customHeight="1">
      <c r="C803" s="30"/>
      <c r="F803" s="67"/>
      <c r="I803" s="67"/>
    </row>
    <row r="804" spans="3:9" ht="15.75" customHeight="1">
      <c r="C804" s="30"/>
      <c r="F804" s="67"/>
      <c r="I804" s="67"/>
    </row>
    <row r="805" spans="3:9" ht="15.75" customHeight="1">
      <c r="C805" s="30"/>
      <c r="F805" s="67"/>
      <c r="I805" s="67"/>
    </row>
    <row r="806" spans="3:9" ht="15.75" customHeight="1">
      <c r="C806" s="30"/>
      <c r="F806" s="67"/>
      <c r="I806" s="67"/>
    </row>
    <row r="807" spans="3:9" ht="15.75" customHeight="1">
      <c r="C807" s="30"/>
      <c r="F807" s="67"/>
      <c r="I807" s="67"/>
    </row>
    <row r="808" spans="3:9" ht="15.75" customHeight="1">
      <c r="C808" s="30"/>
      <c r="F808" s="67"/>
      <c r="I808" s="67"/>
    </row>
    <row r="809" spans="3:9" ht="15.75" customHeight="1">
      <c r="C809" s="30"/>
      <c r="F809" s="67"/>
      <c r="I809" s="67"/>
    </row>
    <row r="810" spans="3:9" ht="15.75" customHeight="1">
      <c r="C810" s="30"/>
      <c r="F810" s="67"/>
      <c r="I810" s="67"/>
    </row>
    <row r="811" spans="3:9" ht="15.75" customHeight="1">
      <c r="C811" s="30"/>
      <c r="F811" s="67"/>
      <c r="I811" s="67"/>
    </row>
    <row r="812" spans="3:9" ht="15.75" customHeight="1">
      <c r="C812" s="30"/>
      <c r="F812" s="67"/>
      <c r="I812" s="67"/>
    </row>
    <row r="813" spans="3:9" ht="15.75" customHeight="1">
      <c r="C813" s="30"/>
      <c r="F813" s="67"/>
      <c r="I813" s="67"/>
    </row>
    <row r="814" spans="3:9" ht="15.75" customHeight="1">
      <c r="C814" s="30"/>
      <c r="F814" s="67"/>
      <c r="I814" s="67"/>
    </row>
    <row r="815" spans="3:9" ht="15.75" customHeight="1">
      <c r="C815" s="30"/>
      <c r="F815" s="67"/>
      <c r="I815" s="67"/>
    </row>
    <row r="816" spans="3:9" ht="15.75" customHeight="1">
      <c r="C816" s="30"/>
      <c r="F816" s="67"/>
      <c r="I816" s="67"/>
    </row>
    <row r="817" spans="3:9" ht="15.75" customHeight="1">
      <c r="C817" s="30"/>
      <c r="F817" s="67"/>
      <c r="I817" s="67"/>
    </row>
    <row r="818" spans="3:9" ht="15.75" customHeight="1">
      <c r="C818" s="30"/>
      <c r="F818" s="67"/>
      <c r="I818" s="67"/>
    </row>
    <row r="819" spans="3:9" ht="15.75" customHeight="1">
      <c r="C819" s="30"/>
      <c r="F819" s="67"/>
      <c r="I819" s="67"/>
    </row>
    <row r="820" spans="3:9" ht="15.75" customHeight="1">
      <c r="C820" s="30"/>
      <c r="F820" s="67"/>
      <c r="I820" s="67"/>
    </row>
    <row r="821" spans="3:9" ht="15.75" customHeight="1">
      <c r="C821" s="30"/>
      <c r="F821" s="67"/>
      <c r="I821" s="67"/>
    </row>
    <row r="822" spans="3:9" ht="15.75" customHeight="1">
      <c r="C822" s="30"/>
      <c r="F822" s="67"/>
      <c r="I822" s="67"/>
    </row>
    <row r="823" spans="3:9" ht="15.75" customHeight="1">
      <c r="C823" s="30"/>
      <c r="F823" s="67"/>
      <c r="I823" s="67"/>
    </row>
    <row r="824" spans="3:9" ht="15.75" customHeight="1">
      <c r="C824" s="30"/>
      <c r="F824" s="67"/>
      <c r="I824" s="67"/>
    </row>
    <row r="825" spans="3:9" ht="15.75" customHeight="1">
      <c r="C825" s="30"/>
      <c r="F825" s="67"/>
      <c r="I825" s="67"/>
    </row>
    <row r="826" spans="3:9" ht="15.75" customHeight="1">
      <c r="C826" s="30"/>
      <c r="F826" s="67"/>
      <c r="I826" s="67"/>
    </row>
    <row r="827" spans="3:9" ht="15.75" customHeight="1">
      <c r="C827" s="30"/>
      <c r="F827" s="67"/>
      <c r="I827" s="67"/>
    </row>
    <row r="828" spans="3:9" ht="15.75" customHeight="1">
      <c r="C828" s="30"/>
      <c r="F828" s="67"/>
      <c r="I828" s="67"/>
    </row>
    <row r="829" spans="3:9" ht="15.75" customHeight="1">
      <c r="C829" s="30"/>
      <c r="F829" s="67"/>
      <c r="I829" s="67"/>
    </row>
    <row r="830" spans="3:9" ht="15.75" customHeight="1">
      <c r="C830" s="30"/>
      <c r="F830" s="67"/>
      <c r="I830" s="67"/>
    </row>
    <row r="831" spans="3:9" ht="15.75" customHeight="1">
      <c r="C831" s="30"/>
      <c r="F831" s="67"/>
      <c r="I831" s="67"/>
    </row>
    <row r="832" spans="3:9" ht="15.75" customHeight="1">
      <c r="C832" s="30"/>
      <c r="F832" s="67"/>
      <c r="I832" s="67"/>
    </row>
    <row r="833" spans="3:9" ht="15.75" customHeight="1">
      <c r="C833" s="30"/>
      <c r="F833" s="67"/>
      <c r="I833" s="67"/>
    </row>
    <row r="834" spans="3:9" ht="15.75" customHeight="1">
      <c r="C834" s="30"/>
      <c r="F834" s="67"/>
      <c r="I834" s="67"/>
    </row>
    <row r="835" spans="3:9" ht="15.75" customHeight="1">
      <c r="C835" s="30"/>
      <c r="F835" s="67"/>
      <c r="I835" s="67"/>
    </row>
    <row r="836" spans="3:9" ht="15.75" customHeight="1">
      <c r="C836" s="30"/>
      <c r="F836" s="67"/>
      <c r="I836" s="67"/>
    </row>
    <row r="837" spans="3:9" ht="15.75" customHeight="1">
      <c r="C837" s="30"/>
      <c r="F837" s="67"/>
      <c r="I837" s="67"/>
    </row>
    <row r="838" spans="3:9" ht="15.75" customHeight="1">
      <c r="C838" s="30"/>
      <c r="F838" s="67"/>
      <c r="I838" s="67"/>
    </row>
    <row r="839" spans="3:9" ht="15.75" customHeight="1">
      <c r="C839" s="30"/>
      <c r="F839" s="67"/>
      <c r="I839" s="67"/>
    </row>
    <row r="840" spans="3:9" ht="15.75" customHeight="1">
      <c r="C840" s="30"/>
      <c r="F840" s="67"/>
      <c r="I840" s="67"/>
    </row>
    <row r="841" spans="3:9" ht="15.75" customHeight="1">
      <c r="C841" s="30"/>
      <c r="F841" s="67"/>
      <c r="I841" s="67"/>
    </row>
    <row r="842" spans="3:9" ht="15.75" customHeight="1">
      <c r="C842" s="30"/>
      <c r="F842" s="67"/>
      <c r="I842" s="67"/>
    </row>
    <row r="843" spans="3:9" ht="15.75" customHeight="1">
      <c r="C843" s="30"/>
      <c r="F843" s="67"/>
      <c r="I843" s="67"/>
    </row>
    <row r="844" spans="3:9" ht="15.75" customHeight="1">
      <c r="C844" s="30"/>
      <c r="F844" s="67"/>
      <c r="I844" s="67"/>
    </row>
    <row r="845" spans="3:9" ht="15.75" customHeight="1">
      <c r="C845" s="30"/>
      <c r="F845" s="67"/>
      <c r="I845" s="67"/>
    </row>
    <row r="846" spans="3:9" ht="15.75" customHeight="1">
      <c r="C846" s="30"/>
      <c r="F846" s="67"/>
      <c r="I846" s="67"/>
    </row>
    <row r="847" spans="3:9" ht="15.75" customHeight="1">
      <c r="C847" s="30"/>
      <c r="F847" s="67"/>
      <c r="I847" s="67"/>
    </row>
    <row r="848" spans="3:9" ht="15.75" customHeight="1">
      <c r="C848" s="30"/>
      <c r="F848" s="67"/>
      <c r="I848" s="67"/>
    </row>
    <row r="849" spans="3:9" ht="15.75" customHeight="1">
      <c r="C849" s="30"/>
      <c r="F849" s="67"/>
      <c r="I849" s="67"/>
    </row>
    <row r="850" spans="3:9" ht="15.75" customHeight="1">
      <c r="C850" s="30"/>
      <c r="F850" s="67"/>
      <c r="I850" s="67"/>
    </row>
    <row r="851" spans="3:9" ht="15.75" customHeight="1">
      <c r="C851" s="30"/>
      <c r="F851" s="67"/>
      <c r="I851" s="67"/>
    </row>
    <row r="852" spans="3:9" ht="15.75" customHeight="1">
      <c r="C852" s="30"/>
      <c r="F852" s="67"/>
      <c r="I852" s="67"/>
    </row>
    <row r="853" spans="3:9" ht="15.75" customHeight="1">
      <c r="C853" s="30"/>
      <c r="F853" s="67"/>
      <c r="I853" s="67"/>
    </row>
    <row r="854" spans="3:9" ht="15.75" customHeight="1">
      <c r="C854" s="30"/>
      <c r="F854" s="67"/>
      <c r="I854" s="67"/>
    </row>
    <row r="855" spans="3:9" ht="15.75" customHeight="1">
      <c r="C855" s="30"/>
      <c r="F855" s="67"/>
      <c r="I855" s="67"/>
    </row>
    <row r="856" spans="3:9" ht="15.75" customHeight="1">
      <c r="C856" s="30"/>
      <c r="F856" s="67"/>
      <c r="I856" s="67"/>
    </row>
    <row r="857" spans="3:9" ht="15.75" customHeight="1">
      <c r="C857" s="30"/>
      <c r="F857" s="67"/>
      <c r="I857" s="67"/>
    </row>
    <row r="858" spans="3:9" ht="15.75" customHeight="1">
      <c r="C858" s="30"/>
      <c r="F858" s="67"/>
      <c r="I858" s="67"/>
    </row>
    <row r="859" spans="3:9" ht="15.75" customHeight="1">
      <c r="C859" s="30"/>
      <c r="F859" s="67"/>
      <c r="I859" s="67"/>
    </row>
    <row r="860" spans="3:9" ht="15.75" customHeight="1">
      <c r="C860" s="30"/>
      <c r="F860" s="67"/>
      <c r="I860" s="67"/>
    </row>
    <row r="861" spans="3:9" ht="15.75" customHeight="1">
      <c r="C861" s="30"/>
      <c r="F861" s="67"/>
      <c r="I861" s="67"/>
    </row>
    <row r="862" spans="3:9" ht="15.75" customHeight="1">
      <c r="C862" s="30"/>
      <c r="F862" s="67"/>
      <c r="I862" s="67"/>
    </row>
    <row r="863" spans="3:9" ht="15.75" customHeight="1">
      <c r="C863" s="30"/>
      <c r="F863" s="67"/>
      <c r="I863" s="67"/>
    </row>
    <row r="864" spans="3:9" ht="15.75" customHeight="1">
      <c r="C864" s="30"/>
      <c r="F864" s="67"/>
      <c r="I864" s="67"/>
    </row>
    <row r="865" spans="3:9" ht="15.75" customHeight="1">
      <c r="C865" s="30"/>
      <c r="F865" s="67"/>
      <c r="I865" s="67"/>
    </row>
    <row r="866" spans="3:9" ht="15.75" customHeight="1">
      <c r="C866" s="30"/>
      <c r="F866" s="67"/>
      <c r="I866" s="67"/>
    </row>
    <row r="867" spans="3:9" ht="15.75" customHeight="1">
      <c r="C867" s="30"/>
      <c r="F867" s="67"/>
      <c r="I867" s="67"/>
    </row>
    <row r="868" spans="3:9" ht="15.75" customHeight="1">
      <c r="C868" s="30"/>
      <c r="F868" s="67"/>
      <c r="I868" s="67"/>
    </row>
    <row r="869" spans="3:9" ht="15.75" customHeight="1">
      <c r="C869" s="30"/>
      <c r="F869" s="67"/>
      <c r="I869" s="67"/>
    </row>
    <row r="870" spans="3:9" ht="15.75" customHeight="1">
      <c r="C870" s="30"/>
      <c r="F870" s="67"/>
      <c r="I870" s="67"/>
    </row>
    <row r="871" spans="3:9" ht="15.75" customHeight="1">
      <c r="C871" s="30"/>
      <c r="F871" s="67"/>
      <c r="I871" s="67"/>
    </row>
    <row r="872" spans="3:9" ht="15.75" customHeight="1">
      <c r="C872" s="30"/>
      <c r="F872" s="67"/>
      <c r="I872" s="67"/>
    </row>
    <row r="873" spans="3:9" ht="15.75" customHeight="1">
      <c r="C873" s="30"/>
      <c r="F873" s="67"/>
      <c r="I873" s="67"/>
    </row>
    <row r="874" spans="3:9" ht="15.75" customHeight="1">
      <c r="C874" s="30"/>
      <c r="F874" s="67"/>
      <c r="I874" s="67"/>
    </row>
    <row r="875" spans="3:9" ht="15.75" customHeight="1">
      <c r="C875" s="30"/>
      <c r="F875" s="67"/>
      <c r="I875" s="67"/>
    </row>
    <row r="876" spans="3:9" ht="15.75" customHeight="1">
      <c r="C876" s="30"/>
      <c r="F876" s="67"/>
      <c r="I876" s="67"/>
    </row>
    <row r="877" spans="3:9" ht="15.75" customHeight="1">
      <c r="C877" s="30"/>
      <c r="F877" s="67"/>
      <c r="I877" s="67"/>
    </row>
    <row r="878" spans="3:9" ht="15.75" customHeight="1">
      <c r="C878" s="30"/>
      <c r="F878" s="67"/>
      <c r="I878" s="67"/>
    </row>
    <row r="879" spans="3:9" ht="15.75" customHeight="1">
      <c r="C879" s="30"/>
      <c r="F879" s="67"/>
      <c r="I879" s="67"/>
    </row>
    <row r="880" spans="3:9" ht="15.75" customHeight="1">
      <c r="C880" s="30"/>
      <c r="F880" s="67"/>
      <c r="I880" s="67"/>
    </row>
    <row r="881" spans="3:9" ht="15.75" customHeight="1">
      <c r="C881" s="30"/>
      <c r="F881" s="67"/>
      <c r="I881" s="67"/>
    </row>
    <row r="882" spans="3:9" ht="15.75" customHeight="1">
      <c r="C882" s="30"/>
      <c r="F882" s="67"/>
      <c r="I882" s="67"/>
    </row>
    <row r="883" spans="3:9" ht="15.75" customHeight="1">
      <c r="C883" s="30"/>
      <c r="F883" s="67"/>
      <c r="I883" s="67"/>
    </row>
    <row r="884" spans="3:9" ht="15.75" customHeight="1">
      <c r="C884" s="30"/>
      <c r="F884" s="67"/>
      <c r="I884" s="67"/>
    </row>
    <row r="885" spans="3:9" ht="15.75" customHeight="1">
      <c r="C885" s="30"/>
      <c r="F885" s="67"/>
      <c r="I885" s="67"/>
    </row>
    <row r="886" spans="3:9" ht="15.75" customHeight="1">
      <c r="C886" s="30"/>
      <c r="F886" s="67"/>
      <c r="I886" s="67"/>
    </row>
    <row r="887" spans="3:9" ht="15.75" customHeight="1">
      <c r="C887" s="30"/>
      <c r="F887" s="67"/>
      <c r="I887" s="67"/>
    </row>
    <row r="888" spans="3:9" ht="15.75" customHeight="1">
      <c r="C888" s="30"/>
      <c r="F888" s="67"/>
      <c r="I888" s="67"/>
    </row>
    <row r="889" spans="3:9" ht="15.75" customHeight="1">
      <c r="C889" s="30"/>
      <c r="F889" s="67"/>
      <c r="I889" s="67"/>
    </row>
    <row r="890" spans="3:9" ht="15.75" customHeight="1">
      <c r="C890" s="30"/>
      <c r="F890" s="67"/>
      <c r="I890" s="67"/>
    </row>
    <row r="891" spans="3:9" ht="15.75" customHeight="1">
      <c r="C891" s="30"/>
      <c r="F891" s="67"/>
      <c r="I891" s="67"/>
    </row>
    <row r="892" spans="3:9" ht="15.75" customHeight="1">
      <c r="C892" s="30"/>
      <c r="F892" s="67"/>
      <c r="I892" s="67"/>
    </row>
    <row r="893" spans="3:9" ht="15.75" customHeight="1">
      <c r="C893" s="30"/>
      <c r="F893" s="67"/>
      <c r="I893" s="67"/>
    </row>
    <row r="894" spans="3:9" ht="15.75" customHeight="1">
      <c r="C894" s="30"/>
      <c r="F894" s="67"/>
      <c r="I894" s="67"/>
    </row>
    <row r="895" spans="3:9" ht="15.75" customHeight="1">
      <c r="C895" s="30"/>
      <c r="F895" s="67"/>
      <c r="I895" s="67"/>
    </row>
    <row r="896" spans="3:9" ht="15.75" customHeight="1">
      <c r="C896" s="30"/>
      <c r="F896" s="67"/>
      <c r="I896" s="67"/>
    </row>
    <row r="897" spans="3:9" ht="15.75" customHeight="1">
      <c r="C897" s="30"/>
      <c r="F897" s="67"/>
      <c r="I897" s="67"/>
    </row>
    <row r="898" spans="3:9" ht="15.75" customHeight="1">
      <c r="C898" s="30"/>
      <c r="F898" s="67"/>
      <c r="I898" s="67"/>
    </row>
    <row r="899" spans="3:9" ht="15.75" customHeight="1">
      <c r="C899" s="30"/>
      <c r="F899" s="67"/>
      <c r="I899" s="67"/>
    </row>
    <row r="900" spans="3:9" ht="15.75" customHeight="1">
      <c r="C900" s="30"/>
      <c r="F900" s="67"/>
      <c r="I900" s="67"/>
    </row>
    <row r="901" spans="3:9" ht="15.75" customHeight="1">
      <c r="C901" s="30"/>
      <c r="F901" s="67"/>
      <c r="I901" s="67"/>
    </row>
    <row r="902" spans="3:9" ht="15.75" customHeight="1">
      <c r="C902" s="30"/>
      <c r="F902" s="67"/>
      <c r="I902" s="67"/>
    </row>
    <row r="903" spans="3:9" ht="15.75" customHeight="1">
      <c r="C903" s="30"/>
      <c r="F903" s="67"/>
      <c r="I903" s="67"/>
    </row>
    <row r="904" spans="3:9" ht="15.75" customHeight="1">
      <c r="C904" s="30"/>
      <c r="F904" s="67"/>
      <c r="I904" s="67"/>
    </row>
    <row r="905" spans="3:9" ht="15.75" customHeight="1">
      <c r="C905" s="30"/>
      <c r="F905" s="67"/>
      <c r="I905" s="67"/>
    </row>
    <row r="906" spans="3:9" ht="15.75" customHeight="1">
      <c r="C906" s="30"/>
      <c r="F906" s="67"/>
      <c r="I906" s="67"/>
    </row>
    <row r="907" spans="3:9" ht="15.75" customHeight="1">
      <c r="C907" s="30"/>
      <c r="F907" s="67"/>
      <c r="I907" s="67"/>
    </row>
    <row r="908" spans="3:9" ht="15.75" customHeight="1">
      <c r="C908" s="30"/>
      <c r="F908" s="67"/>
      <c r="I908" s="67"/>
    </row>
    <row r="909" spans="3:9" ht="15.75" customHeight="1">
      <c r="C909" s="30"/>
      <c r="F909" s="67"/>
      <c r="I909" s="67"/>
    </row>
    <row r="910" spans="3:9" ht="15.75" customHeight="1">
      <c r="C910" s="30"/>
      <c r="F910" s="67"/>
      <c r="I910" s="67"/>
    </row>
    <row r="911" spans="3:9" ht="15.75" customHeight="1">
      <c r="C911" s="30"/>
      <c r="F911" s="67"/>
      <c r="I911" s="67"/>
    </row>
    <row r="912" spans="3:9" ht="15.75" customHeight="1">
      <c r="C912" s="30"/>
      <c r="F912" s="67"/>
      <c r="I912" s="67"/>
    </row>
    <row r="913" spans="3:9" ht="15.75" customHeight="1">
      <c r="C913" s="30"/>
      <c r="F913" s="67"/>
      <c r="I913" s="67"/>
    </row>
    <row r="914" spans="3:9" ht="15.75" customHeight="1">
      <c r="C914" s="30"/>
      <c r="F914" s="67"/>
      <c r="I914" s="67"/>
    </row>
    <row r="915" spans="3:9" ht="15.75" customHeight="1">
      <c r="C915" s="30"/>
      <c r="F915" s="67"/>
      <c r="I915" s="67"/>
    </row>
    <row r="916" spans="3:9" ht="15.75" customHeight="1">
      <c r="C916" s="30"/>
      <c r="F916" s="67"/>
      <c r="I916" s="67"/>
    </row>
    <row r="917" spans="3:9" ht="15.75" customHeight="1">
      <c r="C917" s="30"/>
      <c r="F917" s="67"/>
      <c r="I917" s="67"/>
    </row>
    <row r="918" spans="3:9" ht="15.75" customHeight="1">
      <c r="C918" s="30"/>
      <c r="F918" s="67"/>
      <c r="I918" s="67"/>
    </row>
    <row r="919" spans="3:9" ht="15.75" customHeight="1">
      <c r="C919" s="30"/>
      <c r="F919" s="67"/>
      <c r="I919" s="67"/>
    </row>
    <row r="920" spans="3:9" ht="15.75" customHeight="1">
      <c r="C920" s="30"/>
      <c r="F920" s="67"/>
      <c r="I920" s="67"/>
    </row>
    <row r="921" spans="3:9" ht="15.75" customHeight="1">
      <c r="C921" s="30"/>
      <c r="F921" s="67"/>
      <c r="I921" s="67"/>
    </row>
    <row r="922" spans="3:9" ht="15.75" customHeight="1">
      <c r="C922" s="30"/>
      <c r="F922" s="67"/>
      <c r="I922" s="67"/>
    </row>
    <row r="923" spans="3:9" ht="15.75" customHeight="1">
      <c r="C923" s="30"/>
      <c r="F923" s="67"/>
      <c r="I923" s="67"/>
    </row>
    <row r="924" spans="3:9" ht="15.75" customHeight="1">
      <c r="C924" s="30"/>
      <c r="F924" s="67"/>
      <c r="I924" s="67"/>
    </row>
    <row r="925" spans="3:9" ht="15.75" customHeight="1">
      <c r="C925" s="30"/>
      <c r="F925" s="67"/>
      <c r="I925" s="67"/>
    </row>
    <row r="926" spans="3:9" ht="15.75" customHeight="1">
      <c r="C926" s="30"/>
      <c r="F926" s="67"/>
      <c r="I926" s="67"/>
    </row>
    <row r="927" spans="3:9" ht="15.75" customHeight="1">
      <c r="C927" s="30"/>
      <c r="F927" s="67"/>
      <c r="I927" s="67"/>
    </row>
    <row r="928" spans="3:9" ht="15.75" customHeight="1">
      <c r="C928" s="30"/>
      <c r="F928" s="67"/>
      <c r="I928" s="67"/>
    </row>
    <row r="929" spans="3:9" ht="15.75" customHeight="1">
      <c r="C929" s="30"/>
      <c r="F929" s="67"/>
      <c r="I929" s="67"/>
    </row>
    <row r="930" spans="3:9" ht="15.75" customHeight="1">
      <c r="C930" s="30"/>
      <c r="F930" s="67"/>
      <c r="I930" s="67"/>
    </row>
    <row r="931" spans="3:9" ht="15.75" customHeight="1">
      <c r="C931" s="30"/>
      <c r="F931" s="67"/>
      <c r="I931" s="67"/>
    </row>
    <row r="932" spans="3:9" ht="15.75" customHeight="1">
      <c r="C932" s="30"/>
      <c r="F932" s="67"/>
      <c r="I932" s="67"/>
    </row>
    <row r="933" spans="3:9" ht="15.75" customHeight="1">
      <c r="C933" s="30"/>
      <c r="F933" s="67"/>
      <c r="I933" s="67"/>
    </row>
    <row r="934" spans="3:9" ht="15.75" customHeight="1">
      <c r="C934" s="30"/>
      <c r="F934" s="67"/>
      <c r="I934" s="67"/>
    </row>
    <row r="935" spans="3:9" ht="15.75" customHeight="1">
      <c r="C935" s="30"/>
      <c r="F935" s="67"/>
      <c r="I935" s="67"/>
    </row>
    <row r="936" spans="3:9" ht="15.75" customHeight="1">
      <c r="C936" s="30"/>
      <c r="F936" s="67"/>
      <c r="I936" s="67"/>
    </row>
    <row r="937" spans="3:9" ht="15.75" customHeight="1">
      <c r="C937" s="30"/>
      <c r="F937" s="67"/>
      <c r="I937" s="67"/>
    </row>
    <row r="938" spans="3:9" ht="15.75" customHeight="1">
      <c r="C938" s="30"/>
      <c r="F938" s="67"/>
      <c r="I938" s="67"/>
    </row>
    <row r="939" spans="3:9" ht="15.75" customHeight="1">
      <c r="C939" s="30"/>
      <c r="F939" s="67"/>
      <c r="I939" s="67"/>
    </row>
    <row r="940" spans="3:9" ht="15.75" customHeight="1">
      <c r="C940" s="30"/>
      <c r="F940" s="67"/>
      <c r="I940" s="67"/>
    </row>
    <row r="941" spans="3:9" ht="15.75" customHeight="1">
      <c r="C941" s="30"/>
      <c r="F941" s="67"/>
      <c r="I941" s="67"/>
    </row>
    <row r="942" spans="3:9" ht="15.75" customHeight="1">
      <c r="C942" s="30"/>
      <c r="F942" s="67"/>
      <c r="I942" s="67"/>
    </row>
    <row r="943" spans="3:9" ht="15.75" customHeight="1">
      <c r="C943" s="30"/>
      <c r="F943" s="67"/>
      <c r="I943" s="67"/>
    </row>
    <row r="944" spans="3:9" ht="15.75" customHeight="1">
      <c r="C944" s="30"/>
      <c r="F944" s="67"/>
      <c r="I944" s="67"/>
    </row>
    <row r="945" spans="3:9" ht="15.75" customHeight="1">
      <c r="C945" s="30"/>
      <c r="F945" s="67"/>
      <c r="I945" s="67"/>
    </row>
    <row r="946" spans="3:9" ht="15.75" customHeight="1">
      <c r="C946" s="30"/>
      <c r="F946" s="67"/>
      <c r="I946" s="67"/>
    </row>
    <row r="947" spans="3:9" ht="15.75" customHeight="1">
      <c r="C947" s="30"/>
      <c r="F947" s="67"/>
      <c r="I947" s="67"/>
    </row>
    <row r="948" spans="3:9" ht="15.75" customHeight="1">
      <c r="C948" s="30"/>
      <c r="F948" s="67"/>
      <c r="I948" s="67"/>
    </row>
    <row r="949" spans="3:9" ht="15.75" customHeight="1">
      <c r="C949" s="30"/>
      <c r="F949" s="67"/>
      <c r="I949" s="67"/>
    </row>
    <row r="950" spans="3:9" ht="15.75" customHeight="1">
      <c r="C950" s="30"/>
      <c r="F950" s="67"/>
      <c r="I950" s="67"/>
    </row>
    <row r="951" spans="3:9" ht="15.75" customHeight="1">
      <c r="C951" s="30"/>
      <c r="F951" s="67"/>
      <c r="I951" s="67"/>
    </row>
    <row r="952" spans="3:9" ht="15.75" customHeight="1">
      <c r="C952" s="30"/>
      <c r="F952" s="67"/>
      <c r="I952" s="67"/>
    </row>
    <row r="953" spans="3:9" ht="15.75" customHeight="1">
      <c r="C953" s="30"/>
      <c r="F953" s="67"/>
      <c r="I953" s="67"/>
    </row>
    <row r="954" spans="3:9" ht="15.75" customHeight="1">
      <c r="C954" s="30"/>
      <c r="F954" s="67"/>
      <c r="I954" s="67"/>
    </row>
    <row r="955" spans="3:9" ht="15.75" customHeight="1">
      <c r="C955" s="30"/>
      <c r="F955" s="67"/>
      <c r="I955" s="67"/>
    </row>
    <row r="956" spans="3:9" ht="15.75" customHeight="1">
      <c r="C956" s="30"/>
      <c r="F956" s="67"/>
      <c r="I956" s="67"/>
    </row>
    <row r="957" spans="3:9" ht="15.75" customHeight="1">
      <c r="C957" s="30"/>
      <c r="F957" s="67"/>
      <c r="I957" s="67"/>
    </row>
    <row r="958" spans="3:9" ht="15.75" customHeight="1">
      <c r="C958" s="30"/>
      <c r="F958" s="67"/>
      <c r="I958" s="67"/>
    </row>
    <row r="959" spans="3:9" ht="15.75" customHeight="1">
      <c r="C959" s="30"/>
      <c r="F959" s="67"/>
      <c r="I959" s="67"/>
    </row>
    <row r="960" spans="3:9" ht="15.75" customHeight="1">
      <c r="C960" s="30"/>
      <c r="F960" s="67"/>
      <c r="I960" s="67"/>
    </row>
    <row r="961" spans="3:9" ht="15.75" customHeight="1">
      <c r="C961" s="30"/>
      <c r="F961" s="67"/>
      <c r="I961" s="67"/>
    </row>
    <row r="962" spans="3:9" ht="15.75" customHeight="1">
      <c r="C962" s="30"/>
      <c r="F962" s="67"/>
      <c r="I962" s="67"/>
    </row>
    <row r="963" spans="3:9" ht="15.75" customHeight="1">
      <c r="C963" s="30"/>
      <c r="F963" s="67"/>
      <c r="I963" s="67"/>
    </row>
    <row r="964" spans="3:9" ht="15.75" customHeight="1">
      <c r="C964" s="30"/>
      <c r="F964" s="67"/>
      <c r="I964" s="67"/>
    </row>
    <row r="965" spans="3:9" ht="15.75" customHeight="1">
      <c r="C965" s="30"/>
      <c r="F965" s="67"/>
      <c r="I965" s="67"/>
    </row>
    <row r="966" spans="3:9" ht="15.75" customHeight="1">
      <c r="C966" s="30"/>
      <c r="F966" s="67"/>
      <c r="I966" s="67"/>
    </row>
    <row r="967" spans="3:9" ht="15.75" customHeight="1">
      <c r="C967" s="30"/>
      <c r="F967" s="67"/>
      <c r="I967" s="67"/>
    </row>
    <row r="968" spans="3:9" ht="15.75" customHeight="1">
      <c r="C968" s="30"/>
      <c r="F968" s="67"/>
      <c r="I968" s="67"/>
    </row>
    <row r="969" spans="3:9" ht="15.75" customHeight="1">
      <c r="C969" s="30"/>
      <c r="F969" s="67"/>
      <c r="I969" s="67"/>
    </row>
    <row r="970" spans="3:9" ht="15.75" customHeight="1">
      <c r="C970" s="30"/>
      <c r="F970" s="67"/>
      <c r="I970" s="67"/>
    </row>
    <row r="971" spans="3:9" ht="15.75" customHeight="1">
      <c r="C971" s="30"/>
      <c r="F971" s="67"/>
      <c r="I971" s="67"/>
    </row>
    <row r="972" spans="3:9" ht="15.75" customHeight="1">
      <c r="C972" s="30"/>
      <c r="F972" s="67"/>
      <c r="I972" s="67"/>
    </row>
    <row r="973" spans="3:9" ht="15.75" customHeight="1">
      <c r="C973" s="30"/>
      <c r="F973" s="67"/>
      <c r="I973" s="67"/>
    </row>
    <row r="974" spans="3:9" ht="15.75" customHeight="1">
      <c r="C974" s="30"/>
      <c r="F974" s="67"/>
      <c r="I974" s="67"/>
    </row>
    <row r="975" spans="3:9" ht="15.75" customHeight="1">
      <c r="C975" s="30"/>
      <c r="F975" s="67"/>
      <c r="I975" s="67"/>
    </row>
    <row r="976" spans="3:9" ht="15.75" customHeight="1">
      <c r="C976" s="30"/>
      <c r="F976" s="67"/>
      <c r="I976" s="67"/>
    </row>
    <row r="977" spans="3:9" ht="15.75" customHeight="1">
      <c r="C977" s="30"/>
      <c r="F977" s="67"/>
      <c r="I977" s="67"/>
    </row>
    <row r="978" spans="3:9" ht="15.75" customHeight="1">
      <c r="C978" s="30"/>
      <c r="F978" s="67"/>
      <c r="I978" s="67"/>
    </row>
    <row r="979" spans="3:9" ht="15.75" customHeight="1">
      <c r="C979" s="30"/>
      <c r="F979" s="67"/>
      <c r="I979" s="67"/>
    </row>
    <row r="980" spans="3:9" ht="15.75" customHeight="1">
      <c r="C980" s="30"/>
      <c r="F980" s="67"/>
      <c r="I980" s="67"/>
    </row>
    <row r="981" spans="3:9" ht="15.75" customHeight="1">
      <c r="C981" s="30"/>
      <c r="F981" s="67"/>
      <c r="I981" s="67"/>
    </row>
    <row r="982" spans="3:9" ht="15.75" customHeight="1">
      <c r="C982" s="30"/>
      <c r="F982" s="67"/>
      <c r="I982" s="67"/>
    </row>
    <row r="983" spans="3:9" ht="15.75" customHeight="1">
      <c r="C983" s="30"/>
      <c r="F983" s="67"/>
      <c r="I983" s="67"/>
    </row>
    <row r="984" spans="3:9" ht="15.75" customHeight="1">
      <c r="C984" s="30"/>
      <c r="F984" s="67"/>
      <c r="I984" s="67"/>
    </row>
    <row r="985" spans="3:9" ht="15.75" customHeight="1">
      <c r="C985" s="30"/>
      <c r="F985" s="67"/>
      <c r="I985" s="67"/>
    </row>
    <row r="986" spans="3:9" ht="15.75" customHeight="1">
      <c r="C986" s="30"/>
      <c r="F986" s="67"/>
      <c r="I986" s="67"/>
    </row>
    <row r="987" spans="3:9" ht="15.75" customHeight="1">
      <c r="C987" s="30"/>
      <c r="F987" s="67"/>
      <c r="I987" s="67"/>
    </row>
    <row r="988" spans="3:9" ht="15.75" customHeight="1">
      <c r="C988" s="30"/>
      <c r="F988" s="67"/>
      <c r="I988" s="67"/>
    </row>
    <row r="989" spans="3:9" ht="15.75" customHeight="1">
      <c r="C989" s="30"/>
      <c r="F989" s="67"/>
      <c r="I989" s="67"/>
    </row>
    <row r="990" spans="3:9" ht="15.75" customHeight="1">
      <c r="C990" s="30"/>
      <c r="F990" s="67"/>
      <c r="I990" s="67"/>
    </row>
    <row r="991" spans="3:9" ht="15.75" customHeight="1">
      <c r="C991" s="30"/>
      <c r="F991" s="67"/>
      <c r="I991" s="67"/>
    </row>
    <row r="992" spans="3:9" ht="15.75" customHeight="1">
      <c r="C992" s="30"/>
      <c r="F992" s="67"/>
      <c r="I992" s="67"/>
    </row>
    <row r="993" spans="3:9" ht="15.75" customHeight="1">
      <c r="C993" s="30"/>
      <c r="F993" s="67"/>
      <c r="I993" s="67"/>
    </row>
    <row r="994" spans="3:9" ht="15.75" customHeight="1">
      <c r="C994" s="30"/>
      <c r="F994" s="67"/>
      <c r="I994" s="67"/>
    </row>
    <row r="995" spans="3:9" ht="15.75" customHeight="1">
      <c r="C995" s="30"/>
      <c r="F995" s="67"/>
      <c r="I995" s="67"/>
    </row>
    <row r="996" spans="3:9" ht="15.75" customHeight="1">
      <c r="C996" s="30"/>
      <c r="F996" s="67"/>
      <c r="I996" s="67"/>
    </row>
    <row r="997" spans="3:9" ht="15.75" customHeight="1">
      <c r="C997" s="30"/>
      <c r="F997" s="67"/>
      <c r="I997" s="67"/>
    </row>
    <row r="998" spans="3:9" ht="15.75" customHeight="1">
      <c r="C998" s="30"/>
      <c r="F998" s="67"/>
      <c r="I998" s="67"/>
    </row>
    <row r="999" spans="3:9" ht="15.75" customHeight="1">
      <c r="C999" s="30"/>
      <c r="F999" s="67"/>
      <c r="I999" s="67"/>
    </row>
    <row r="1000" spans="3:9" ht="15.75" customHeight="1">
      <c r="C1000" s="30"/>
      <c r="F1000" s="67"/>
      <c r="I1000" s="67"/>
    </row>
  </sheetData>
  <mergeCells count="115">
    <mergeCell ref="A2:A3"/>
    <mergeCell ref="B2:B3"/>
    <mergeCell ref="C2:C3"/>
    <mergeCell ref="D2:F2"/>
    <mergeCell ref="G2:I2"/>
    <mergeCell ref="B4:B12"/>
    <mergeCell ref="C4:C6"/>
    <mergeCell ref="F8:F11"/>
    <mergeCell ref="F18:F19"/>
    <mergeCell ref="C8:C12"/>
    <mergeCell ref="A15:A16"/>
    <mergeCell ref="B15:B16"/>
    <mergeCell ref="C15:C16"/>
    <mergeCell ref="D15:F15"/>
    <mergeCell ref="B17:B25"/>
    <mergeCell ref="C17:C19"/>
    <mergeCell ref="F5:F6"/>
    <mergeCell ref="I5:I6"/>
    <mergeCell ref="I8:I11"/>
    <mergeCell ref="G15:I15"/>
    <mergeCell ref="I18:I19"/>
    <mergeCell ref="C21:C25"/>
    <mergeCell ref="F21:F24"/>
    <mergeCell ref="I21:I25"/>
    <mergeCell ref="I206:I229"/>
    <mergeCell ref="I232:I235"/>
    <mergeCell ref="I236:I244"/>
    <mergeCell ref="I245:I260"/>
    <mergeCell ref="C88:C90"/>
    <mergeCell ref="C92:C97"/>
    <mergeCell ref="C99:C106"/>
    <mergeCell ref="C43:C45"/>
    <mergeCell ref="F43:F45"/>
    <mergeCell ref="I194:I200"/>
    <mergeCell ref="I201:I205"/>
    <mergeCell ref="I164:I167"/>
    <mergeCell ref="I168:I169"/>
    <mergeCell ref="I170:I193"/>
    <mergeCell ref="I135:I143"/>
    <mergeCell ref="I144:I146"/>
    <mergeCell ref="I265:I267"/>
    <mergeCell ref="I99:I106"/>
    <mergeCell ref="I107:I108"/>
    <mergeCell ref="I109:I117"/>
    <mergeCell ref="I118:I119"/>
    <mergeCell ref="I120:I122"/>
    <mergeCell ref="I124:I126"/>
    <mergeCell ref="I127:I134"/>
    <mergeCell ref="C151:C161"/>
    <mergeCell ref="C162:C163"/>
    <mergeCell ref="C164:C167"/>
    <mergeCell ref="C124:C126"/>
    <mergeCell ref="C127:C134"/>
    <mergeCell ref="C135:C143"/>
    <mergeCell ref="C144:C150"/>
    <mergeCell ref="I147:I150"/>
    <mergeCell ref="I151:I158"/>
    <mergeCell ref="I159:I161"/>
    <mergeCell ref="C261:C264"/>
    <mergeCell ref="C265:C269"/>
    <mergeCell ref="I162:I163"/>
    <mergeCell ref="C107:C117"/>
    <mergeCell ref="C120:C122"/>
    <mergeCell ref="I261:I264"/>
    <mergeCell ref="B127:B161"/>
    <mergeCell ref="B162:B169"/>
    <mergeCell ref="C236:C244"/>
    <mergeCell ref="C245:C260"/>
    <mergeCell ref="B170:B193"/>
    <mergeCell ref="B194:B200"/>
    <mergeCell ref="B201:B229"/>
    <mergeCell ref="C206:C229"/>
    <mergeCell ref="B230:B244"/>
    <mergeCell ref="C230:C235"/>
    <mergeCell ref="B245:B269"/>
    <mergeCell ref="C168:C169"/>
    <mergeCell ref="C170:C193"/>
    <mergeCell ref="C194:C200"/>
    <mergeCell ref="C201:C205"/>
    <mergeCell ref="A29:A30"/>
    <mergeCell ref="B29:B30"/>
    <mergeCell ref="C29:C30"/>
    <mergeCell ref="D29:F29"/>
    <mergeCell ref="G29:I29"/>
    <mergeCell ref="B31:B39"/>
    <mergeCell ref="C31:C33"/>
    <mergeCell ref="I35:I39"/>
    <mergeCell ref="C35:C39"/>
    <mergeCell ref="F35:F38"/>
    <mergeCell ref="F32:F33"/>
    <mergeCell ref="I32:I33"/>
    <mergeCell ref="B81:B98"/>
    <mergeCell ref="B99:B117"/>
    <mergeCell ref="B118:B119"/>
    <mergeCell ref="B120:B126"/>
    <mergeCell ref="C81:C83"/>
    <mergeCell ref="C84:C87"/>
    <mergeCell ref="I43:I46"/>
    <mergeCell ref="C47:C49"/>
    <mergeCell ref="I47:I49"/>
    <mergeCell ref="B43:B50"/>
    <mergeCell ref="B51:B58"/>
    <mergeCell ref="C51:C58"/>
    <mergeCell ref="C59:C62"/>
    <mergeCell ref="I51:I58"/>
    <mergeCell ref="I59:I62"/>
    <mergeCell ref="F61:F62"/>
    <mergeCell ref="B59:B80"/>
    <mergeCell ref="C63:C67"/>
    <mergeCell ref="C68:C69"/>
    <mergeCell ref="C70:C80"/>
    <mergeCell ref="I63:I67"/>
    <mergeCell ref="I70:I80"/>
    <mergeCell ref="I81:I91"/>
    <mergeCell ref="I92:I97"/>
  </mergeCells>
  <pageMargins left="0.7" right="0.7" top="0.75" bottom="0.75" header="0" footer="0"/>
  <pageSetup paperSize="5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/>
  </sheetViews>
  <sheetFormatPr defaultColWidth="14.42578125" defaultRowHeight="15" customHeight="1"/>
  <cols>
    <col min="1" max="1" width="5.85546875" customWidth="1"/>
    <col min="2" max="2" width="8.7109375" customWidth="1"/>
    <col min="3" max="3" width="18.85546875" customWidth="1"/>
    <col min="4" max="4" width="14.140625" customWidth="1"/>
    <col min="5" max="5" width="44" customWidth="1"/>
    <col min="6" max="6" width="11.85546875" customWidth="1"/>
    <col min="7" max="7" width="39.140625" customWidth="1"/>
    <col min="8" max="8" width="18.28515625" customWidth="1"/>
    <col min="9" max="9" width="20.28515625" customWidth="1"/>
    <col min="10" max="10" width="12.5703125" customWidth="1"/>
    <col min="11" max="11" width="10.5703125" customWidth="1"/>
    <col min="12" max="12" width="11.7109375" customWidth="1"/>
    <col min="13" max="13" width="9.140625" customWidth="1"/>
    <col min="14" max="14" width="11.7109375" customWidth="1"/>
    <col min="15" max="26" width="8.7109375" customWidth="1"/>
  </cols>
  <sheetData>
    <row r="1" spans="1:14">
      <c r="J1" s="1"/>
      <c r="K1" s="1"/>
      <c r="L1" s="1"/>
      <c r="M1" s="1"/>
    </row>
    <row r="2" spans="1:14">
      <c r="D2" s="417" t="s">
        <v>0</v>
      </c>
      <c r="E2" s="418"/>
      <c r="F2" s="417" t="s">
        <v>1</v>
      </c>
      <c r="G2" s="418"/>
      <c r="H2" s="72"/>
      <c r="J2" s="1"/>
      <c r="K2" s="1"/>
      <c r="L2" s="1"/>
      <c r="M2" s="1"/>
    </row>
    <row r="3" spans="1:14" ht="27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6</v>
      </c>
      <c r="H3" s="2" t="s">
        <v>10</v>
      </c>
      <c r="I3" s="179" t="s">
        <v>11</v>
      </c>
      <c r="J3" s="3" t="s">
        <v>12</v>
      </c>
      <c r="K3" s="3" t="s">
        <v>13</v>
      </c>
      <c r="L3" s="3" t="s">
        <v>14</v>
      </c>
      <c r="M3" s="3" t="s">
        <v>15</v>
      </c>
      <c r="N3" s="4" t="s">
        <v>16</v>
      </c>
    </row>
    <row r="4" spans="1:14">
      <c r="A4" s="66">
        <v>1</v>
      </c>
      <c r="B4" s="6">
        <v>1000</v>
      </c>
      <c r="C4" s="331" t="s">
        <v>17</v>
      </c>
      <c r="D4" s="7" t="s">
        <v>18</v>
      </c>
      <c r="E4" s="7" t="s">
        <v>19</v>
      </c>
      <c r="F4" s="7" t="s">
        <v>20</v>
      </c>
      <c r="G4" s="7" t="s">
        <v>19</v>
      </c>
      <c r="H4" s="7" t="s">
        <v>21</v>
      </c>
      <c r="I4" s="335" t="s">
        <v>22</v>
      </c>
      <c r="J4" s="12" t="s">
        <v>23</v>
      </c>
      <c r="K4" s="11">
        <v>0.70833333333333337</v>
      </c>
      <c r="L4" s="6">
        <v>85</v>
      </c>
      <c r="M4" s="12" t="s">
        <v>24</v>
      </c>
      <c r="N4" s="13" t="s">
        <v>25</v>
      </c>
    </row>
    <row r="5" spans="1:14">
      <c r="A5" s="66">
        <v>2</v>
      </c>
      <c r="B5" s="6">
        <v>1000</v>
      </c>
      <c r="C5" s="323"/>
      <c r="D5" s="7" t="s">
        <v>26</v>
      </c>
      <c r="E5" s="7" t="s">
        <v>27</v>
      </c>
      <c r="F5" s="7" t="s">
        <v>28</v>
      </c>
      <c r="G5" s="7" t="s">
        <v>27</v>
      </c>
      <c r="H5" s="7" t="s">
        <v>29</v>
      </c>
      <c r="I5" s="323"/>
      <c r="J5" s="12" t="s">
        <v>23</v>
      </c>
      <c r="K5" s="14">
        <v>0.70833333333333337</v>
      </c>
      <c r="L5" s="6">
        <v>85</v>
      </c>
      <c r="M5" s="12" t="s">
        <v>24</v>
      </c>
      <c r="N5" s="13" t="s">
        <v>25</v>
      </c>
    </row>
    <row r="6" spans="1:14">
      <c r="A6" s="66">
        <v>3</v>
      </c>
      <c r="B6" s="6">
        <v>1000</v>
      </c>
      <c r="C6" s="324"/>
      <c r="D6" s="7" t="s">
        <v>30</v>
      </c>
      <c r="E6" s="7" t="s">
        <v>31</v>
      </c>
      <c r="F6" s="7" t="s">
        <v>32</v>
      </c>
      <c r="G6" s="7" t="s">
        <v>31</v>
      </c>
      <c r="H6" s="7" t="s">
        <v>33</v>
      </c>
      <c r="I6" s="323"/>
      <c r="J6" s="12" t="s">
        <v>23</v>
      </c>
      <c r="K6" s="14">
        <v>0.70833333333333337</v>
      </c>
      <c r="L6" s="6">
        <v>85</v>
      </c>
      <c r="M6" s="12" t="s">
        <v>24</v>
      </c>
      <c r="N6" s="13" t="s">
        <v>25</v>
      </c>
    </row>
    <row r="7" spans="1:14">
      <c r="A7" s="66">
        <v>4</v>
      </c>
      <c r="B7" s="6">
        <v>1000</v>
      </c>
      <c r="C7" s="331" t="s">
        <v>34</v>
      </c>
      <c r="D7" s="7" t="s">
        <v>35</v>
      </c>
      <c r="E7" s="7" t="s">
        <v>36</v>
      </c>
      <c r="F7" s="7" t="s">
        <v>37</v>
      </c>
      <c r="G7" s="7" t="s">
        <v>36</v>
      </c>
      <c r="H7" s="7" t="s">
        <v>33</v>
      </c>
      <c r="I7" s="323"/>
      <c r="J7" s="12" t="s">
        <v>23</v>
      </c>
      <c r="K7" s="14">
        <v>0.70833333333333337</v>
      </c>
      <c r="L7" s="6">
        <v>85</v>
      </c>
      <c r="M7" s="12" t="s">
        <v>24</v>
      </c>
      <c r="N7" s="13" t="s">
        <v>25</v>
      </c>
    </row>
    <row r="8" spans="1:14">
      <c r="A8" s="66">
        <v>5</v>
      </c>
      <c r="B8" s="6">
        <v>1000</v>
      </c>
      <c r="C8" s="323"/>
      <c r="D8" s="7" t="s">
        <v>39</v>
      </c>
      <c r="E8" s="7" t="s">
        <v>40</v>
      </c>
      <c r="F8" s="7" t="s">
        <v>41</v>
      </c>
      <c r="G8" s="7" t="s">
        <v>40</v>
      </c>
      <c r="H8" s="6">
        <v>1111150004</v>
      </c>
      <c r="I8" s="323"/>
      <c r="J8" s="12" t="s">
        <v>23</v>
      </c>
      <c r="K8" s="14">
        <v>0.70833333333333337</v>
      </c>
      <c r="L8" s="6">
        <v>85</v>
      </c>
      <c r="M8" s="12" t="s">
        <v>24</v>
      </c>
      <c r="N8" s="13" t="s">
        <v>25</v>
      </c>
    </row>
    <row r="9" spans="1:14">
      <c r="A9" s="66">
        <v>6</v>
      </c>
      <c r="B9" s="6">
        <v>1000</v>
      </c>
      <c r="C9" s="323"/>
      <c r="D9" s="7" t="s">
        <v>42</v>
      </c>
      <c r="E9" s="7" t="s">
        <v>43</v>
      </c>
      <c r="F9" s="7" t="s">
        <v>44</v>
      </c>
      <c r="G9" s="7" t="s">
        <v>43</v>
      </c>
      <c r="H9" s="6">
        <v>1111150005</v>
      </c>
      <c r="I9" s="323"/>
      <c r="J9" s="12" t="s">
        <v>23</v>
      </c>
      <c r="K9" s="14">
        <v>0.70833333333333337</v>
      </c>
      <c r="L9" s="6">
        <v>85</v>
      </c>
      <c r="M9" s="12" t="s">
        <v>24</v>
      </c>
      <c r="N9" s="13" t="s">
        <v>25</v>
      </c>
    </row>
    <row r="10" spans="1:14">
      <c r="A10" s="66">
        <v>7</v>
      </c>
      <c r="B10" s="6">
        <v>1000</v>
      </c>
      <c r="C10" s="323"/>
      <c r="D10" s="7" t="s">
        <v>45</v>
      </c>
      <c r="E10" s="7" t="s">
        <v>46</v>
      </c>
      <c r="F10" s="7" t="s">
        <v>47</v>
      </c>
      <c r="G10" s="7" t="s">
        <v>46</v>
      </c>
      <c r="H10" s="6">
        <v>1111150007</v>
      </c>
      <c r="I10" s="323"/>
      <c r="J10" s="12" t="s">
        <v>23</v>
      </c>
      <c r="K10" s="14">
        <v>0.70833333333333337</v>
      </c>
      <c r="L10" s="6">
        <v>85</v>
      </c>
      <c r="M10" s="12" t="s">
        <v>24</v>
      </c>
      <c r="N10" s="13" t="s">
        <v>25</v>
      </c>
    </row>
    <row r="11" spans="1:14">
      <c r="A11" s="66">
        <v>8</v>
      </c>
      <c r="B11" s="6">
        <v>1000</v>
      </c>
      <c r="C11" s="324"/>
      <c r="D11" s="7" t="s">
        <v>48</v>
      </c>
      <c r="E11" s="7" t="s">
        <v>49</v>
      </c>
      <c r="F11" s="7" t="s">
        <v>50</v>
      </c>
      <c r="G11" s="7" t="s">
        <v>49</v>
      </c>
      <c r="H11" s="6">
        <v>1111150006</v>
      </c>
      <c r="I11" s="324"/>
      <c r="J11" s="12" t="s">
        <v>23</v>
      </c>
      <c r="K11" s="14">
        <v>0.70833333333333337</v>
      </c>
      <c r="L11" s="6">
        <v>85</v>
      </c>
      <c r="M11" s="12" t="s">
        <v>24</v>
      </c>
      <c r="N11" s="13" t="s">
        <v>25</v>
      </c>
    </row>
    <row r="12" spans="1:14">
      <c r="A12" s="66">
        <v>9</v>
      </c>
      <c r="B12" s="6">
        <v>1000</v>
      </c>
      <c r="C12" s="331" t="s">
        <v>51</v>
      </c>
      <c r="D12" s="7" t="s">
        <v>52</v>
      </c>
      <c r="E12" s="7" t="s">
        <v>53</v>
      </c>
      <c r="F12" s="7" t="s">
        <v>54</v>
      </c>
      <c r="G12" s="7" t="s">
        <v>53</v>
      </c>
      <c r="H12" s="7" t="s">
        <v>55</v>
      </c>
      <c r="I12" s="335" t="s">
        <v>51</v>
      </c>
      <c r="J12" s="12" t="s">
        <v>23</v>
      </c>
      <c r="K12" s="12" t="s">
        <v>23</v>
      </c>
      <c r="L12" s="6">
        <v>85</v>
      </c>
      <c r="M12" s="12" t="s">
        <v>24</v>
      </c>
      <c r="N12" s="13" t="s">
        <v>56</v>
      </c>
    </row>
    <row r="13" spans="1:14">
      <c r="A13" s="66">
        <v>10</v>
      </c>
      <c r="B13" s="6">
        <v>1000</v>
      </c>
      <c r="C13" s="323"/>
      <c r="D13" s="7" t="s">
        <v>57</v>
      </c>
      <c r="E13" s="7" t="s">
        <v>58</v>
      </c>
      <c r="F13" s="7" t="s">
        <v>59</v>
      </c>
      <c r="G13" s="7" t="s">
        <v>58</v>
      </c>
      <c r="H13" s="7" t="s">
        <v>55</v>
      </c>
      <c r="I13" s="323"/>
      <c r="J13" s="12" t="s">
        <v>23</v>
      </c>
      <c r="K13" s="12" t="s">
        <v>23</v>
      </c>
      <c r="L13" s="6">
        <v>85</v>
      </c>
      <c r="M13" s="12" t="s">
        <v>24</v>
      </c>
      <c r="N13" s="13" t="s">
        <v>56</v>
      </c>
    </row>
    <row r="14" spans="1:14">
      <c r="A14" s="66">
        <v>11</v>
      </c>
      <c r="B14" s="6">
        <v>1000</v>
      </c>
      <c r="C14" s="323"/>
      <c r="D14" s="7" t="s">
        <v>60</v>
      </c>
      <c r="E14" s="7" t="s">
        <v>61</v>
      </c>
      <c r="F14" s="7" t="s">
        <v>62</v>
      </c>
      <c r="G14" s="7" t="s">
        <v>61</v>
      </c>
      <c r="H14" s="7" t="s">
        <v>55</v>
      </c>
      <c r="I14" s="323"/>
      <c r="J14" s="12" t="s">
        <v>23</v>
      </c>
      <c r="K14" s="12" t="s">
        <v>23</v>
      </c>
      <c r="L14" s="6">
        <v>85</v>
      </c>
      <c r="M14" s="12" t="s">
        <v>24</v>
      </c>
      <c r="N14" s="13" t="s">
        <v>56</v>
      </c>
    </row>
    <row r="15" spans="1:14">
      <c r="A15" s="66">
        <v>12</v>
      </c>
      <c r="B15" s="6">
        <v>1000</v>
      </c>
      <c r="C15" s="323"/>
      <c r="D15" s="7" t="s">
        <v>63</v>
      </c>
      <c r="E15" s="7" t="s">
        <v>64</v>
      </c>
      <c r="F15" s="7" t="s">
        <v>65</v>
      </c>
      <c r="G15" s="7" t="s">
        <v>64</v>
      </c>
      <c r="H15" s="7" t="s">
        <v>55</v>
      </c>
      <c r="I15" s="323"/>
      <c r="J15" s="12" t="s">
        <v>23</v>
      </c>
      <c r="K15" s="12" t="s">
        <v>23</v>
      </c>
      <c r="L15" s="6">
        <v>85</v>
      </c>
      <c r="M15" s="12" t="s">
        <v>24</v>
      </c>
      <c r="N15" s="13" t="s">
        <v>56</v>
      </c>
    </row>
    <row r="16" spans="1:14">
      <c r="A16" s="66">
        <v>13</v>
      </c>
      <c r="B16" s="6">
        <v>1000</v>
      </c>
      <c r="C16" s="323"/>
      <c r="D16" s="7" t="s">
        <v>66</v>
      </c>
      <c r="E16" s="7" t="s">
        <v>67</v>
      </c>
      <c r="F16" s="7" t="s">
        <v>68</v>
      </c>
      <c r="G16" s="7" t="s">
        <v>67</v>
      </c>
      <c r="H16" s="7" t="s">
        <v>55</v>
      </c>
      <c r="I16" s="323"/>
      <c r="J16" s="12" t="s">
        <v>23</v>
      </c>
      <c r="K16" s="12" t="s">
        <v>23</v>
      </c>
      <c r="L16" s="6">
        <v>85</v>
      </c>
      <c r="M16" s="12" t="s">
        <v>24</v>
      </c>
      <c r="N16" s="13" t="s">
        <v>56</v>
      </c>
    </row>
    <row r="17" spans="1:14">
      <c r="A17" s="66">
        <v>14</v>
      </c>
      <c r="B17" s="6">
        <v>1000</v>
      </c>
      <c r="C17" s="323"/>
      <c r="D17" s="7" t="s">
        <v>69</v>
      </c>
      <c r="E17" s="7" t="s">
        <v>70</v>
      </c>
      <c r="F17" s="7" t="s">
        <v>71</v>
      </c>
      <c r="G17" s="7" t="s">
        <v>70</v>
      </c>
      <c r="H17" s="7" t="s">
        <v>55</v>
      </c>
      <c r="I17" s="323"/>
      <c r="J17" s="12" t="s">
        <v>23</v>
      </c>
      <c r="K17" s="12" t="s">
        <v>23</v>
      </c>
      <c r="L17" s="6">
        <v>85</v>
      </c>
      <c r="M17" s="12" t="s">
        <v>24</v>
      </c>
      <c r="N17" s="13" t="s">
        <v>56</v>
      </c>
    </row>
    <row r="18" spans="1:14">
      <c r="A18" s="66">
        <v>15</v>
      </c>
      <c r="B18" s="6">
        <v>1000</v>
      </c>
      <c r="C18" s="323"/>
      <c r="D18" s="7" t="s">
        <v>72</v>
      </c>
      <c r="E18" s="7" t="s">
        <v>73</v>
      </c>
      <c r="F18" s="7" t="s">
        <v>74</v>
      </c>
      <c r="G18" s="7" t="s">
        <v>73</v>
      </c>
      <c r="H18" s="7" t="s">
        <v>55</v>
      </c>
      <c r="I18" s="323"/>
      <c r="J18" s="12" t="s">
        <v>23</v>
      </c>
      <c r="K18" s="12" t="s">
        <v>23</v>
      </c>
      <c r="L18" s="6">
        <v>85</v>
      </c>
      <c r="M18" s="12" t="s">
        <v>24</v>
      </c>
      <c r="N18" s="13" t="s">
        <v>56</v>
      </c>
    </row>
    <row r="19" spans="1:14">
      <c r="A19" s="66">
        <v>16</v>
      </c>
      <c r="B19" s="6">
        <v>1000</v>
      </c>
      <c r="C19" s="324"/>
      <c r="D19" s="7" t="s">
        <v>75</v>
      </c>
      <c r="E19" s="7" t="s">
        <v>76</v>
      </c>
      <c r="F19" s="7" t="s">
        <v>77</v>
      </c>
      <c r="G19" s="7" t="s">
        <v>76</v>
      </c>
      <c r="H19" s="7" t="s">
        <v>55</v>
      </c>
      <c r="I19" s="324"/>
      <c r="J19" s="12" t="s">
        <v>23</v>
      </c>
      <c r="K19" s="12" t="s">
        <v>23</v>
      </c>
      <c r="L19" s="6">
        <v>85</v>
      </c>
      <c r="M19" s="12" t="s">
        <v>24</v>
      </c>
      <c r="N19" s="13" t="s">
        <v>56</v>
      </c>
    </row>
    <row r="20" spans="1:14">
      <c r="A20" s="66">
        <v>17</v>
      </c>
      <c r="B20" s="6">
        <v>1000</v>
      </c>
      <c r="C20" s="322" t="s">
        <v>78</v>
      </c>
      <c r="D20" s="7" t="s">
        <v>79</v>
      </c>
      <c r="E20" s="7" t="s">
        <v>80</v>
      </c>
      <c r="F20" s="7" t="s">
        <v>81</v>
      </c>
      <c r="G20" s="7" t="s">
        <v>80</v>
      </c>
      <c r="H20" s="7" t="s">
        <v>82</v>
      </c>
      <c r="I20" s="335" t="s">
        <v>78</v>
      </c>
      <c r="J20" s="12" t="s">
        <v>23</v>
      </c>
      <c r="K20" s="14">
        <v>0.97916666666666663</v>
      </c>
      <c r="L20" s="6">
        <v>85</v>
      </c>
      <c r="M20" s="12" t="s">
        <v>83</v>
      </c>
      <c r="N20" s="13" t="s">
        <v>84</v>
      </c>
    </row>
    <row r="21" spans="1:14" ht="15.75" customHeight="1">
      <c r="A21" s="66">
        <v>18</v>
      </c>
      <c r="B21" s="6">
        <v>1000</v>
      </c>
      <c r="C21" s="323"/>
      <c r="D21" s="7" t="s">
        <v>85</v>
      </c>
      <c r="E21" s="7" t="s">
        <v>86</v>
      </c>
      <c r="F21" s="7" t="s">
        <v>87</v>
      </c>
      <c r="G21" s="7" t="s">
        <v>86</v>
      </c>
      <c r="H21" s="7" t="s">
        <v>88</v>
      </c>
      <c r="I21" s="323"/>
      <c r="J21" s="12" t="s">
        <v>23</v>
      </c>
      <c r="K21" s="14">
        <v>0.97916666666666663</v>
      </c>
      <c r="L21" s="6">
        <v>85</v>
      </c>
      <c r="M21" s="12" t="s">
        <v>83</v>
      </c>
      <c r="N21" s="13" t="s">
        <v>84</v>
      </c>
    </row>
    <row r="22" spans="1:14" ht="15.75" customHeight="1">
      <c r="A22" s="66">
        <v>19</v>
      </c>
      <c r="B22" s="6">
        <v>1000</v>
      </c>
      <c r="C22" s="323"/>
      <c r="D22" s="7" t="s">
        <v>89</v>
      </c>
      <c r="E22" s="7" t="s">
        <v>90</v>
      </c>
      <c r="F22" s="7" t="s">
        <v>91</v>
      </c>
      <c r="G22" s="7" t="s">
        <v>90</v>
      </c>
      <c r="H22" s="7" t="s">
        <v>88</v>
      </c>
      <c r="I22" s="323"/>
      <c r="J22" s="12" t="s">
        <v>23</v>
      </c>
      <c r="K22" s="14">
        <v>0.97916666666666663</v>
      </c>
      <c r="L22" s="6">
        <v>85</v>
      </c>
      <c r="M22" s="12" t="s">
        <v>83</v>
      </c>
      <c r="N22" s="13" t="s">
        <v>84</v>
      </c>
    </row>
    <row r="23" spans="1:14" ht="15.75" customHeight="1">
      <c r="A23" s="66">
        <v>20</v>
      </c>
      <c r="B23" s="6">
        <v>1000</v>
      </c>
      <c r="C23" s="323"/>
      <c r="D23" s="7" t="s">
        <v>92</v>
      </c>
      <c r="E23" s="7" t="s">
        <v>93</v>
      </c>
      <c r="F23" s="7" t="s">
        <v>94</v>
      </c>
      <c r="G23" s="7" t="s">
        <v>93</v>
      </c>
      <c r="H23" s="7" t="s">
        <v>88</v>
      </c>
      <c r="I23" s="323"/>
      <c r="J23" s="12" t="s">
        <v>23</v>
      </c>
      <c r="K23" s="14">
        <v>0.97916666666666663</v>
      </c>
      <c r="L23" s="6">
        <v>85</v>
      </c>
      <c r="M23" s="12" t="s">
        <v>83</v>
      </c>
      <c r="N23" s="13" t="s">
        <v>84</v>
      </c>
    </row>
    <row r="24" spans="1:14" ht="15.75" customHeight="1">
      <c r="A24" s="66">
        <v>21</v>
      </c>
      <c r="B24" s="6">
        <v>1000</v>
      </c>
      <c r="C24" s="324"/>
      <c r="D24" s="7" t="s">
        <v>95</v>
      </c>
      <c r="E24" s="7" t="s">
        <v>96</v>
      </c>
      <c r="F24" s="7" t="s">
        <v>97</v>
      </c>
      <c r="G24" s="7" t="s">
        <v>96</v>
      </c>
      <c r="H24" s="7" t="s">
        <v>98</v>
      </c>
      <c r="I24" s="324"/>
      <c r="J24" s="12" t="s">
        <v>23</v>
      </c>
      <c r="K24" s="14">
        <v>0.97916666666666663</v>
      </c>
      <c r="L24" s="6">
        <v>85</v>
      </c>
      <c r="M24" s="12" t="s">
        <v>83</v>
      </c>
      <c r="N24" s="13" t="s">
        <v>84</v>
      </c>
    </row>
    <row r="25" spans="1:14" ht="15.75" customHeight="1">
      <c r="A25" s="66">
        <v>22</v>
      </c>
      <c r="B25" s="6">
        <v>1000</v>
      </c>
      <c r="C25" s="66" t="s">
        <v>99</v>
      </c>
      <c r="D25" s="7" t="s">
        <v>100</v>
      </c>
      <c r="E25" s="7" t="s">
        <v>101</v>
      </c>
      <c r="F25" s="7" t="s">
        <v>102</v>
      </c>
      <c r="G25" s="7" t="s">
        <v>103</v>
      </c>
      <c r="H25" s="7" t="s">
        <v>104</v>
      </c>
      <c r="I25" s="7" t="s">
        <v>105</v>
      </c>
      <c r="J25" s="12" t="s">
        <v>23</v>
      </c>
      <c r="K25" s="14">
        <v>0.70833333333333337</v>
      </c>
      <c r="L25" s="6">
        <v>85</v>
      </c>
      <c r="M25" s="12" t="s">
        <v>24</v>
      </c>
      <c r="N25" s="13" t="s">
        <v>106</v>
      </c>
    </row>
    <row r="26" spans="1:14" ht="15.75" customHeight="1">
      <c r="A26" s="66">
        <v>23</v>
      </c>
      <c r="B26" s="6">
        <v>1000</v>
      </c>
      <c r="C26" s="331" t="s">
        <v>107</v>
      </c>
      <c r="D26" s="7" t="s">
        <v>108</v>
      </c>
      <c r="E26" s="7" t="s">
        <v>109</v>
      </c>
      <c r="F26" s="7" t="s">
        <v>110</v>
      </c>
      <c r="G26" s="7" t="s">
        <v>109</v>
      </c>
      <c r="H26" s="7" t="s">
        <v>111</v>
      </c>
      <c r="I26" s="335" t="s">
        <v>112</v>
      </c>
      <c r="J26" s="12" t="s">
        <v>23</v>
      </c>
      <c r="K26" s="14">
        <v>0.97916666666666663</v>
      </c>
      <c r="L26" s="6">
        <v>85</v>
      </c>
      <c r="M26" s="12" t="s">
        <v>83</v>
      </c>
      <c r="N26" s="13" t="s">
        <v>113</v>
      </c>
    </row>
    <row r="27" spans="1:14" ht="15.75" customHeight="1">
      <c r="A27" s="66">
        <v>24</v>
      </c>
      <c r="B27" s="6">
        <v>1000</v>
      </c>
      <c r="C27" s="323"/>
      <c r="D27" s="7" t="s">
        <v>114</v>
      </c>
      <c r="E27" s="7" t="s">
        <v>115</v>
      </c>
      <c r="F27" s="7" t="s">
        <v>116</v>
      </c>
      <c r="G27" s="7" t="s">
        <v>115</v>
      </c>
      <c r="H27" s="7" t="s">
        <v>117</v>
      </c>
      <c r="I27" s="323"/>
      <c r="J27" s="12" t="s">
        <v>23</v>
      </c>
      <c r="K27" s="14">
        <v>0.97916666666666663</v>
      </c>
      <c r="L27" s="6">
        <v>85</v>
      </c>
      <c r="M27" s="12" t="s">
        <v>83</v>
      </c>
      <c r="N27" s="13" t="s">
        <v>113</v>
      </c>
    </row>
    <row r="28" spans="1:14" ht="15.75" customHeight="1">
      <c r="A28" s="66">
        <v>25</v>
      </c>
      <c r="B28" s="6">
        <v>1000</v>
      </c>
      <c r="C28" s="324"/>
      <c r="D28" s="7" t="s">
        <v>118</v>
      </c>
      <c r="E28" s="7" t="s">
        <v>119</v>
      </c>
      <c r="F28" s="7" t="s">
        <v>120</v>
      </c>
      <c r="G28" s="7" t="s">
        <v>119</v>
      </c>
      <c r="H28" s="7" t="s">
        <v>117</v>
      </c>
      <c r="I28" s="323"/>
      <c r="J28" s="12" t="s">
        <v>23</v>
      </c>
      <c r="K28" s="14">
        <v>0.97916666666666663</v>
      </c>
      <c r="L28" s="6">
        <v>85</v>
      </c>
      <c r="M28" s="12" t="s">
        <v>83</v>
      </c>
      <c r="N28" s="13" t="s">
        <v>113</v>
      </c>
    </row>
    <row r="29" spans="1:14" ht="15.75" customHeight="1">
      <c r="A29" s="66">
        <v>26</v>
      </c>
      <c r="B29" s="6">
        <v>1000</v>
      </c>
      <c r="C29" s="17" t="s">
        <v>121</v>
      </c>
      <c r="D29" s="7" t="s">
        <v>122</v>
      </c>
      <c r="E29" s="7" t="s">
        <v>123</v>
      </c>
      <c r="F29" s="7" t="s">
        <v>124</v>
      </c>
      <c r="G29" s="7" t="s">
        <v>123</v>
      </c>
      <c r="H29" s="7" t="s">
        <v>125</v>
      </c>
      <c r="I29" s="323"/>
      <c r="J29" s="12" t="s">
        <v>23</v>
      </c>
      <c r="K29" s="14">
        <v>0.97916666666666663</v>
      </c>
      <c r="L29" s="6">
        <v>85</v>
      </c>
      <c r="M29" s="12" t="s">
        <v>83</v>
      </c>
      <c r="N29" s="13" t="s">
        <v>113</v>
      </c>
    </row>
    <row r="30" spans="1:14" ht="15.75" customHeight="1">
      <c r="A30" s="66">
        <v>27</v>
      </c>
      <c r="B30" s="6">
        <v>1000</v>
      </c>
      <c r="C30" s="322" t="s">
        <v>126</v>
      </c>
      <c r="D30" s="7" t="s">
        <v>127</v>
      </c>
      <c r="E30" s="7" t="s">
        <v>128</v>
      </c>
      <c r="F30" s="7" t="s">
        <v>129</v>
      </c>
      <c r="G30" s="7" t="s">
        <v>128</v>
      </c>
      <c r="H30" s="7" t="s">
        <v>130</v>
      </c>
      <c r="I30" s="323"/>
      <c r="J30" s="12" t="s">
        <v>23</v>
      </c>
      <c r="K30" s="14">
        <v>0.97916666666666663</v>
      </c>
      <c r="L30" s="6">
        <v>85</v>
      </c>
      <c r="M30" s="12" t="s">
        <v>83</v>
      </c>
      <c r="N30" s="13" t="s">
        <v>113</v>
      </c>
    </row>
    <row r="31" spans="1:14" ht="15.75" customHeight="1">
      <c r="A31" s="66">
        <v>28</v>
      </c>
      <c r="B31" s="6">
        <v>1000</v>
      </c>
      <c r="C31" s="323"/>
      <c r="D31" s="7" t="s">
        <v>131</v>
      </c>
      <c r="E31" s="7" t="s">
        <v>132</v>
      </c>
      <c r="F31" s="7" t="s">
        <v>133</v>
      </c>
      <c r="G31" s="7" t="s">
        <v>132</v>
      </c>
      <c r="H31" s="7" t="s">
        <v>130</v>
      </c>
      <c r="I31" s="323"/>
      <c r="J31" s="12" t="s">
        <v>23</v>
      </c>
      <c r="K31" s="12" t="s">
        <v>23</v>
      </c>
      <c r="L31" s="6">
        <v>85</v>
      </c>
      <c r="M31" s="12" t="s">
        <v>134</v>
      </c>
      <c r="N31" s="13" t="s">
        <v>113</v>
      </c>
    </row>
    <row r="32" spans="1:14" ht="15.75" customHeight="1">
      <c r="A32" s="66">
        <v>29</v>
      </c>
      <c r="B32" s="6">
        <v>1000</v>
      </c>
      <c r="C32" s="323"/>
      <c r="D32" s="7" t="s">
        <v>135</v>
      </c>
      <c r="E32" s="7" t="s">
        <v>136</v>
      </c>
      <c r="F32" s="7" t="s">
        <v>137</v>
      </c>
      <c r="G32" s="7" t="s">
        <v>136</v>
      </c>
      <c r="H32" s="7" t="s">
        <v>130</v>
      </c>
      <c r="I32" s="323"/>
      <c r="J32" s="12" t="s">
        <v>23</v>
      </c>
      <c r="K32" s="14">
        <v>0.97916666666666663</v>
      </c>
      <c r="L32" s="6">
        <v>85</v>
      </c>
      <c r="M32" s="12" t="s">
        <v>83</v>
      </c>
      <c r="N32" s="13" t="s">
        <v>113</v>
      </c>
    </row>
    <row r="33" spans="1:26" ht="15.75" customHeight="1">
      <c r="A33" s="66">
        <v>30</v>
      </c>
      <c r="B33" s="6">
        <v>1000</v>
      </c>
      <c r="C33" s="323"/>
      <c r="D33" s="7" t="s">
        <v>138</v>
      </c>
      <c r="E33" s="7" t="s">
        <v>139</v>
      </c>
      <c r="F33" s="7" t="s">
        <v>140</v>
      </c>
      <c r="G33" s="7" t="s">
        <v>139</v>
      </c>
      <c r="H33" s="7" t="s">
        <v>130</v>
      </c>
      <c r="I33" s="323"/>
      <c r="J33" s="12" t="s">
        <v>23</v>
      </c>
      <c r="K33" s="14">
        <v>0.97916666666666663</v>
      </c>
      <c r="L33" s="6">
        <v>85</v>
      </c>
      <c r="M33" s="12" t="s">
        <v>83</v>
      </c>
      <c r="N33" s="13" t="s">
        <v>113</v>
      </c>
    </row>
    <row r="34" spans="1:26" ht="15.75" customHeight="1">
      <c r="A34" s="66">
        <v>31</v>
      </c>
      <c r="B34" s="6">
        <v>1000</v>
      </c>
      <c r="C34" s="324"/>
      <c r="D34" s="7" t="s">
        <v>141</v>
      </c>
      <c r="E34" s="7" t="s">
        <v>142</v>
      </c>
      <c r="F34" s="7" t="s">
        <v>143</v>
      </c>
      <c r="G34" s="7" t="s">
        <v>142</v>
      </c>
      <c r="H34" s="7" t="s">
        <v>144</v>
      </c>
      <c r="I34" s="324"/>
      <c r="J34" s="12" t="s">
        <v>23</v>
      </c>
      <c r="K34" s="12" t="s">
        <v>23</v>
      </c>
      <c r="L34" s="6">
        <v>85</v>
      </c>
      <c r="M34" s="12" t="s">
        <v>83</v>
      </c>
      <c r="N34" s="13" t="s">
        <v>113</v>
      </c>
    </row>
    <row r="35" spans="1:26" ht="15.75" customHeight="1">
      <c r="A35" s="180">
        <v>32</v>
      </c>
      <c r="B35" s="181">
        <v>2000</v>
      </c>
      <c r="C35" s="182"/>
      <c r="D35" s="183"/>
      <c r="E35" s="183"/>
      <c r="F35" s="183" t="s">
        <v>983</v>
      </c>
      <c r="G35" s="183" t="s">
        <v>2268</v>
      </c>
      <c r="H35" s="183" t="s">
        <v>235</v>
      </c>
      <c r="I35" s="184"/>
      <c r="J35" s="185" t="s">
        <v>23</v>
      </c>
      <c r="K35" s="186">
        <v>0.83333333333333337</v>
      </c>
      <c r="L35" s="181">
        <v>85</v>
      </c>
      <c r="M35" s="185" t="s">
        <v>83</v>
      </c>
      <c r="N35" s="187" t="s">
        <v>216</v>
      </c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 spans="1:26" ht="15.75" customHeight="1">
      <c r="A36" s="66">
        <v>33</v>
      </c>
      <c r="B36" s="6">
        <v>2000</v>
      </c>
      <c r="C36" s="322" t="s">
        <v>145</v>
      </c>
      <c r="D36" s="7" t="s">
        <v>146</v>
      </c>
      <c r="E36" s="7" t="s">
        <v>147</v>
      </c>
      <c r="F36" s="7" t="s">
        <v>148</v>
      </c>
      <c r="G36" s="7" t="s">
        <v>147</v>
      </c>
      <c r="H36" s="7" t="s">
        <v>149</v>
      </c>
      <c r="I36" s="335" t="s">
        <v>150</v>
      </c>
      <c r="J36" s="12" t="s">
        <v>23</v>
      </c>
      <c r="K36" s="14">
        <v>0.97916666666666663</v>
      </c>
      <c r="L36" s="6">
        <v>85</v>
      </c>
      <c r="M36" s="12" t="s">
        <v>83</v>
      </c>
      <c r="N36" s="13" t="s">
        <v>151</v>
      </c>
    </row>
    <row r="37" spans="1:26" ht="15.75" customHeight="1">
      <c r="A37" s="66">
        <v>34</v>
      </c>
      <c r="B37" s="6">
        <v>2000</v>
      </c>
      <c r="C37" s="323"/>
      <c r="D37" s="7" t="s">
        <v>152</v>
      </c>
      <c r="E37" s="7" t="s">
        <v>153</v>
      </c>
      <c r="F37" s="7" t="s">
        <v>154</v>
      </c>
      <c r="G37" s="7" t="s">
        <v>153</v>
      </c>
      <c r="H37" s="7" t="s">
        <v>149</v>
      </c>
      <c r="I37" s="323"/>
      <c r="J37" s="12" t="s">
        <v>23</v>
      </c>
      <c r="K37" s="14">
        <v>0.97916666666666663</v>
      </c>
      <c r="L37" s="6">
        <v>85</v>
      </c>
      <c r="M37" s="12" t="s">
        <v>83</v>
      </c>
      <c r="N37" s="13" t="s">
        <v>151</v>
      </c>
    </row>
    <row r="38" spans="1:26" ht="15.75" customHeight="1">
      <c r="A38" s="66">
        <v>35</v>
      </c>
      <c r="B38" s="6">
        <v>2000</v>
      </c>
      <c r="C38" s="324"/>
      <c r="D38" s="7" t="s">
        <v>155</v>
      </c>
      <c r="E38" s="7" t="s">
        <v>156</v>
      </c>
      <c r="F38" s="7" t="s">
        <v>157</v>
      </c>
      <c r="G38" s="7" t="s">
        <v>156</v>
      </c>
      <c r="H38" s="7" t="s">
        <v>149</v>
      </c>
      <c r="I38" s="323"/>
      <c r="J38" s="12" t="s">
        <v>23</v>
      </c>
      <c r="K38" s="14">
        <v>0.64583333333333337</v>
      </c>
      <c r="L38" s="6">
        <v>85</v>
      </c>
      <c r="M38" s="12" t="s">
        <v>24</v>
      </c>
      <c r="N38" s="13" t="s">
        <v>151</v>
      </c>
    </row>
    <row r="39" spans="1:26" ht="15.75" customHeight="1">
      <c r="A39" s="66">
        <v>36</v>
      </c>
      <c r="B39" s="6">
        <v>2000</v>
      </c>
      <c r="C39" s="322" t="s">
        <v>158</v>
      </c>
      <c r="D39" s="7" t="s">
        <v>159</v>
      </c>
      <c r="E39" s="7" t="s">
        <v>160</v>
      </c>
      <c r="F39" s="7" t="s">
        <v>161</v>
      </c>
      <c r="G39" s="7" t="s">
        <v>160</v>
      </c>
      <c r="H39" s="7" t="s">
        <v>2247</v>
      </c>
      <c r="I39" s="323"/>
      <c r="J39" s="12" t="s">
        <v>23</v>
      </c>
      <c r="K39" s="12" t="s">
        <v>23</v>
      </c>
      <c r="L39" s="6">
        <v>85</v>
      </c>
      <c r="M39" s="12" t="s">
        <v>134</v>
      </c>
      <c r="N39" s="13" t="s">
        <v>151</v>
      </c>
    </row>
    <row r="40" spans="1:26" ht="15.75" customHeight="1">
      <c r="A40" s="66">
        <v>37</v>
      </c>
      <c r="B40" s="6">
        <v>2000</v>
      </c>
      <c r="C40" s="323"/>
      <c r="D40" s="7" t="s">
        <v>162</v>
      </c>
      <c r="E40" s="7" t="s">
        <v>163</v>
      </c>
      <c r="F40" s="7" t="s">
        <v>164</v>
      </c>
      <c r="G40" s="7" t="s">
        <v>163</v>
      </c>
      <c r="H40" s="7" t="s">
        <v>2248</v>
      </c>
      <c r="I40" s="323"/>
      <c r="J40" s="12" t="s">
        <v>23</v>
      </c>
      <c r="K40" s="14">
        <v>0.97916666666666663</v>
      </c>
      <c r="L40" s="6">
        <v>85</v>
      </c>
      <c r="M40" s="12" t="s">
        <v>83</v>
      </c>
      <c r="N40" s="13" t="s">
        <v>151</v>
      </c>
    </row>
    <row r="41" spans="1:26" ht="15.75" customHeight="1">
      <c r="A41" s="66">
        <v>38</v>
      </c>
      <c r="B41" s="6">
        <v>2000</v>
      </c>
      <c r="C41" s="323"/>
      <c r="D41" s="7" t="s">
        <v>165</v>
      </c>
      <c r="E41" s="7" t="s">
        <v>166</v>
      </c>
      <c r="F41" s="7" t="s">
        <v>167</v>
      </c>
      <c r="G41" s="7" t="s">
        <v>166</v>
      </c>
      <c r="H41" s="7" t="s">
        <v>2249</v>
      </c>
      <c r="I41" s="323"/>
      <c r="J41" s="12" t="s">
        <v>23</v>
      </c>
      <c r="K41" s="14">
        <v>0.97916666666666663</v>
      </c>
      <c r="L41" s="6">
        <v>85</v>
      </c>
      <c r="M41" s="12" t="s">
        <v>83</v>
      </c>
      <c r="N41" s="13" t="s">
        <v>151</v>
      </c>
    </row>
    <row r="42" spans="1:26" ht="15.75" customHeight="1">
      <c r="A42" s="66">
        <v>39</v>
      </c>
      <c r="B42" s="6">
        <v>2000</v>
      </c>
      <c r="C42" s="20" t="s">
        <v>168</v>
      </c>
      <c r="D42" s="7" t="s">
        <v>169</v>
      </c>
      <c r="E42" s="7" t="s">
        <v>170</v>
      </c>
      <c r="F42" s="7" t="s">
        <v>171</v>
      </c>
      <c r="G42" s="7" t="s">
        <v>170</v>
      </c>
      <c r="H42" s="7" t="s">
        <v>172</v>
      </c>
      <c r="I42" s="323"/>
      <c r="J42" s="12" t="s">
        <v>23</v>
      </c>
      <c r="K42" s="14">
        <v>0.64583333333333337</v>
      </c>
      <c r="L42" s="6">
        <v>85</v>
      </c>
      <c r="M42" s="12" t="s">
        <v>24</v>
      </c>
      <c r="N42" s="13" t="s">
        <v>151</v>
      </c>
    </row>
    <row r="43" spans="1:26" ht="15.75" customHeight="1">
      <c r="A43" s="66">
        <v>40</v>
      </c>
      <c r="B43" s="6">
        <v>2000</v>
      </c>
      <c r="C43" s="322" t="s">
        <v>173</v>
      </c>
      <c r="D43" s="7" t="s">
        <v>174</v>
      </c>
      <c r="E43" s="7" t="s">
        <v>175</v>
      </c>
      <c r="F43" s="7" t="s">
        <v>176</v>
      </c>
      <c r="G43" s="7" t="s">
        <v>175</v>
      </c>
      <c r="H43" s="7" t="s">
        <v>177</v>
      </c>
      <c r="I43" s="323"/>
      <c r="J43" s="12" t="s">
        <v>23</v>
      </c>
      <c r="K43" s="14">
        <v>0.97916666666666663</v>
      </c>
      <c r="L43" s="6">
        <v>85</v>
      </c>
      <c r="M43" s="12" t="s">
        <v>83</v>
      </c>
      <c r="N43" s="13" t="s">
        <v>151</v>
      </c>
    </row>
    <row r="44" spans="1:26" ht="15.75" customHeight="1">
      <c r="A44" s="66">
        <v>41</v>
      </c>
      <c r="B44" s="6">
        <v>2000</v>
      </c>
      <c r="C44" s="323"/>
      <c r="D44" s="7" t="s">
        <v>178</v>
      </c>
      <c r="E44" s="7" t="s">
        <v>179</v>
      </c>
      <c r="F44" s="7" t="s">
        <v>180</v>
      </c>
      <c r="G44" s="7" t="s">
        <v>179</v>
      </c>
      <c r="H44" s="7" t="s">
        <v>181</v>
      </c>
      <c r="I44" s="323"/>
      <c r="J44" s="12" t="s">
        <v>23</v>
      </c>
      <c r="K44" s="14">
        <v>0.97916666666666663</v>
      </c>
      <c r="L44" s="6">
        <v>85</v>
      </c>
      <c r="M44" s="12" t="s">
        <v>83</v>
      </c>
      <c r="N44" s="13" t="s">
        <v>151</v>
      </c>
    </row>
    <row r="45" spans="1:26" ht="15.75" customHeight="1">
      <c r="A45" s="66">
        <v>42</v>
      </c>
      <c r="B45" s="6">
        <v>2000</v>
      </c>
      <c r="C45" s="323"/>
      <c r="D45" s="7" t="s">
        <v>182</v>
      </c>
      <c r="E45" s="7" t="s">
        <v>183</v>
      </c>
      <c r="F45" s="7" t="s">
        <v>184</v>
      </c>
      <c r="G45" s="7" t="s">
        <v>183</v>
      </c>
      <c r="H45" s="7" t="s">
        <v>185</v>
      </c>
      <c r="I45" s="323"/>
      <c r="J45" s="12" t="s">
        <v>23</v>
      </c>
      <c r="K45" s="14">
        <v>0.97916666666666663</v>
      </c>
      <c r="L45" s="6">
        <v>85</v>
      </c>
      <c r="M45" s="12" t="s">
        <v>83</v>
      </c>
      <c r="N45" s="13" t="s">
        <v>151</v>
      </c>
    </row>
    <row r="46" spans="1:26" ht="15.75" customHeight="1">
      <c r="A46" s="66">
        <v>43</v>
      </c>
      <c r="B46" s="6">
        <v>2000</v>
      </c>
      <c r="C46" s="323"/>
      <c r="D46" s="7" t="s">
        <v>186</v>
      </c>
      <c r="E46" s="7" t="s">
        <v>187</v>
      </c>
      <c r="F46" s="7" t="s">
        <v>188</v>
      </c>
      <c r="G46" s="7" t="s">
        <v>187</v>
      </c>
      <c r="H46" s="7" t="s">
        <v>189</v>
      </c>
      <c r="I46" s="323"/>
      <c r="J46" s="12" t="s">
        <v>23</v>
      </c>
      <c r="K46" s="14">
        <v>0.64583333333333337</v>
      </c>
      <c r="L46" s="6">
        <v>85</v>
      </c>
      <c r="M46" s="12" t="s">
        <v>24</v>
      </c>
      <c r="N46" s="13" t="s">
        <v>151</v>
      </c>
    </row>
    <row r="47" spans="1:26" ht="15.75" customHeight="1">
      <c r="A47" s="66">
        <v>44</v>
      </c>
      <c r="B47" s="6">
        <v>2000</v>
      </c>
      <c r="C47" s="323"/>
      <c r="D47" s="7" t="s">
        <v>190</v>
      </c>
      <c r="E47" s="7" t="s">
        <v>191</v>
      </c>
      <c r="F47" s="7" t="s">
        <v>192</v>
      </c>
      <c r="G47" s="7" t="s">
        <v>191</v>
      </c>
      <c r="H47" s="7" t="s">
        <v>193</v>
      </c>
      <c r="I47" s="323"/>
      <c r="J47" s="12" t="s">
        <v>23</v>
      </c>
      <c r="K47" s="14">
        <v>0.64583333333333337</v>
      </c>
      <c r="L47" s="6">
        <v>85</v>
      </c>
      <c r="M47" s="12" t="s">
        <v>24</v>
      </c>
      <c r="N47" s="13" t="s">
        <v>151</v>
      </c>
    </row>
    <row r="48" spans="1:26" ht="15.75" customHeight="1">
      <c r="A48" s="66">
        <v>45</v>
      </c>
      <c r="B48" s="6">
        <v>2000</v>
      </c>
      <c r="C48" s="323"/>
      <c r="D48" s="7" t="s">
        <v>194</v>
      </c>
      <c r="E48" s="7" t="s">
        <v>195</v>
      </c>
      <c r="F48" s="7" t="s">
        <v>196</v>
      </c>
      <c r="G48" s="7" t="s">
        <v>195</v>
      </c>
      <c r="H48" s="7" t="s">
        <v>197</v>
      </c>
      <c r="I48" s="323"/>
      <c r="J48" s="12" t="s">
        <v>23</v>
      </c>
      <c r="K48" s="14">
        <v>0.97916666666666663</v>
      </c>
      <c r="L48" s="6">
        <v>85</v>
      </c>
      <c r="M48" s="12" t="s">
        <v>83</v>
      </c>
      <c r="N48" s="13" t="s">
        <v>151</v>
      </c>
    </row>
    <row r="49" spans="1:14" ht="15.75" customHeight="1">
      <c r="A49" s="66">
        <v>46</v>
      </c>
      <c r="B49" s="6">
        <v>2000</v>
      </c>
      <c r="C49" s="323"/>
      <c r="D49" s="7" t="s">
        <v>198</v>
      </c>
      <c r="E49" s="7" t="s">
        <v>199</v>
      </c>
      <c r="F49" s="7" t="s">
        <v>200</v>
      </c>
      <c r="G49" s="7" t="s">
        <v>199</v>
      </c>
      <c r="H49" s="7" t="s">
        <v>201</v>
      </c>
      <c r="I49" s="323"/>
      <c r="J49" s="12" t="s">
        <v>23</v>
      </c>
      <c r="K49" s="14">
        <v>0.97916666666666663</v>
      </c>
      <c r="L49" s="6">
        <v>85</v>
      </c>
      <c r="M49" s="12" t="s">
        <v>83</v>
      </c>
      <c r="N49" s="13" t="s">
        <v>151</v>
      </c>
    </row>
    <row r="50" spans="1:14" ht="15.75" customHeight="1">
      <c r="A50" s="66">
        <v>47</v>
      </c>
      <c r="B50" s="6">
        <v>2000</v>
      </c>
      <c r="C50" s="324"/>
      <c r="D50" s="7" t="s">
        <v>202</v>
      </c>
      <c r="E50" s="7" t="s">
        <v>203</v>
      </c>
      <c r="F50" s="7" t="s">
        <v>204</v>
      </c>
      <c r="G50" s="7" t="s">
        <v>203</v>
      </c>
      <c r="H50" s="7" t="s">
        <v>205</v>
      </c>
      <c r="I50" s="323"/>
      <c r="J50" s="12" t="s">
        <v>23</v>
      </c>
      <c r="K50" s="14">
        <v>0.97916666666666663</v>
      </c>
      <c r="L50" s="6">
        <v>85</v>
      </c>
      <c r="M50" s="12" t="s">
        <v>83</v>
      </c>
      <c r="N50" s="13" t="s">
        <v>151</v>
      </c>
    </row>
    <row r="51" spans="1:14" ht="15.75" customHeight="1">
      <c r="A51" s="66">
        <v>48</v>
      </c>
      <c r="B51" s="6">
        <v>2000</v>
      </c>
      <c r="C51" s="20" t="s">
        <v>206</v>
      </c>
      <c r="D51" s="7" t="s">
        <v>207</v>
      </c>
      <c r="E51" s="7" t="s">
        <v>208</v>
      </c>
      <c r="F51" s="7" t="s">
        <v>209</v>
      </c>
      <c r="G51" s="7" t="s">
        <v>208</v>
      </c>
      <c r="H51" s="6">
        <v>1111025002</v>
      </c>
      <c r="I51" s="324"/>
      <c r="J51" s="12" t="s">
        <v>23</v>
      </c>
      <c r="K51" s="14">
        <v>0.64583333333333337</v>
      </c>
      <c r="L51" s="6">
        <v>85</v>
      </c>
      <c r="M51" s="12" t="s">
        <v>24</v>
      </c>
      <c r="N51" s="13" t="s">
        <v>151</v>
      </c>
    </row>
    <row r="52" spans="1:14" ht="15.75" customHeight="1">
      <c r="A52" s="66">
        <v>49</v>
      </c>
      <c r="B52" s="6">
        <v>2000</v>
      </c>
      <c r="C52" s="322" t="s">
        <v>210</v>
      </c>
      <c r="D52" s="7" t="s">
        <v>211</v>
      </c>
      <c r="E52" s="7" t="s">
        <v>212</v>
      </c>
      <c r="F52" s="7" t="s">
        <v>213</v>
      </c>
      <c r="G52" s="7" t="s">
        <v>212</v>
      </c>
      <c r="H52" s="7" t="s">
        <v>214</v>
      </c>
      <c r="I52" s="335" t="s">
        <v>215</v>
      </c>
      <c r="J52" s="12" t="s">
        <v>23</v>
      </c>
      <c r="K52" s="14">
        <v>0.97916666666666663</v>
      </c>
      <c r="L52" s="6">
        <v>85</v>
      </c>
      <c r="M52" s="12" t="s">
        <v>83</v>
      </c>
      <c r="N52" s="13" t="s">
        <v>216</v>
      </c>
    </row>
    <row r="53" spans="1:14" ht="15.75" customHeight="1">
      <c r="A53" s="66">
        <v>50</v>
      </c>
      <c r="B53" s="6">
        <v>2000</v>
      </c>
      <c r="C53" s="323"/>
      <c r="D53" s="7" t="s">
        <v>217</v>
      </c>
      <c r="E53" s="7" t="s">
        <v>218</v>
      </c>
      <c r="F53" s="7" t="s">
        <v>219</v>
      </c>
      <c r="G53" s="7" t="s">
        <v>218</v>
      </c>
      <c r="H53" s="7" t="s">
        <v>214</v>
      </c>
      <c r="I53" s="323"/>
      <c r="J53" s="12" t="s">
        <v>23</v>
      </c>
      <c r="K53" s="14">
        <v>0.97916666666666663</v>
      </c>
      <c r="L53" s="6">
        <v>85</v>
      </c>
      <c r="M53" s="12" t="s">
        <v>83</v>
      </c>
      <c r="N53" s="13" t="s">
        <v>216</v>
      </c>
    </row>
    <row r="54" spans="1:14" ht="15.75" customHeight="1">
      <c r="A54" s="66">
        <v>51</v>
      </c>
      <c r="B54" s="6">
        <v>2000</v>
      </c>
      <c r="C54" s="323"/>
      <c r="D54" s="7" t="s">
        <v>220</v>
      </c>
      <c r="E54" s="7" t="s">
        <v>221</v>
      </c>
      <c r="F54" s="7" t="s">
        <v>222</v>
      </c>
      <c r="G54" s="7" t="s">
        <v>221</v>
      </c>
      <c r="H54" s="7" t="s">
        <v>223</v>
      </c>
      <c r="I54" s="323"/>
      <c r="J54" s="12" t="s">
        <v>23</v>
      </c>
      <c r="K54" s="14">
        <v>0.97916666666666663</v>
      </c>
      <c r="L54" s="6">
        <v>85</v>
      </c>
      <c r="M54" s="12" t="s">
        <v>83</v>
      </c>
      <c r="N54" s="13" t="s">
        <v>216</v>
      </c>
    </row>
    <row r="55" spans="1:14" ht="15.75" customHeight="1">
      <c r="A55" s="66">
        <v>52</v>
      </c>
      <c r="B55" s="6">
        <v>2000</v>
      </c>
      <c r="C55" s="324"/>
      <c r="D55" s="7" t="s">
        <v>224</v>
      </c>
      <c r="E55" s="7" t="s">
        <v>225</v>
      </c>
      <c r="F55" s="7" t="s">
        <v>226</v>
      </c>
      <c r="G55" s="7" t="s">
        <v>225</v>
      </c>
      <c r="H55" s="7" t="s">
        <v>2269</v>
      </c>
      <c r="I55" s="323"/>
      <c r="J55" s="12" t="s">
        <v>23</v>
      </c>
      <c r="K55" s="14">
        <v>0.97916666666666663</v>
      </c>
      <c r="L55" s="6">
        <v>85</v>
      </c>
      <c r="M55" s="12" t="s">
        <v>83</v>
      </c>
      <c r="N55" s="13" t="s">
        <v>216</v>
      </c>
    </row>
    <row r="56" spans="1:14" ht="15.75" customHeight="1">
      <c r="A56" s="66">
        <v>53</v>
      </c>
      <c r="B56" s="6">
        <v>2000</v>
      </c>
      <c r="C56" s="322" t="s">
        <v>227</v>
      </c>
      <c r="D56" s="7" t="s">
        <v>228</v>
      </c>
      <c r="E56" s="7" t="s">
        <v>229</v>
      </c>
      <c r="F56" s="7" t="s">
        <v>230</v>
      </c>
      <c r="G56" s="7" t="s">
        <v>229</v>
      </c>
      <c r="H56" s="7" t="s">
        <v>231</v>
      </c>
      <c r="I56" s="323"/>
      <c r="J56" s="12" t="s">
        <v>23</v>
      </c>
      <c r="K56" s="14">
        <v>0.97916666666666663</v>
      </c>
      <c r="L56" s="6">
        <v>85</v>
      </c>
      <c r="M56" s="12" t="s">
        <v>83</v>
      </c>
      <c r="N56" s="13" t="s">
        <v>216</v>
      </c>
    </row>
    <row r="57" spans="1:14" ht="15.75" customHeight="1">
      <c r="A57" s="66">
        <v>54</v>
      </c>
      <c r="B57" s="6">
        <v>2000</v>
      </c>
      <c r="C57" s="323"/>
      <c r="D57" s="7" t="s">
        <v>232</v>
      </c>
      <c r="E57" s="7" t="s">
        <v>233</v>
      </c>
      <c r="F57" s="7" t="s">
        <v>234</v>
      </c>
      <c r="G57" s="7" t="s">
        <v>233</v>
      </c>
      <c r="H57" s="7" t="s">
        <v>235</v>
      </c>
      <c r="I57" s="323"/>
      <c r="J57" s="12" t="s">
        <v>23</v>
      </c>
      <c r="K57" s="12" t="s">
        <v>23</v>
      </c>
      <c r="L57" s="6">
        <v>85</v>
      </c>
      <c r="M57" s="12" t="s">
        <v>236</v>
      </c>
      <c r="N57" s="13" t="s">
        <v>216</v>
      </c>
    </row>
    <row r="58" spans="1:14" ht="15.75" customHeight="1">
      <c r="A58" s="66">
        <v>55</v>
      </c>
      <c r="B58" s="6">
        <v>2000</v>
      </c>
      <c r="C58" s="323"/>
      <c r="D58" s="7" t="s">
        <v>237</v>
      </c>
      <c r="E58" s="7" t="s">
        <v>238</v>
      </c>
      <c r="F58" s="7" t="s">
        <v>239</v>
      </c>
      <c r="G58" s="7" t="s">
        <v>238</v>
      </c>
      <c r="H58" s="7" t="s">
        <v>235</v>
      </c>
      <c r="I58" s="323"/>
      <c r="J58" s="12" t="s">
        <v>23</v>
      </c>
      <c r="K58" s="12" t="s">
        <v>23</v>
      </c>
      <c r="L58" s="6">
        <v>85</v>
      </c>
      <c r="M58" s="12" t="s">
        <v>236</v>
      </c>
      <c r="N58" s="13" t="s">
        <v>216</v>
      </c>
    </row>
    <row r="59" spans="1:14" ht="15.75" customHeight="1">
      <c r="A59" s="66">
        <v>56</v>
      </c>
      <c r="B59" s="6">
        <v>2000</v>
      </c>
      <c r="C59" s="323"/>
      <c r="D59" s="7" t="s">
        <v>240</v>
      </c>
      <c r="E59" s="7" t="s">
        <v>241</v>
      </c>
      <c r="F59" s="7" t="s">
        <v>242</v>
      </c>
      <c r="G59" s="7" t="s">
        <v>241</v>
      </c>
      <c r="H59" s="7" t="s">
        <v>243</v>
      </c>
      <c r="I59" s="323"/>
      <c r="J59" s="12" t="s">
        <v>23</v>
      </c>
      <c r="K59" s="14">
        <v>0.64583333333333337</v>
      </c>
      <c r="L59" s="6">
        <v>85</v>
      </c>
      <c r="M59" s="12" t="s">
        <v>24</v>
      </c>
      <c r="N59" s="13" t="s">
        <v>216</v>
      </c>
    </row>
    <row r="60" spans="1:14" ht="15.75" customHeight="1">
      <c r="A60" s="66">
        <v>57</v>
      </c>
      <c r="B60" s="6">
        <v>2000</v>
      </c>
      <c r="C60" s="324"/>
      <c r="D60" s="7" t="s">
        <v>244</v>
      </c>
      <c r="E60" s="7" t="s">
        <v>245</v>
      </c>
      <c r="F60" s="7" t="s">
        <v>246</v>
      </c>
      <c r="G60" s="7" t="s">
        <v>245</v>
      </c>
      <c r="H60" s="7" t="s">
        <v>243</v>
      </c>
      <c r="I60" s="323"/>
      <c r="J60" s="12" t="s">
        <v>23</v>
      </c>
      <c r="K60" s="14">
        <v>0.64583333333333337</v>
      </c>
      <c r="L60" s="6">
        <v>85</v>
      </c>
      <c r="M60" s="12" t="s">
        <v>24</v>
      </c>
      <c r="N60" s="13" t="s">
        <v>216</v>
      </c>
    </row>
    <row r="61" spans="1:14" ht="15.75" customHeight="1">
      <c r="A61" s="66">
        <v>58</v>
      </c>
      <c r="B61" s="6">
        <v>2000</v>
      </c>
      <c r="C61" s="322" t="s">
        <v>247</v>
      </c>
      <c r="D61" s="7" t="s">
        <v>248</v>
      </c>
      <c r="E61" s="6" t="s">
        <v>249</v>
      </c>
      <c r="F61" s="7" t="s">
        <v>250</v>
      </c>
      <c r="G61" s="7" t="s">
        <v>249</v>
      </c>
      <c r="H61" s="6">
        <v>1111034003</v>
      </c>
      <c r="I61" s="323"/>
      <c r="J61" s="12" t="s">
        <v>23</v>
      </c>
      <c r="K61" s="12" t="s">
        <v>252</v>
      </c>
      <c r="L61" s="6">
        <v>85</v>
      </c>
      <c r="M61" s="12" t="s">
        <v>83</v>
      </c>
      <c r="N61" s="13" t="s">
        <v>216</v>
      </c>
    </row>
    <row r="62" spans="1:14" ht="15.75" customHeight="1">
      <c r="A62" s="66">
        <v>59</v>
      </c>
      <c r="B62" s="6">
        <v>2000</v>
      </c>
      <c r="C62" s="324"/>
      <c r="D62" s="7" t="s">
        <v>253</v>
      </c>
      <c r="E62" s="7" t="s">
        <v>254</v>
      </c>
      <c r="F62" s="7" t="s">
        <v>255</v>
      </c>
      <c r="G62" s="7" t="s">
        <v>254</v>
      </c>
      <c r="H62" s="7" t="s">
        <v>2250</v>
      </c>
      <c r="I62" s="323"/>
      <c r="J62" s="12" t="s">
        <v>23</v>
      </c>
      <c r="K62" s="12" t="s">
        <v>252</v>
      </c>
      <c r="L62" s="6">
        <v>85</v>
      </c>
      <c r="M62" s="12" t="s">
        <v>83</v>
      </c>
      <c r="N62" s="13" t="s">
        <v>216</v>
      </c>
    </row>
    <row r="63" spans="1:14" ht="15.75" customHeight="1">
      <c r="A63" s="66">
        <v>60</v>
      </c>
      <c r="B63" s="6">
        <v>2000</v>
      </c>
      <c r="C63" s="322" t="s">
        <v>215</v>
      </c>
      <c r="D63" s="7" t="s">
        <v>259</v>
      </c>
      <c r="E63" s="7" t="s">
        <v>260</v>
      </c>
      <c r="F63" s="7" t="s">
        <v>261</v>
      </c>
      <c r="G63" s="7" t="s">
        <v>260</v>
      </c>
      <c r="H63" s="7" t="s">
        <v>262</v>
      </c>
      <c r="I63" s="323"/>
      <c r="J63" s="12" t="s">
        <v>23</v>
      </c>
      <c r="K63" s="14">
        <v>0.97916666666666663</v>
      </c>
      <c r="L63" s="6">
        <v>85</v>
      </c>
      <c r="M63" s="12" t="s">
        <v>83</v>
      </c>
      <c r="N63" s="13" t="s">
        <v>216</v>
      </c>
    </row>
    <row r="64" spans="1:14" ht="15.75" customHeight="1">
      <c r="A64" s="66">
        <v>61</v>
      </c>
      <c r="B64" s="6">
        <v>2000</v>
      </c>
      <c r="C64" s="323"/>
      <c r="D64" s="7" t="s">
        <v>263</v>
      </c>
      <c r="E64" s="7" t="s">
        <v>264</v>
      </c>
      <c r="F64" s="7" t="s">
        <v>265</v>
      </c>
      <c r="G64" s="7" t="s">
        <v>264</v>
      </c>
      <c r="H64" s="7" t="s">
        <v>266</v>
      </c>
      <c r="I64" s="323"/>
      <c r="J64" s="12" t="s">
        <v>23</v>
      </c>
      <c r="K64" s="14">
        <v>0.64583333333333337</v>
      </c>
      <c r="L64" s="6">
        <v>85</v>
      </c>
      <c r="M64" s="12" t="s">
        <v>24</v>
      </c>
      <c r="N64" s="13" t="s">
        <v>216</v>
      </c>
    </row>
    <row r="65" spans="1:14" ht="15.75" customHeight="1">
      <c r="A65" s="66">
        <v>62</v>
      </c>
      <c r="B65" s="6">
        <v>2000</v>
      </c>
      <c r="C65" s="323"/>
      <c r="D65" s="7" t="s">
        <v>267</v>
      </c>
      <c r="E65" s="7" t="s">
        <v>268</v>
      </c>
      <c r="F65" s="7" t="s">
        <v>269</v>
      </c>
      <c r="G65" s="7" t="s">
        <v>268</v>
      </c>
      <c r="H65" s="7" t="s">
        <v>270</v>
      </c>
      <c r="I65" s="323"/>
      <c r="J65" s="12" t="s">
        <v>23</v>
      </c>
      <c r="K65" s="14">
        <v>0.64583333333333337</v>
      </c>
      <c r="L65" s="6">
        <v>85</v>
      </c>
      <c r="M65" s="12" t="s">
        <v>24</v>
      </c>
      <c r="N65" s="13" t="s">
        <v>216</v>
      </c>
    </row>
    <row r="66" spans="1:14" ht="15.75" customHeight="1">
      <c r="A66" s="66">
        <v>63</v>
      </c>
      <c r="B66" s="6">
        <v>2000</v>
      </c>
      <c r="C66" s="323"/>
      <c r="D66" s="7" t="s">
        <v>271</v>
      </c>
      <c r="E66" s="7" t="s">
        <v>272</v>
      </c>
      <c r="F66" s="7" t="s">
        <v>273</v>
      </c>
      <c r="G66" s="7" t="s">
        <v>272</v>
      </c>
      <c r="H66" s="7" t="s">
        <v>274</v>
      </c>
      <c r="I66" s="323"/>
      <c r="J66" s="12" t="s">
        <v>23</v>
      </c>
      <c r="K66" s="14">
        <v>0.97916666666666663</v>
      </c>
      <c r="L66" s="6">
        <v>85</v>
      </c>
      <c r="M66" s="12" t="s">
        <v>83</v>
      </c>
      <c r="N66" s="13" t="s">
        <v>216</v>
      </c>
    </row>
    <row r="67" spans="1:14" ht="15.75" customHeight="1">
      <c r="A67" s="66">
        <v>64</v>
      </c>
      <c r="B67" s="6">
        <v>2000</v>
      </c>
      <c r="C67" s="323"/>
      <c r="D67" s="7" t="s">
        <v>275</v>
      </c>
      <c r="E67" s="7" t="s">
        <v>276</v>
      </c>
      <c r="F67" s="7" t="s">
        <v>277</v>
      </c>
      <c r="G67" s="7" t="s">
        <v>276</v>
      </c>
      <c r="H67" s="7" t="s">
        <v>278</v>
      </c>
      <c r="I67" s="323"/>
      <c r="J67" s="12" t="s">
        <v>23</v>
      </c>
      <c r="K67" s="14">
        <v>0.97916666666666663</v>
      </c>
      <c r="L67" s="6">
        <v>85</v>
      </c>
      <c r="M67" s="12" t="s">
        <v>83</v>
      </c>
      <c r="N67" s="13" t="s">
        <v>216</v>
      </c>
    </row>
    <row r="68" spans="1:14" ht="15.75" customHeight="1">
      <c r="A68" s="66">
        <v>65</v>
      </c>
      <c r="B68" s="6">
        <v>2000</v>
      </c>
      <c r="C68" s="323"/>
      <c r="D68" s="7" t="s">
        <v>279</v>
      </c>
      <c r="E68" s="7" t="s">
        <v>280</v>
      </c>
      <c r="F68" s="7" t="s">
        <v>281</v>
      </c>
      <c r="G68" s="7" t="s">
        <v>280</v>
      </c>
      <c r="H68" s="7" t="s">
        <v>282</v>
      </c>
      <c r="I68" s="323"/>
      <c r="J68" s="12" t="s">
        <v>23</v>
      </c>
      <c r="K68" s="14">
        <v>0.64583333333333337</v>
      </c>
      <c r="L68" s="6">
        <v>85</v>
      </c>
      <c r="M68" s="12" t="s">
        <v>24</v>
      </c>
      <c r="N68" s="13" t="s">
        <v>216</v>
      </c>
    </row>
    <row r="69" spans="1:14" ht="15.75" customHeight="1">
      <c r="A69" s="66">
        <v>66</v>
      </c>
      <c r="B69" s="6">
        <v>2000</v>
      </c>
      <c r="C69" s="323"/>
      <c r="D69" s="7" t="s">
        <v>283</v>
      </c>
      <c r="E69" s="7" t="s">
        <v>284</v>
      </c>
      <c r="F69" s="7" t="s">
        <v>285</v>
      </c>
      <c r="G69" s="7" t="s">
        <v>284</v>
      </c>
      <c r="H69" s="7" t="s">
        <v>270</v>
      </c>
      <c r="I69" s="323"/>
      <c r="J69" s="12" t="s">
        <v>23</v>
      </c>
      <c r="K69" s="14">
        <v>0.97916666666666663</v>
      </c>
      <c r="L69" s="6">
        <v>85</v>
      </c>
      <c r="M69" s="12" t="s">
        <v>83</v>
      </c>
      <c r="N69" s="13" t="s">
        <v>216</v>
      </c>
    </row>
    <row r="70" spans="1:14" ht="15.75" customHeight="1">
      <c r="A70" s="66">
        <v>67</v>
      </c>
      <c r="B70" s="6">
        <v>2000</v>
      </c>
      <c r="C70" s="323"/>
      <c r="D70" s="7" t="s">
        <v>286</v>
      </c>
      <c r="E70" s="7" t="s">
        <v>287</v>
      </c>
      <c r="F70" s="7" t="s">
        <v>288</v>
      </c>
      <c r="G70" s="7" t="s">
        <v>287</v>
      </c>
      <c r="H70" s="7" t="s">
        <v>289</v>
      </c>
      <c r="I70" s="323"/>
      <c r="J70" s="12" t="s">
        <v>23</v>
      </c>
      <c r="K70" s="14">
        <v>0.64583333333333337</v>
      </c>
      <c r="L70" s="6">
        <v>85</v>
      </c>
      <c r="M70" s="12" t="s">
        <v>24</v>
      </c>
      <c r="N70" s="13" t="s">
        <v>216</v>
      </c>
    </row>
    <row r="71" spans="1:14" ht="15.75" customHeight="1">
      <c r="A71" s="66">
        <v>68</v>
      </c>
      <c r="B71" s="6">
        <v>2000</v>
      </c>
      <c r="C71" s="323"/>
      <c r="D71" s="7" t="s">
        <v>290</v>
      </c>
      <c r="E71" s="7" t="s">
        <v>291</v>
      </c>
      <c r="F71" s="7" t="s">
        <v>292</v>
      </c>
      <c r="G71" s="7" t="s">
        <v>291</v>
      </c>
      <c r="H71" s="7" t="s">
        <v>293</v>
      </c>
      <c r="I71" s="323"/>
      <c r="J71" s="12" t="s">
        <v>23</v>
      </c>
      <c r="K71" s="14">
        <v>0.64583333333333337</v>
      </c>
      <c r="L71" s="6">
        <v>85</v>
      </c>
      <c r="M71" s="12" t="s">
        <v>24</v>
      </c>
      <c r="N71" s="13" t="s">
        <v>216</v>
      </c>
    </row>
    <row r="72" spans="1:14" ht="15.75" customHeight="1">
      <c r="A72" s="66">
        <v>69</v>
      </c>
      <c r="B72" s="6">
        <v>2000</v>
      </c>
      <c r="C72" s="323"/>
      <c r="D72" s="7" t="s">
        <v>294</v>
      </c>
      <c r="E72" s="7" t="s">
        <v>295</v>
      </c>
      <c r="F72" s="16"/>
      <c r="G72" s="7" t="s">
        <v>295</v>
      </c>
      <c r="H72" s="7" t="s">
        <v>297</v>
      </c>
      <c r="I72" s="323"/>
      <c r="J72" s="12" t="s">
        <v>23</v>
      </c>
      <c r="K72" s="14">
        <v>0.64583333333333337</v>
      </c>
      <c r="L72" s="6">
        <v>85</v>
      </c>
      <c r="M72" s="12" t="s">
        <v>24</v>
      </c>
      <c r="N72" s="13" t="s">
        <v>216</v>
      </c>
    </row>
    <row r="73" spans="1:14" ht="15.75" customHeight="1">
      <c r="A73" s="66">
        <v>70</v>
      </c>
      <c r="B73" s="6">
        <v>2000</v>
      </c>
      <c r="C73" s="323"/>
      <c r="D73" s="7" t="s">
        <v>298</v>
      </c>
      <c r="E73" s="7" t="s">
        <v>299</v>
      </c>
      <c r="F73" s="7" t="s">
        <v>300</v>
      </c>
      <c r="G73" s="7" t="s">
        <v>301</v>
      </c>
      <c r="H73" s="7" t="s">
        <v>302</v>
      </c>
      <c r="I73" s="323"/>
      <c r="J73" s="12" t="s">
        <v>23</v>
      </c>
      <c r="K73" s="14">
        <v>0.97916666666666663</v>
      </c>
      <c r="L73" s="6">
        <v>85</v>
      </c>
      <c r="M73" s="12" t="s">
        <v>83</v>
      </c>
      <c r="N73" s="13" t="s">
        <v>216</v>
      </c>
    </row>
    <row r="74" spans="1:14" ht="15.75" customHeight="1">
      <c r="A74" s="66">
        <v>71</v>
      </c>
      <c r="B74" s="6">
        <v>2000</v>
      </c>
      <c r="C74" s="323"/>
      <c r="D74" s="7" t="s">
        <v>303</v>
      </c>
      <c r="E74" s="7" t="s">
        <v>304</v>
      </c>
      <c r="F74" s="7" t="s">
        <v>305</v>
      </c>
      <c r="G74" s="7" t="s">
        <v>304</v>
      </c>
      <c r="H74" s="7" t="s">
        <v>306</v>
      </c>
      <c r="I74" s="323"/>
      <c r="J74" s="12" t="s">
        <v>23</v>
      </c>
      <c r="K74" s="14">
        <v>0.64583333333333337</v>
      </c>
      <c r="L74" s="6">
        <v>85</v>
      </c>
      <c r="M74" s="12" t="s">
        <v>24</v>
      </c>
      <c r="N74" s="13" t="s">
        <v>216</v>
      </c>
    </row>
    <row r="75" spans="1:14" ht="15.75" customHeight="1">
      <c r="A75" s="66">
        <v>72</v>
      </c>
      <c r="B75" s="6">
        <v>2000</v>
      </c>
      <c r="C75" s="322" t="s">
        <v>307</v>
      </c>
      <c r="D75" s="7" t="s">
        <v>308</v>
      </c>
      <c r="E75" s="7" t="s">
        <v>309</v>
      </c>
      <c r="F75" s="7" t="s">
        <v>310</v>
      </c>
      <c r="G75" s="7" t="s">
        <v>309</v>
      </c>
      <c r="H75" s="7" t="s">
        <v>311</v>
      </c>
      <c r="I75" s="333" t="s">
        <v>312</v>
      </c>
      <c r="J75" s="12" t="s">
        <v>23</v>
      </c>
      <c r="K75" s="26" t="s">
        <v>23</v>
      </c>
      <c r="L75" s="6">
        <v>85</v>
      </c>
      <c r="M75" s="12" t="s">
        <v>134</v>
      </c>
      <c r="N75" s="13" t="s">
        <v>313</v>
      </c>
    </row>
    <row r="76" spans="1:14" ht="15.75" customHeight="1">
      <c r="A76" s="66">
        <v>73</v>
      </c>
      <c r="B76" s="6">
        <v>2000</v>
      </c>
      <c r="C76" s="323"/>
      <c r="D76" s="7" t="s">
        <v>314</v>
      </c>
      <c r="E76" s="7" t="s">
        <v>315</v>
      </c>
      <c r="F76" s="7" t="s">
        <v>316</v>
      </c>
      <c r="G76" s="7" t="s">
        <v>315</v>
      </c>
      <c r="H76" s="7" t="s">
        <v>317</v>
      </c>
      <c r="I76" s="323"/>
      <c r="J76" s="12" t="s">
        <v>23</v>
      </c>
      <c r="K76" s="26" t="s">
        <v>23</v>
      </c>
      <c r="L76" s="6">
        <v>85</v>
      </c>
      <c r="M76" s="12" t="s">
        <v>134</v>
      </c>
      <c r="N76" s="13" t="s">
        <v>313</v>
      </c>
    </row>
    <row r="77" spans="1:14" ht="15.75" customHeight="1">
      <c r="A77" s="66">
        <v>74</v>
      </c>
      <c r="B77" s="6">
        <v>2000</v>
      </c>
      <c r="C77" s="324"/>
      <c r="D77" s="7" t="s">
        <v>318</v>
      </c>
      <c r="E77" s="7" t="s">
        <v>319</v>
      </c>
      <c r="F77" s="7" t="s">
        <v>320</v>
      </c>
      <c r="G77" s="7" t="s">
        <v>319</v>
      </c>
      <c r="H77" s="7" t="s">
        <v>321</v>
      </c>
      <c r="I77" s="323"/>
      <c r="J77" s="12" t="s">
        <v>23</v>
      </c>
      <c r="K77" s="26" t="s">
        <v>23</v>
      </c>
      <c r="L77" s="6">
        <v>85</v>
      </c>
      <c r="M77" s="12" t="s">
        <v>134</v>
      </c>
      <c r="N77" s="13" t="s">
        <v>313</v>
      </c>
    </row>
    <row r="78" spans="1:14" ht="15.75" customHeight="1">
      <c r="A78" s="66">
        <v>75</v>
      </c>
      <c r="B78" s="6">
        <v>2000</v>
      </c>
      <c r="C78" s="322" t="s">
        <v>322</v>
      </c>
      <c r="D78" s="7" t="s">
        <v>323</v>
      </c>
      <c r="E78" s="7" t="s">
        <v>324</v>
      </c>
      <c r="F78" s="7" t="s">
        <v>325</v>
      </c>
      <c r="G78" s="7" t="s">
        <v>324</v>
      </c>
      <c r="H78" s="7" t="s">
        <v>326</v>
      </c>
      <c r="I78" s="323"/>
      <c r="J78" s="12" t="s">
        <v>23</v>
      </c>
      <c r="K78" s="26" t="s">
        <v>23</v>
      </c>
      <c r="L78" s="6">
        <v>85</v>
      </c>
      <c r="M78" s="12" t="s">
        <v>134</v>
      </c>
      <c r="N78" s="13" t="s">
        <v>313</v>
      </c>
    </row>
    <row r="79" spans="1:14" ht="15.75" customHeight="1">
      <c r="A79" s="66">
        <v>76</v>
      </c>
      <c r="B79" s="6">
        <v>2000</v>
      </c>
      <c r="C79" s="323"/>
      <c r="D79" s="7" t="s">
        <v>327</v>
      </c>
      <c r="E79" s="7" t="s">
        <v>328</v>
      </c>
      <c r="F79" s="7" t="s">
        <v>329</v>
      </c>
      <c r="G79" s="7" t="s">
        <v>328</v>
      </c>
      <c r="H79" s="7" t="s">
        <v>330</v>
      </c>
      <c r="I79" s="323"/>
      <c r="J79" s="12" t="s">
        <v>23</v>
      </c>
      <c r="K79" s="26" t="s">
        <v>23</v>
      </c>
      <c r="L79" s="6">
        <v>85</v>
      </c>
      <c r="M79" s="12" t="s">
        <v>134</v>
      </c>
      <c r="N79" s="13" t="s">
        <v>313</v>
      </c>
    </row>
    <row r="80" spans="1:14" ht="15.75" customHeight="1">
      <c r="A80" s="66">
        <v>77</v>
      </c>
      <c r="B80" s="6">
        <v>2000</v>
      </c>
      <c r="C80" s="323"/>
      <c r="D80" s="7" t="s">
        <v>331</v>
      </c>
      <c r="E80" s="7" t="s">
        <v>332</v>
      </c>
      <c r="F80" s="7" t="s">
        <v>333</v>
      </c>
      <c r="G80" s="7" t="s">
        <v>332</v>
      </c>
      <c r="H80" s="7" t="s">
        <v>334</v>
      </c>
      <c r="I80" s="323"/>
      <c r="J80" s="12" t="s">
        <v>23</v>
      </c>
      <c r="K80" s="26" t="s">
        <v>23</v>
      </c>
      <c r="L80" s="6">
        <v>85</v>
      </c>
      <c r="M80" s="12" t="s">
        <v>134</v>
      </c>
      <c r="N80" s="13" t="s">
        <v>313</v>
      </c>
    </row>
    <row r="81" spans="1:14" ht="15.75" customHeight="1">
      <c r="A81" s="66">
        <v>78</v>
      </c>
      <c r="B81" s="6">
        <v>2000</v>
      </c>
      <c r="C81" s="324"/>
      <c r="D81" s="7" t="s">
        <v>335</v>
      </c>
      <c r="E81" s="7" t="s">
        <v>336</v>
      </c>
      <c r="F81" s="7" t="s">
        <v>337</v>
      </c>
      <c r="G81" s="7" t="s">
        <v>336</v>
      </c>
      <c r="H81" s="7" t="s">
        <v>338</v>
      </c>
      <c r="I81" s="323"/>
      <c r="J81" s="12" t="s">
        <v>23</v>
      </c>
      <c r="K81" s="26" t="s">
        <v>23</v>
      </c>
      <c r="L81" s="6">
        <v>85</v>
      </c>
      <c r="M81" s="12" t="s">
        <v>134</v>
      </c>
      <c r="N81" s="13" t="s">
        <v>313</v>
      </c>
    </row>
    <row r="82" spans="1:14" ht="15.75" customHeight="1">
      <c r="A82" s="66">
        <v>79</v>
      </c>
      <c r="B82" s="6">
        <v>2000</v>
      </c>
      <c r="C82" s="322" t="s">
        <v>339</v>
      </c>
      <c r="D82" s="7" t="s">
        <v>340</v>
      </c>
      <c r="E82" s="7" t="s">
        <v>341</v>
      </c>
      <c r="F82" s="7" t="s">
        <v>342</v>
      </c>
      <c r="G82" s="7" t="s">
        <v>341</v>
      </c>
      <c r="H82" s="7" t="s">
        <v>343</v>
      </c>
      <c r="I82" s="323"/>
      <c r="J82" s="12" t="s">
        <v>23</v>
      </c>
      <c r="K82" s="26" t="s">
        <v>23</v>
      </c>
      <c r="L82" s="6">
        <v>85</v>
      </c>
      <c r="M82" s="12" t="s">
        <v>134</v>
      </c>
      <c r="N82" s="13" t="s">
        <v>313</v>
      </c>
    </row>
    <row r="83" spans="1:14" ht="15.75" customHeight="1">
      <c r="A83" s="66">
        <v>80</v>
      </c>
      <c r="B83" s="6">
        <v>2000</v>
      </c>
      <c r="C83" s="323"/>
      <c r="D83" s="7" t="s">
        <v>344</v>
      </c>
      <c r="E83" s="7" t="s">
        <v>345</v>
      </c>
      <c r="F83" s="7" t="s">
        <v>346</v>
      </c>
      <c r="G83" s="7" t="s">
        <v>345</v>
      </c>
      <c r="H83" s="7" t="s">
        <v>347</v>
      </c>
      <c r="I83" s="323"/>
      <c r="J83" s="12" t="s">
        <v>23</v>
      </c>
      <c r="K83" s="26" t="s">
        <v>23</v>
      </c>
      <c r="L83" s="6">
        <v>85</v>
      </c>
      <c r="M83" s="12" t="s">
        <v>134</v>
      </c>
      <c r="N83" s="13" t="s">
        <v>313</v>
      </c>
    </row>
    <row r="84" spans="1:14" ht="15.75" customHeight="1">
      <c r="A84" s="66">
        <v>81</v>
      </c>
      <c r="B84" s="6">
        <v>2000</v>
      </c>
      <c r="C84" s="324"/>
      <c r="D84" s="7" t="s">
        <v>348</v>
      </c>
      <c r="E84" s="7" t="s">
        <v>349</v>
      </c>
      <c r="F84" s="7" t="s">
        <v>350</v>
      </c>
      <c r="G84" s="7" t="s">
        <v>349</v>
      </c>
      <c r="H84" s="7" t="s">
        <v>351</v>
      </c>
      <c r="I84" s="323"/>
      <c r="J84" s="12" t="s">
        <v>23</v>
      </c>
      <c r="K84" s="26" t="s">
        <v>23</v>
      </c>
      <c r="L84" s="6">
        <v>85</v>
      </c>
      <c r="M84" s="12" t="s">
        <v>134</v>
      </c>
      <c r="N84" s="13" t="s">
        <v>313</v>
      </c>
    </row>
    <row r="85" spans="1:14" ht="15.75" customHeight="1">
      <c r="A85" s="66">
        <v>82</v>
      </c>
      <c r="B85" s="6">
        <v>2000</v>
      </c>
      <c r="C85" s="20" t="s">
        <v>352</v>
      </c>
      <c r="D85" s="7" t="s">
        <v>353</v>
      </c>
      <c r="E85" s="7" t="s">
        <v>354</v>
      </c>
      <c r="F85" s="7" t="s">
        <v>355</v>
      </c>
      <c r="G85" s="7" t="s">
        <v>354</v>
      </c>
      <c r="H85" s="6">
        <v>1111041401</v>
      </c>
      <c r="I85" s="323"/>
      <c r="J85" s="12" t="s">
        <v>23</v>
      </c>
      <c r="K85" s="26" t="s">
        <v>23</v>
      </c>
      <c r="L85" s="6">
        <v>85</v>
      </c>
      <c r="M85" s="12" t="s">
        <v>134</v>
      </c>
      <c r="N85" s="13" t="s">
        <v>313</v>
      </c>
    </row>
    <row r="86" spans="1:14" ht="15.75" customHeight="1">
      <c r="A86" s="66">
        <v>83</v>
      </c>
      <c r="B86" s="6">
        <v>2000</v>
      </c>
      <c r="C86" s="322" t="s">
        <v>356</v>
      </c>
      <c r="D86" s="7" t="s">
        <v>357</v>
      </c>
      <c r="E86" s="7" t="s">
        <v>358</v>
      </c>
      <c r="F86" s="7" t="s">
        <v>359</v>
      </c>
      <c r="G86" s="7" t="s">
        <v>358</v>
      </c>
      <c r="H86" s="7" t="s">
        <v>360</v>
      </c>
      <c r="I86" s="323"/>
      <c r="J86" s="12" t="s">
        <v>23</v>
      </c>
      <c r="K86" s="26" t="s">
        <v>23</v>
      </c>
      <c r="L86" s="6">
        <v>85</v>
      </c>
      <c r="M86" s="12" t="s">
        <v>134</v>
      </c>
      <c r="N86" s="13" t="s">
        <v>313</v>
      </c>
    </row>
    <row r="87" spans="1:14" ht="15.75" customHeight="1">
      <c r="A87" s="66">
        <v>84</v>
      </c>
      <c r="B87" s="6">
        <v>2000</v>
      </c>
      <c r="C87" s="323"/>
      <c r="D87" s="7" t="s">
        <v>361</v>
      </c>
      <c r="E87" s="7" t="s">
        <v>362</v>
      </c>
      <c r="F87" s="7" t="s">
        <v>363</v>
      </c>
      <c r="G87" s="7" t="s">
        <v>362</v>
      </c>
      <c r="H87" s="7" t="s">
        <v>364</v>
      </c>
      <c r="I87" s="323"/>
      <c r="J87" s="12" t="s">
        <v>23</v>
      </c>
      <c r="K87" s="26" t="s">
        <v>23</v>
      </c>
      <c r="L87" s="6">
        <v>85</v>
      </c>
      <c r="M87" s="12" t="s">
        <v>134</v>
      </c>
      <c r="N87" s="13" t="s">
        <v>313</v>
      </c>
    </row>
    <row r="88" spans="1:14" ht="15.75" customHeight="1">
      <c r="A88" s="66">
        <v>85</v>
      </c>
      <c r="B88" s="6">
        <v>2000</v>
      </c>
      <c r="C88" s="323"/>
      <c r="D88" s="7" t="s">
        <v>365</v>
      </c>
      <c r="E88" s="7" t="s">
        <v>366</v>
      </c>
      <c r="F88" s="7" t="s">
        <v>367</v>
      </c>
      <c r="G88" s="7" t="s">
        <v>366</v>
      </c>
      <c r="H88" s="7" t="s">
        <v>368</v>
      </c>
      <c r="I88" s="323"/>
      <c r="J88" s="12" t="s">
        <v>23</v>
      </c>
      <c r="K88" s="26" t="s">
        <v>23</v>
      </c>
      <c r="L88" s="6">
        <v>85</v>
      </c>
      <c r="M88" s="12" t="s">
        <v>134</v>
      </c>
      <c r="N88" s="13" t="s">
        <v>313</v>
      </c>
    </row>
    <row r="89" spans="1:14" ht="15.75" customHeight="1">
      <c r="A89" s="66">
        <v>86</v>
      </c>
      <c r="B89" s="6">
        <v>2000</v>
      </c>
      <c r="C89" s="323"/>
      <c r="D89" s="7" t="s">
        <v>369</v>
      </c>
      <c r="E89" s="7" t="s">
        <v>370</v>
      </c>
      <c r="F89" s="7" t="s">
        <v>371</v>
      </c>
      <c r="G89" s="7" t="s">
        <v>370</v>
      </c>
      <c r="H89" s="7" t="s">
        <v>372</v>
      </c>
      <c r="I89" s="323"/>
      <c r="J89" s="12" t="s">
        <v>23</v>
      </c>
      <c r="K89" s="26" t="s">
        <v>373</v>
      </c>
      <c r="L89" s="6">
        <v>85</v>
      </c>
      <c r="M89" s="12" t="s">
        <v>83</v>
      </c>
      <c r="N89" s="13" t="s">
        <v>313</v>
      </c>
    </row>
    <row r="90" spans="1:14" ht="15.75" customHeight="1">
      <c r="A90" s="66">
        <v>87</v>
      </c>
      <c r="B90" s="6">
        <v>2000</v>
      </c>
      <c r="C90" s="323"/>
      <c r="D90" s="7" t="s">
        <v>374</v>
      </c>
      <c r="E90" s="7" t="s">
        <v>375</v>
      </c>
      <c r="F90" s="7" t="s">
        <v>376</v>
      </c>
      <c r="G90" s="7" t="s">
        <v>375</v>
      </c>
      <c r="H90" s="7" t="s">
        <v>377</v>
      </c>
      <c r="I90" s="323"/>
      <c r="J90" s="12" t="s">
        <v>23</v>
      </c>
      <c r="K90" s="26" t="s">
        <v>373</v>
      </c>
      <c r="L90" s="6">
        <v>85</v>
      </c>
      <c r="M90" s="12" t="s">
        <v>83</v>
      </c>
      <c r="N90" s="13" t="s">
        <v>313</v>
      </c>
    </row>
    <row r="91" spans="1:14" ht="15.75" customHeight="1">
      <c r="A91" s="66">
        <v>88</v>
      </c>
      <c r="B91" s="6">
        <v>2000</v>
      </c>
      <c r="C91" s="324"/>
      <c r="D91" s="7" t="s">
        <v>378</v>
      </c>
      <c r="E91" s="7" t="s">
        <v>379</v>
      </c>
      <c r="F91" s="7" t="s">
        <v>380</v>
      </c>
      <c r="G91" s="7" t="s">
        <v>379</v>
      </c>
      <c r="H91" s="7" t="s">
        <v>381</v>
      </c>
      <c r="I91" s="323"/>
      <c r="J91" s="12" t="s">
        <v>23</v>
      </c>
      <c r="K91" s="26" t="s">
        <v>373</v>
      </c>
      <c r="L91" s="6">
        <v>85</v>
      </c>
      <c r="M91" s="12" t="s">
        <v>83</v>
      </c>
      <c r="N91" s="13" t="s">
        <v>313</v>
      </c>
    </row>
    <row r="92" spans="1:14" ht="15.75" customHeight="1">
      <c r="A92" s="66">
        <v>89</v>
      </c>
      <c r="B92" s="6">
        <v>2000</v>
      </c>
      <c r="C92" s="7" t="s">
        <v>382</v>
      </c>
      <c r="D92" s="7" t="s">
        <v>383</v>
      </c>
      <c r="E92" s="7" t="s">
        <v>384</v>
      </c>
      <c r="F92" s="7" t="s">
        <v>385</v>
      </c>
      <c r="G92" s="7" t="s">
        <v>384</v>
      </c>
      <c r="H92" s="7" t="s">
        <v>360</v>
      </c>
      <c r="I92" s="324"/>
      <c r="J92" s="12" t="s">
        <v>23</v>
      </c>
      <c r="K92" s="26" t="s">
        <v>23</v>
      </c>
      <c r="L92" s="6">
        <v>85</v>
      </c>
      <c r="M92" s="12" t="s">
        <v>134</v>
      </c>
      <c r="N92" s="13" t="s">
        <v>313</v>
      </c>
    </row>
    <row r="93" spans="1:14" ht="15.75" customHeight="1">
      <c r="A93" s="66">
        <v>90</v>
      </c>
      <c r="B93" s="6">
        <v>2000</v>
      </c>
      <c r="C93" s="331" t="s">
        <v>386</v>
      </c>
      <c r="D93" s="7" t="s">
        <v>387</v>
      </c>
      <c r="E93" s="7" t="s">
        <v>388</v>
      </c>
      <c r="F93" s="7" t="s">
        <v>389</v>
      </c>
      <c r="G93" s="7" t="s">
        <v>388</v>
      </c>
      <c r="H93" s="7" t="s">
        <v>390</v>
      </c>
      <c r="I93" s="335" t="s">
        <v>391</v>
      </c>
      <c r="J93" s="12" t="s">
        <v>23</v>
      </c>
      <c r="K93" s="26" t="s">
        <v>373</v>
      </c>
      <c r="L93" s="6">
        <v>85</v>
      </c>
      <c r="M93" s="12" t="s">
        <v>83</v>
      </c>
      <c r="N93" s="13" t="s">
        <v>392</v>
      </c>
    </row>
    <row r="94" spans="1:14" ht="15.75" customHeight="1">
      <c r="A94" s="66">
        <v>91</v>
      </c>
      <c r="B94" s="6">
        <v>2000</v>
      </c>
      <c r="C94" s="323"/>
      <c r="D94" s="7" t="s">
        <v>393</v>
      </c>
      <c r="E94" s="7" t="s">
        <v>394</v>
      </c>
      <c r="F94" s="7" t="s">
        <v>395</v>
      </c>
      <c r="G94" s="7" t="s">
        <v>394</v>
      </c>
      <c r="H94" s="7" t="s">
        <v>396</v>
      </c>
      <c r="I94" s="323"/>
      <c r="J94" s="12" t="s">
        <v>23</v>
      </c>
      <c r="K94" s="26" t="s">
        <v>23</v>
      </c>
      <c r="L94" s="6">
        <v>85</v>
      </c>
      <c r="M94" s="12" t="s">
        <v>134</v>
      </c>
      <c r="N94" s="13" t="s">
        <v>392</v>
      </c>
    </row>
    <row r="95" spans="1:14" ht="15.75" customHeight="1">
      <c r="A95" s="66">
        <v>92</v>
      </c>
      <c r="B95" s="6">
        <v>2000</v>
      </c>
      <c r="C95" s="323"/>
      <c r="D95" s="7" t="s">
        <v>397</v>
      </c>
      <c r="E95" s="7" t="s">
        <v>398</v>
      </c>
      <c r="F95" s="7" t="s">
        <v>399</v>
      </c>
      <c r="G95" s="7" t="s">
        <v>398</v>
      </c>
      <c r="H95" s="7" t="s">
        <v>400</v>
      </c>
      <c r="I95" s="323"/>
      <c r="J95" s="12" t="s">
        <v>23</v>
      </c>
      <c r="K95" s="26" t="s">
        <v>23</v>
      </c>
      <c r="L95" s="6">
        <v>85</v>
      </c>
      <c r="M95" s="12" t="s">
        <v>134</v>
      </c>
      <c r="N95" s="13" t="s">
        <v>392</v>
      </c>
    </row>
    <row r="96" spans="1:14" ht="15.75" customHeight="1">
      <c r="A96" s="66">
        <v>93</v>
      </c>
      <c r="B96" s="6">
        <v>2000</v>
      </c>
      <c r="C96" s="323"/>
      <c r="D96" s="7" t="s">
        <v>401</v>
      </c>
      <c r="E96" s="7" t="s">
        <v>402</v>
      </c>
      <c r="F96" s="7" t="s">
        <v>403</v>
      </c>
      <c r="G96" s="7" t="s">
        <v>402</v>
      </c>
      <c r="H96" s="7" t="s">
        <v>404</v>
      </c>
      <c r="I96" s="323"/>
      <c r="J96" s="12" t="s">
        <v>23</v>
      </c>
      <c r="K96" s="26" t="s">
        <v>23</v>
      </c>
      <c r="L96" s="6">
        <v>85</v>
      </c>
      <c r="M96" s="12" t="s">
        <v>134</v>
      </c>
      <c r="N96" s="13" t="s">
        <v>392</v>
      </c>
    </row>
    <row r="97" spans="1:14" ht="15.75" customHeight="1">
      <c r="A97" s="66">
        <v>94</v>
      </c>
      <c r="B97" s="6">
        <v>2000</v>
      </c>
      <c r="C97" s="323"/>
      <c r="D97" s="7" t="s">
        <v>405</v>
      </c>
      <c r="E97" s="7" t="s">
        <v>406</v>
      </c>
      <c r="F97" s="7" t="s">
        <v>407</v>
      </c>
      <c r="G97" s="7" t="s">
        <v>406</v>
      </c>
      <c r="H97" s="7" t="s">
        <v>408</v>
      </c>
      <c r="I97" s="323"/>
      <c r="J97" s="12" t="s">
        <v>23</v>
      </c>
      <c r="K97" s="26" t="s">
        <v>23</v>
      </c>
      <c r="L97" s="6">
        <v>85</v>
      </c>
      <c r="M97" s="12" t="s">
        <v>134</v>
      </c>
      <c r="N97" s="13" t="s">
        <v>392</v>
      </c>
    </row>
    <row r="98" spans="1:14" ht="15.75" customHeight="1">
      <c r="A98" s="66">
        <v>95</v>
      </c>
      <c r="B98" s="6">
        <v>2000</v>
      </c>
      <c r="C98" s="323"/>
      <c r="D98" s="7" t="s">
        <v>409</v>
      </c>
      <c r="E98" s="7" t="s">
        <v>410</v>
      </c>
      <c r="F98" s="7" t="s">
        <v>411</v>
      </c>
      <c r="G98" s="7" t="s">
        <v>410</v>
      </c>
      <c r="H98" s="7" t="s">
        <v>412</v>
      </c>
      <c r="I98" s="323"/>
      <c r="J98" s="12" t="s">
        <v>23</v>
      </c>
      <c r="K98" s="26" t="s">
        <v>23</v>
      </c>
      <c r="L98" s="6">
        <v>85</v>
      </c>
      <c r="M98" s="12" t="s">
        <v>134</v>
      </c>
      <c r="N98" s="13" t="s">
        <v>392</v>
      </c>
    </row>
    <row r="99" spans="1:14" ht="15.75" customHeight="1">
      <c r="A99" s="66">
        <v>96</v>
      </c>
      <c r="B99" s="6">
        <v>2000</v>
      </c>
      <c r="C99" s="323"/>
      <c r="D99" s="7" t="s">
        <v>413</v>
      </c>
      <c r="E99" s="7" t="s">
        <v>414</v>
      </c>
      <c r="F99" s="7" t="s">
        <v>415</v>
      </c>
      <c r="G99" s="7" t="s">
        <v>414</v>
      </c>
      <c r="H99" s="7" t="s">
        <v>416</v>
      </c>
      <c r="I99" s="323"/>
      <c r="J99" s="12" t="s">
        <v>23</v>
      </c>
      <c r="K99" s="26" t="s">
        <v>23</v>
      </c>
      <c r="L99" s="6">
        <v>85</v>
      </c>
      <c r="M99" s="12" t="s">
        <v>134</v>
      </c>
      <c r="N99" s="13" t="s">
        <v>392</v>
      </c>
    </row>
    <row r="100" spans="1:14" ht="15.75" customHeight="1">
      <c r="A100" s="66">
        <v>97</v>
      </c>
      <c r="B100" s="6">
        <v>2000</v>
      </c>
      <c r="C100" s="324"/>
      <c r="D100" s="7" t="s">
        <v>417</v>
      </c>
      <c r="E100" s="7" t="s">
        <v>418</v>
      </c>
      <c r="F100" s="7" t="s">
        <v>419</v>
      </c>
      <c r="G100" s="7" t="s">
        <v>418</v>
      </c>
      <c r="H100" s="6">
        <v>1111081008</v>
      </c>
      <c r="I100" s="323"/>
      <c r="J100" s="12" t="s">
        <v>23</v>
      </c>
      <c r="K100" s="26" t="s">
        <v>23</v>
      </c>
      <c r="L100" s="6">
        <v>85</v>
      </c>
      <c r="M100" s="12" t="s">
        <v>134</v>
      </c>
      <c r="N100" s="13" t="s">
        <v>392</v>
      </c>
    </row>
    <row r="101" spans="1:14" ht="15.75" customHeight="1">
      <c r="A101" s="66">
        <v>98</v>
      </c>
      <c r="B101" s="6">
        <v>2000</v>
      </c>
      <c r="C101" s="322" t="s">
        <v>356</v>
      </c>
      <c r="D101" s="7" t="s">
        <v>420</v>
      </c>
      <c r="E101" s="7" t="s">
        <v>421</v>
      </c>
      <c r="F101" s="7" t="s">
        <v>422</v>
      </c>
      <c r="G101" s="7" t="s">
        <v>421</v>
      </c>
      <c r="H101" s="6">
        <v>1111082501</v>
      </c>
      <c r="I101" s="323"/>
      <c r="J101" s="12" t="s">
        <v>23</v>
      </c>
      <c r="K101" s="12" t="s">
        <v>423</v>
      </c>
      <c r="L101" s="6">
        <v>85</v>
      </c>
      <c r="M101" s="12" t="s">
        <v>83</v>
      </c>
      <c r="N101" s="13" t="s">
        <v>392</v>
      </c>
    </row>
    <row r="102" spans="1:14" ht="15.75" customHeight="1">
      <c r="A102" s="66">
        <v>99</v>
      </c>
      <c r="B102" s="6">
        <v>2000</v>
      </c>
      <c r="C102" s="323"/>
      <c r="D102" s="7" t="s">
        <v>424</v>
      </c>
      <c r="E102" s="7" t="s">
        <v>425</v>
      </c>
      <c r="F102" s="7" t="s">
        <v>426</v>
      </c>
      <c r="G102" s="7" t="s">
        <v>2270</v>
      </c>
      <c r="H102" s="6">
        <v>1111082502</v>
      </c>
      <c r="I102" s="323"/>
      <c r="J102" s="12" t="s">
        <v>23</v>
      </c>
      <c r="K102" s="14">
        <v>0.64583333333333337</v>
      </c>
      <c r="L102" s="6">
        <v>85</v>
      </c>
      <c r="M102" s="12" t="s">
        <v>24</v>
      </c>
      <c r="N102" s="13" t="s">
        <v>392</v>
      </c>
    </row>
    <row r="103" spans="1:14" ht="15.75" customHeight="1">
      <c r="A103" s="66">
        <v>100</v>
      </c>
      <c r="B103" s="6">
        <v>2000</v>
      </c>
      <c r="C103" s="323"/>
      <c r="D103" s="7" t="s">
        <v>428</v>
      </c>
      <c r="E103" s="7" t="s">
        <v>429</v>
      </c>
      <c r="F103" s="7" t="s">
        <v>430</v>
      </c>
      <c r="G103" s="7" t="s">
        <v>431</v>
      </c>
      <c r="H103" s="6">
        <v>1111082503</v>
      </c>
      <c r="I103" s="323"/>
      <c r="J103" s="12" t="s">
        <v>23</v>
      </c>
      <c r="K103" s="14">
        <v>0.64583333333333337</v>
      </c>
      <c r="L103" s="6">
        <v>85</v>
      </c>
      <c r="M103" s="12" t="s">
        <v>24</v>
      </c>
      <c r="N103" s="13" t="s">
        <v>392</v>
      </c>
    </row>
    <row r="104" spans="1:14" ht="15.75" customHeight="1">
      <c r="A104" s="66">
        <v>101</v>
      </c>
      <c r="B104" s="6">
        <v>2000</v>
      </c>
      <c r="C104" s="323"/>
      <c r="D104" s="7" t="s">
        <v>432</v>
      </c>
      <c r="E104" s="7" t="s">
        <v>433</v>
      </c>
      <c r="F104" s="7" t="s">
        <v>434</v>
      </c>
      <c r="G104" s="7" t="s">
        <v>433</v>
      </c>
      <c r="H104" s="6">
        <v>1111082401</v>
      </c>
      <c r="I104" s="323"/>
      <c r="J104" s="12" t="s">
        <v>23</v>
      </c>
      <c r="K104" s="12" t="s">
        <v>423</v>
      </c>
      <c r="L104" s="6">
        <v>85</v>
      </c>
      <c r="M104" s="12" t="s">
        <v>83</v>
      </c>
      <c r="N104" s="13" t="s">
        <v>392</v>
      </c>
    </row>
    <row r="105" spans="1:14" ht="15.75" customHeight="1">
      <c r="A105" s="66">
        <v>102</v>
      </c>
      <c r="B105" s="6">
        <v>2000</v>
      </c>
      <c r="C105" s="323"/>
      <c r="D105" s="7" t="s">
        <v>435</v>
      </c>
      <c r="E105" s="7" t="s">
        <v>436</v>
      </c>
      <c r="F105" s="7" t="s">
        <v>437</v>
      </c>
      <c r="G105" s="7" t="s">
        <v>2271</v>
      </c>
      <c r="H105" s="6">
        <v>1111082402</v>
      </c>
      <c r="I105" s="323"/>
      <c r="J105" s="12" t="s">
        <v>23</v>
      </c>
      <c r="K105" s="14">
        <v>0.64583333333333337</v>
      </c>
      <c r="L105" s="6">
        <v>85</v>
      </c>
      <c r="M105" s="12" t="s">
        <v>24</v>
      </c>
      <c r="N105" s="13" t="s">
        <v>392</v>
      </c>
    </row>
    <row r="106" spans="1:14" ht="15.75" customHeight="1">
      <c r="A106" s="66">
        <v>103</v>
      </c>
      <c r="B106" s="6">
        <v>2000</v>
      </c>
      <c r="C106" s="324"/>
      <c r="D106" s="7" t="s">
        <v>439</v>
      </c>
      <c r="E106" s="7" t="s">
        <v>440</v>
      </c>
      <c r="F106" s="7" t="s">
        <v>441</v>
      </c>
      <c r="G106" s="7" t="s">
        <v>440</v>
      </c>
      <c r="H106" s="6" t="s">
        <v>2272</v>
      </c>
      <c r="I106" s="324"/>
      <c r="J106" s="12" t="s">
        <v>23</v>
      </c>
      <c r="K106" s="14">
        <v>0.64583333333333337</v>
      </c>
      <c r="L106" s="6">
        <v>85</v>
      </c>
      <c r="M106" s="12" t="s">
        <v>24</v>
      </c>
      <c r="N106" s="13" t="s">
        <v>392</v>
      </c>
    </row>
    <row r="107" spans="1:14" ht="15.75" customHeight="1">
      <c r="A107" s="66">
        <v>104</v>
      </c>
      <c r="B107" s="6">
        <v>2000</v>
      </c>
      <c r="C107" s="322" t="s">
        <v>450</v>
      </c>
      <c r="D107" s="7" t="s">
        <v>451</v>
      </c>
      <c r="E107" s="7" t="s">
        <v>452</v>
      </c>
      <c r="F107" s="7" t="s">
        <v>453</v>
      </c>
      <c r="G107" s="7" t="s">
        <v>452</v>
      </c>
      <c r="H107" s="6">
        <v>1111110001</v>
      </c>
      <c r="I107" s="335" t="s">
        <v>450</v>
      </c>
      <c r="J107" s="12" t="s">
        <v>23</v>
      </c>
      <c r="K107" s="14">
        <v>0.70833333333333337</v>
      </c>
      <c r="L107" s="6">
        <v>85</v>
      </c>
      <c r="M107" s="12" t="s">
        <v>24</v>
      </c>
      <c r="N107" s="13" t="s">
        <v>454</v>
      </c>
    </row>
    <row r="108" spans="1:14" ht="15.75" customHeight="1">
      <c r="A108" s="66">
        <v>105</v>
      </c>
      <c r="B108" s="6">
        <v>2000</v>
      </c>
      <c r="C108" s="324"/>
      <c r="D108" s="7" t="s">
        <v>455</v>
      </c>
      <c r="E108" s="7" t="s">
        <v>456</v>
      </c>
      <c r="F108" s="7" t="s">
        <v>457</v>
      </c>
      <c r="G108" s="7" t="s">
        <v>456</v>
      </c>
      <c r="H108" s="6" t="s">
        <v>458</v>
      </c>
      <c r="I108" s="324"/>
      <c r="J108" s="12" t="s">
        <v>23</v>
      </c>
      <c r="K108" s="14">
        <v>0.70833333333333337</v>
      </c>
      <c r="L108" s="6">
        <v>85</v>
      </c>
      <c r="M108" s="12" t="s">
        <v>24</v>
      </c>
      <c r="N108" s="13" t="s">
        <v>454</v>
      </c>
    </row>
    <row r="109" spans="1:14" ht="15.75" customHeight="1">
      <c r="A109" s="66">
        <v>106</v>
      </c>
      <c r="B109" s="6">
        <v>2000</v>
      </c>
      <c r="C109" s="20" t="s">
        <v>168</v>
      </c>
      <c r="D109" s="7" t="s">
        <v>459</v>
      </c>
      <c r="E109" s="7" t="s">
        <v>460</v>
      </c>
      <c r="F109" s="7" t="s">
        <v>461</v>
      </c>
      <c r="G109" s="7" t="s">
        <v>460</v>
      </c>
      <c r="H109" s="7" t="s">
        <v>462</v>
      </c>
      <c r="I109" s="335" t="s">
        <v>463</v>
      </c>
      <c r="J109" s="12" t="s">
        <v>23</v>
      </c>
      <c r="K109" s="14">
        <v>0.97916666666666663</v>
      </c>
      <c r="L109" s="6">
        <v>85</v>
      </c>
      <c r="M109" s="12" t="s">
        <v>83</v>
      </c>
      <c r="N109" s="13" t="s">
        <v>464</v>
      </c>
    </row>
    <row r="110" spans="1:14" ht="15.75" customHeight="1">
      <c r="A110" s="66">
        <v>107</v>
      </c>
      <c r="B110" s="6">
        <v>2000</v>
      </c>
      <c r="C110" s="322" t="s">
        <v>465</v>
      </c>
      <c r="D110" s="7" t="s">
        <v>466</v>
      </c>
      <c r="E110" s="7" t="s">
        <v>467</v>
      </c>
      <c r="F110" s="7" t="s">
        <v>468</v>
      </c>
      <c r="G110" s="7" t="s">
        <v>467</v>
      </c>
      <c r="H110" s="7" t="s">
        <v>469</v>
      </c>
      <c r="I110" s="323"/>
      <c r="J110" s="12" t="s">
        <v>23</v>
      </c>
      <c r="K110" s="14">
        <v>0.97916666666666663</v>
      </c>
      <c r="L110" s="6">
        <v>85</v>
      </c>
      <c r="M110" s="12" t="s">
        <v>83</v>
      </c>
      <c r="N110" s="13" t="s">
        <v>464</v>
      </c>
    </row>
    <row r="111" spans="1:14" ht="15.75" customHeight="1">
      <c r="A111" s="66">
        <v>108</v>
      </c>
      <c r="B111" s="6">
        <v>2000</v>
      </c>
      <c r="C111" s="323"/>
      <c r="D111" s="7" t="s">
        <v>470</v>
      </c>
      <c r="E111" s="7" t="s">
        <v>471</v>
      </c>
      <c r="F111" s="7" t="s">
        <v>472</v>
      </c>
      <c r="G111" s="7" t="s">
        <v>471</v>
      </c>
      <c r="H111" s="7" t="s">
        <v>473</v>
      </c>
      <c r="I111" s="323"/>
      <c r="J111" s="12" t="s">
        <v>23</v>
      </c>
      <c r="K111" s="14">
        <v>0.97916666666666663</v>
      </c>
      <c r="L111" s="6">
        <v>85</v>
      </c>
      <c r="M111" s="12" t="s">
        <v>83</v>
      </c>
      <c r="N111" s="13" t="s">
        <v>464</v>
      </c>
    </row>
    <row r="112" spans="1:14" ht="15.75" customHeight="1">
      <c r="A112" s="66">
        <v>109</v>
      </c>
      <c r="B112" s="6">
        <v>2000</v>
      </c>
      <c r="C112" s="324"/>
      <c r="D112" s="7" t="s">
        <v>474</v>
      </c>
      <c r="E112" s="7" t="s">
        <v>475</v>
      </c>
      <c r="F112" s="7" t="s">
        <v>476</v>
      </c>
      <c r="G112" s="7" t="s">
        <v>475</v>
      </c>
      <c r="H112" s="7" t="s">
        <v>477</v>
      </c>
      <c r="I112" s="323"/>
      <c r="J112" s="12" t="s">
        <v>23</v>
      </c>
      <c r="K112" s="14">
        <v>0.97916666666666663</v>
      </c>
      <c r="L112" s="6">
        <v>85</v>
      </c>
      <c r="M112" s="12" t="s">
        <v>83</v>
      </c>
      <c r="N112" s="13" t="s">
        <v>464</v>
      </c>
    </row>
    <row r="113" spans="1:14" ht="15.75" customHeight="1">
      <c r="A113" s="66">
        <v>110</v>
      </c>
      <c r="B113" s="6">
        <v>2000</v>
      </c>
      <c r="C113" s="322" t="s">
        <v>356</v>
      </c>
      <c r="D113" s="7" t="s">
        <v>478</v>
      </c>
      <c r="E113" s="7" t="s">
        <v>479</v>
      </c>
      <c r="F113" s="7" t="s">
        <v>480</v>
      </c>
      <c r="G113" s="7" t="s">
        <v>479</v>
      </c>
      <c r="H113" s="7" t="s">
        <v>481</v>
      </c>
      <c r="I113" s="323"/>
      <c r="J113" s="12" t="s">
        <v>23</v>
      </c>
      <c r="K113" s="14">
        <v>0.97916666666666663</v>
      </c>
      <c r="L113" s="6">
        <v>85</v>
      </c>
      <c r="M113" s="12" t="s">
        <v>83</v>
      </c>
      <c r="N113" s="13" t="s">
        <v>464</v>
      </c>
    </row>
    <row r="114" spans="1:14" ht="15.75" customHeight="1">
      <c r="A114" s="66">
        <v>111</v>
      </c>
      <c r="B114" s="6">
        <v>2000</v>
      </c>
      <c r="C114" s="323"/>
      <c r="D114" s="7" t="s">
        <v>482</v>
      </c>
      <c r="E114" s="7" t="s">
        <v>483</v>
      </c>
      <c r="F114" s="7" t="s">
        <v>484</v>
      </c>
      <c r="G114" s="7" t="s">
        <v>485</v>
      </c>
      <c r="H114" s="7" t="s">
        <v>486</v>
      </c>
      <c r="I114" s="323"/>
      <c r="J114" s="12" t="s">
        <v>23</v>
      </c>
      <c r="K114" s="14">
        <v>0.97916666666666663</v>
      </c>
      <c r="L114" s="6">
        <v>85</v>
      </c>
      <c r="M114" s="12" t="s">
        <v>83</v>
      </c>
      <c r="N114" s="13" t="s">
        <v>464</v>
      </c>
    </row>
    <row r="115" spans="1:14" ht="15.75" customHeight="1">
      <c r="A115" s="66">
        <v>112</v>
      </c>
      <c r="B115" s="6">
        <v>2000</v>
      </c>
      <c r="C115" s="322" t="s">
        <v>489</v>
      </c>
      <c r="D115" s="7" t="s">
        <v>490</v>
      </c>
      <c r="E115" s="7" t="s">
        <v>491</v>
      </c>
      <c r="F115" s="7" t="s">
        <v>492</v>
      </c>
      <c r="G115" s="7" t="s">
        <v>491</v>
      </c>
      <c r="H115" s="7" t="s">
        <v>493</v>
      </c>
      <c r="I115" s="335" t="s">
        <v>494</v>
      </c>
      <c r="J115" s="12" t="s">
        <v>23</v>
      </c>
      <c r="K115" s="14">
        <v>0.64583333333333337</v>
      </c>
      <c r="L115" s="6">
        <v>85</v>
      </c>
      <c r="M115" s="12" t="s">
        <v>24</v>
      </c>
      <c r="N115" s="13" t="s">
        <v>495</v>
      </c>
    </row>
    <row r="116" spans="1:14" ht="15.75" customHeight="1">
      <c r="A116" s="66">
        <v>113</v>
      </c>
      <c r="B116" s="6">
        <v>2000</v>
      </c>
      <c r="C116" s="323"/>
      <c r="D116" s="7" t="s">
        <v>496</v>
      </c>
      <c r="E116" s="7" t="s">
        <v>497</v>
      </c>
      <c r="F116" s="7" t="s">
        <v>498</v>
      </c>
      <c r="G116" s="7" t="s">
        <v>497</v>
      </c>
      <c r="H116" s="7" t="s">
        <v>499</v>
      </c>
      <c r="I116" s="323"/>
      <c r="J116" s="12" t="s">
        <v>23</v>
      </c>
      <c r="K116" s="14">
        <v>0.64583333333333337</v>
      </c>
      <c r="L116" s="6">
        <v>85</v>
      </c>
      <c r="M116" s="12" t="s">
        <v>24</v>
      </c>
      <c r="N116" s="13" t="s">
        <v>495</v>
      </c>
    </row>
    <row r="117" spans="1:14" ht="15.75" customHeight="1">
      <c r="A117" s="66">
        <v>114</v>
      </c>
      <c r="B117" s="6">
        <v>2000</v>
      </c>
      <c r="C117" s="323"/>
      <c r="D117" s="7" t="s">
        <v>500</v>
      </c>
      <c r="E117" s="7" t="s">
        <v>501</v>
      </c>
      <c r="F117" s="7" t="s">
        <v>502</v>
      </c>
      <c r="G117" s="7" t="s">
        <v>501</v>
      </c>
      <c r="H117" s="7" t="s">
        <v>503</v>
      </c>
      <c r="I117" s="323"/>
      <c r="J117" s="12" t="s">
        <v>23</v>
      </c>
      <c r="K117" s="14">
        <v>0.64583333333333337</v>
      </c>
      <c r="L117" s="6">
        <v>85</v>
      </c>
      <c r="M117" s="12" t="s">
        <v>24</v>
      </c>
      <c r="N117" s="13" t="s">
        <v>495</v>
      </c>
    </row>
    <row r="118" spans="1:14" ht="15.75" customHeight="1">
      <c r="A118" s="66">
        <v>115</v>
      </c>
      <c r="B118" s="6">
        <v>2000</v>
      </c>
      <c r="C118" s="323"/>
      <c r="D118" s="7" t="s">
        <v>504</v>
      </c>
      <c r="E118" s="7" t="s">
        <v>505</v>
      </c>
      <c r="F118" s="7" t="s">
        <v>506</v>
      </c>
      <c r="G118" s="7" t="s">
        <v>505</v>
      </c>
      <c r="H118" s="7" t="s">
        <v>507</v>
      </c>
      <c r="I118" s="323"/>
      <c r="J118" s="12" t="s">
        <v>23</v>
      </c>
      <c r="K118" s="14">
        <v>0.64583333333333337</v>
      </c>
      <c r="L118" s="6">
        <v>85</v>
      </c>
      <c r="M118" s="12" t="s">
        <v>24</v>
      </c>
      <c r="N118" s="13" t="s">
        <v>495</v>
      </c>
    </row>
    <row r="119" spans="1:14" ht="15.75" customHeight="1">
      <c r="A119" s="66">
        <v>116</v>
      </c>
      <c r="B119" s="6">
        <v>2000</v>
      </c>
      <c r="C119" s="323"/>
      <c r="D119" s="7" t="s">
        <v>508</v>
      </c>
      <c r="E119" s="7" t="s">
        <v>509</v>
      </c>
      <c r="F119" s="7" t="s">
        <v>510</v>
      </c>
      <c r="G119" s="7" t="s">
        <v>509</v>
      </c>
      <c r="H119" s="7" t="s">
        <v>511</v>
      </c>
      <c r="I119" s="323"/>
      <c r="J119" s="12" t="s">
        <v>23</v>
      </c>
      <c r="K119" s="14">
        <v>0.64583333333333337</v>
      </c>
      <c r="L119" s="6">
        <v>85</v>
      </c>
      <c r="M119" s="12" t="s">
        <v>24</v>
      </c>
      <c r="N119" s="13" t="s">
        <v>495</v>
      </c>
    </row>
    <row r="120" spans="1:14" ht="15.75" customHeight="1">
      <c r="A120" s="66">
        <v>117</v>
      </c>
      <c r="B120" s="6">
        <v>2000</v>
      </c>
      <c r="C120" s="323"/>
      <c r="D120" s="7" t="s">
        <v>512</v>
      </c>
      <c r="E120" s="7" t="s">
        <v>513</v>
      </c>
      <c r="F120" s="7" t="s">
        <v>514</v>
      </c>
      <c r="G120" s="7" t="s">
        <v>513</v>
      </c>
      <c r="H120" s="7" t="s">
        <v>515</v>
      </c>
      <c r="I120" s="323"/>
      <c r="J120" s="12" t="s">
        <v>23</v>
      </c>
      <c r="K120" s="14">
        <v>0.64583333333333337</v>
      </c>
      <c r="L120" s="6">
        <v>85</v>
      </c>
      <c r="M120" s="12" t="s">
        <v>24</v>
      </c>
      <c r="N120" s="13" t="s">
        <v>495</v>
      </c>
    </row>
    <row r="121" spans="1:14" ht="15.75" customHeight="1">
      <c r="A121" s="66">
        <v>118</v>
      </c>
      <c r="B121" s="6">
        <v>2000</v>
      </c>
      <c r="C121" s="323"/>
      <c r="D121" s="7" t="s">
        <v>516</v>
      </c>
      <c r="E121" s="7" t="s">
        <v>517</v>
      </c>
      <c r="F121" s="7" t="s">
        <v>518</v>
      </c>
      <c r="G121" s="7" t="s">
        <v>517</v>
      </c>
      <c r="H121" s="7" t="s">
        <v>519</v>
      </c>
      <c r="I121" s="323"/>
      <c r="J121" s="12" t="s">
        <v>23</v>
      </c>
      <c r="K121" s="14">
        <v>0.75</v>
      </c>
      <c r="L121" s="6">
        <v>85</v>
      </c>
      <c r="M121" s="12" t="s">
        <v>24</v>
      </c>
      <c r="N121" s="13" t="s">
        <v>495</v>
      </c>
    </row>
    <row r="122" spans="1:14" ht="15.75" customHeight="1">
      <c r="A122" s="66">
        <v>119</v>
      </c>
      <c r="B122" s="6">
        <v>2000</v>
      </c>
      <c r="C122" s="324"/>
      <c r="D122" s="7" t="s">
        <v>520</v>
      </c>
      <c r="E122" s="7" t="s">
        <v>521</v>
      </c>
      <c r="F122" s="7" t="s">
        <v>522</v>
      </c>
      <c r="G122" s="7" t="s">
        <v>521</v>
      </c>
      <c r="H122" s="7" t="s">
        <v>523</v>
      </c>
      <c r="I122" s="323"/>
      <c r="J122" s="12" t="s">
        <v>23</v>
      </c>
      <c r="K122" s="14">
        <v>0.75</v>
      </c>
      <c r="L122" s="6">
        <v>85</v>
      </c>
      <c r="M122" s="12" t="s">
        <v>24</v>
      </c>
      <c r="N122" s="13" t="s">
        <v>495</v>
      </c>
    </row>
    <row r="123" spans="1:14" ht="15.75" customHeight="1">
      <c r="A123" s="66">
        <v>120</v>
      </c>
      <c r="B123" s="6">
        <v>2000</v>
      </c>
      <c r="C123" s="322" t="s">
        <v>524</v>
      </c>
      <c r="D123" s="7" t="s">
        <v>525</v>
      </c>
      <c r="E123" s="7" t="s">
        <v>526</v>
      </c>
      <c r="F123" s="7" t="s">
        <v>527</v>
      </c>
      <c r="G123" s="7" t="s">
        <v>526</v>
      </c>
      <c r="H123" s="7" t="s">
        <v>528</v>
      </c>
      <c r="I123" s="323"/>
      <c r="J123" s="12" t="s">
        <v>23</v>
      </c>
      <c r="K123" s="12" t="s">
        <v>529</v>
      </c>
      <c r="L123" s="6">
        <v>85</v>
      </c>
      <c r="M123" s="12" t="s">
        <v>83</v>
      </c>
      <c r="N123" s="13" t="s">
        <v>495</v>
      </c>
    </row>
    <row r="124" spans="1:14" ht="15.75" customHeight="1">
      <c r="A124" s="66">
        <v>121</v>
      </c>
      <c r="B124" s="6">
        <v>2000</v>
      </c>
      <c r="C124" s="323"/>
      <c r="D124" s="7" t="s">
        <v>530</v>
      </c>
      <c r="E124" s="7" t="s">
        <v>531</v>
      </c>
      <c r="F124" s="7" t="s">
        <v>532</v>
      </c>
      <c r="G124" s="7" t="s">
        <v>531</v>
      </c>
      <c r="H124" s="7" t="s">
        <v>533</v>
      </c>
      <c r="I124" s="323"/>
      <c r="J124" s="12" t="s">
        <v>23</v>
      </c>
      <c r="K124" s="12" t="s">
        <v>529</v>
      </c>
      <c r="L124" s="6">
        <v>85</v>
      </c>
      <c r="M124" s="12" t="s">
        <v>83</v>
      </c>
      <c r="N124" s="13" t="s">
        <v>495</v>
      </c>
    </row>
    <row r="125" spans="1:14" ht="15.75" customHeight="1">
      <c r="A125" s="66">
        <v>122</v>
      </c>
      <c r="B125" s="6">
        <v>2000</v>
      </c>
      <c r="C125" s="323"/>
      <c r="D125" s="7" t="s">
        <v>534</v>
      </c>
      <c r="E125" s="7" t="s">
        <v>535</v>
      </c>
      <c r="F125" s="7" t="s">
        <v>536</v>
      </c>
      <c r="G125" s="7" t="s">
        <v>535</v>
      </c>
      <c r="H125" s="7" t="s">
        <v>537</v>
      </c>
      <c r="I125" s="323"/>
      <c r="J125" s="12" t="s">
        <v>23</v>
      </c>
      <c r="K125" s="14">
        <v>0.75</v>
      </c>
      <c r="L125" s="6">
        <v>85</v>
      </c>
      <c r="M125" s="12" t="s">
        <v>24</v>
      </c>
      <c r="N125" s="13" t="s">
        <v>495</v>
      </c>
    </row>
    <row r="126" spans="1:14" ht="15.75" customHeight="1">
      <c r="A126" s="66">
        <v>123</v>
      </c>
      <c r="B126" s="6">
        <v>2000</v>
      </c>
      <c r="C126" s="323"/>
      <c r="D126" s="7" t="s">
        <v>538</v>
      </c>
      <c r="E126" s="7" t="s">
        <v>539</v>
      </c>
      <c r="F126" s="7" t="s">
        <v>540</v>
      </c>
      <c r="G126" s="7" t="s">
        <v>539</v>
      </c>
      <c r="H126" s="7" t="s">
        <v>541</v>
      </c>
      <c r="I126" s="323"/>
      <c r="J126" s="12" t="s">
        <v>23</v>
      </c>
      <c r="K126" s="14">
        <v>0.75</v>
      </c>
      <c r="L126" s="6">
        <v>85</v>
      </c>
      <c r="M126" s="12" t="s">
        <v>24</v>
      </c>
      <c r="N126" s="13" t="s">
        <v>495</v>
      </c>
    </row>
    <row r="127" spans="1:14" ht="15.75" customHeight="1">
      <c r="A127" s="66">
        <v>124</v>
      </c>
      <c r="B127" s="6">
        <v>2000</v>
      </c>
      <c r="C127" s="323"/>
      <c r="D127" s="7" t="s">
        <v>542</v>
      </c>
      <c r="E127" s="7" t="s">
        <v>543</v>
      </c>
      <c r="F127" s="7" t="s">
        <v>544</v>
      </c>
      <c r="G127" s="7" t="s">
        <v>543</v>
      </c>
      <c r="H127" s="7" t="s">
        <v>545</v>
      </c>
      <c r="I127" s="323"/>
      <c r="J127" s="12" t="s">
        <v>23</v>
      </c>
      <c r="K127" s="14">
        <v>0.75</v>
      </c>
      <c r="L127" s="6">
        <v>85</v>
      </c>
      <c r="M127" s="12" t="s">
        <v>24</v>
      </c>
      <c r="N127" s="13" t="s">
        <v>495</v>
      </c>
    </row>
    <row r="128" spans="1:14" ht="15.75" customHeight="1">
      <c r="A128" s="66">
        <v>125</v>
      </c>
      <c r="B128" s="6">
        <v>2000</v>
      </c>
      <c r="C128" s="323"/>
      <c r="D128" s="7" t="s">
        <v>546</v>
      </c>
      <c r="E128" s="7" t="s">
        <v>547</v>
      </c>
      <c r="F128" s="7" t="s">
        <v>548</v>
      </c>
      <c r="G128" s="7" t="s">
        <v>547</v>
      </c>
      <c r="H128" s="7" t="s">
        <v>549</v>
      </c>
      <c r="I128" s="323"/>
      <c r="J128" s="12" t="s">
        <v>23</v>
      </c>
      <c r="K128" s="12" t="s">
        <v>529</v>
      </c>
      <c r="L128" s="6">
        <v>85</v>
      </c>
      <c r="M128" s="12" t="s">
        <v>83</v>
      </c>
      <c r="N128" s="13" t="s">
        <v>495</v>
      </c>
    </row>
    <row r="129" spans="1:14" ht="15.75" customHeight="1">
      <c r="A129" s="66">
        <v>126</v>
      </c>
      <c r="B129" s="6">
        <v>2000</v>
      </c>
      <c r="C129" s="323"/>
      <c r="D129" s="7" t="s">
        <v>550</v>
      </c>
      <c r="E129" s="7" t="s">
        <v>551</v>
      </c>
      <c r="F129" s="7" t="s">
        <v>552</v>
      </c>
      <c r="G129" s="7" t="s">
        <v>551</v>
      </c>
      <c r="H129" s="7" t="s">
        <v>553</v>
      </c>
      <c r="I129" s="323"/>
      <c r="J129" s="12" t="s">
        <v>23</v>
      </c>
      <c r="K129" s="14">
        <v>0.75</v>
      </c>
      <c r="L129" s="6">
        <v>85</v>
      </c>
      <c r="M129" s="12" t="s">
        <v>24</v>
      </c>
      <c r="N129" s="13" t="s">
        <v>495</v>
      </c>
    </row>
    <row r="130" spans="1:14" ht="15.75" customHeight="1">
      <c r="A130" s="66">
        <v>127</v>
      </c>
      <c r="B130" s="6">
        <v>2000</v>
      </c>
      <c r="C130" s="323"/>
      <c r="D130" s="7" t="s">
        <v>554</v>
      </c>
      <c r="E130" s="7" t="s">
        <v>555</v>
      </c>
      <c r="F130" s="7" t="s">
        <v>556</v>
      </c>
      <c r="G130" s="7" t="s">
        <v>555</v>
      </c>
      <c r="H130" s="7" t="s">
        <v>557</v>
      </c>
      <c r="I130" s="323"/>
      <c r="J130" s="12" t="s">
        <v>23</v>
      </c>
      <c r="K130" s="12" t="s">
        <v>529</v>
      </c>
      <c r="L130" s="6">
        <v>85</v>
      </c>
      <c r="M130" s="12" t="s">
        <v>83</v>
      </c>
      <c r="N130" s="13" t="s">
        <v>495</v>
      </c>
    </row>
    <row r="131" spans="1:14" ht="15.75" customHeight="1">
      <c r="A131" s="66">
        <v>128</v>
      </c>
      <c r="B131" s="6">
        <v>2000</v>
      </c>
      <c r="C131" s="323"/>
      <c r="D131" s="7" t="s">
        <v>558</v>
      </c>
      <c r="E131" s="7" t="s">
        <v>559</v>
      </c>
      <c r="F131" s="7" t="s">
        <v>560</v>
      </c>
      <c r="G131" s="7" t="s">
        <v>559</v>
      </c>
      <c r="H131" s="7" t="s">
        <v>561</v>
      </c>
      <c r="I131" s="323"/>
      <c r="J131" s="12" t="s">
        <v>23</v>
      </c>
      <c r="K131" s="12" t="s">
        <v>529</v>
      </c>
      <c r="L131" s="6">
        <v>85</v>
      </c>
      <c r="M131" s="12" t="s">
        <v>83</v>
      </c>
      <c r="N131" s="13" t="s">
        <v>495</v>
      </c>
    </row>
    <row r="132" spans="1:14" ht="15.75" customHeight="1">
      <c r="A132" s="66">
        <v>129</v>
      </c>
      <c r="B132" s="6">
        <v>2000</v>
      </c>
      <c r="C132" s="324"/>
      <c r="D132" s="7" t="s">
        <v>562</v>
      </c>
      <c r="E132" s="7" t="s">
        <v>563</v>
      </c>
      <c r="F132" s="7" t="s">
        <v>564</v>
      </c>
      <c r="G132" s="7" t="s">
        <v>563</v>
      </c>
      <c r="H132" s="7" t="s">
        <v>2251</v>
      </c>
      <c r="I132" s="323"/>
      <c r="J132" s="12" t="s">
        <v>23</v>
      </c>
      <c r="K132" s="14">
        <v>0.97916666666666663</v>
      </c>
      <c r="L132" s="6">
        <v>85</v>
      </c>
      <c r="M132" s="12" t="s">
        <v>83</v>
      </c>
      <c r="N132" s="13" t="s">
        <v>495</v>
      </c>
    </row>
    <row r="133" spans="1:14" ht="15.75" customHeight="1">
      <c r="A133" s="66">
        <v>130</v>
      </c>
      <c r="B133" s="6">
        <v>2000</v>
      </c>
      <c r="C133" s="322" t="s">
        <v>566</v>
      </c>
      <c r="D133" s="7" t="s">
        <v>567</v>
      </c>
      <c r="E133" s="7" t="s">
        <v>568</v>
      </c>
      <c r="F133" s="7" t="s">
        <v>569</v>
      </c>
      <c r="G133" s="7" t="s">
        <v>568</v>
      </c>
      <c r="H133" s="7" t="s">
        <v>571</v>
      </c>
      <c r="I133" s="323"/>
      <c r="J133" s="14">
        <v>0.64583333333333337</v>
      </c>
      <c r="K133" s="14">
        <v>0.97916666666666663</v>
      </c>
      <c r="L133" s="6">
        <v>85</v>
      </c>
      <c r="M133" s="12" t="s">
        <v>24</v>
      </c>
      <c r="N133" s="13" t="s">
        <v>495</v>
      </c>
    </row>
    <row r="134" spans="1:14" ht="15.75" customHeight="1">
      <c r="A134" s="66">
        <v>131</v>
      </c>
      <c r="B134" s="6">
        <v>2000</v>
      </c>
      <c r="C134" s="323"/>
      <c r="D134" s="7" t="s">
        <v>572</v>
      </c>
      <c r="E134" s="7" t="s">
        <v>573</v>
      </c>
      <c r="F134" s="7" t="s">
        <v>574</v>
      </c>
      <c r="G134" s="7" t="s">
        <v>575</v>
      </c>
      <c r="H134" s="7" t="s">
        <v>576</v>
      </c>
      <c r="I134" s="323"/>
      <c r="J134" s="12" t="s">
        <v>23</v>
      </c>
      <c r="K134" s="14">
        <v>0.64583333333333337</v>
      </c>
      <c r="L134" s="6">
        <v>85</v>
      </c>
      <c r="M134" s="12" t="s">
        <v>24</v>
      </c>
      <c r="N134" s="13" t="s">
        <v>495</v>
      </c>
    </row>
    <row r="135" spans="1:14" ht="15.75" customHeight="1">
      <c r="A135" s="66">
        <v>132</v>
      </c>
      <c r="B135" s="6">
        <v>2000</v>
      </c>
      <c r="C135" s="323"/>
      <c r="D135" s="7" t="s">
        <v>577</v>
      </c>
      <c r="E135" s="7" t="s">
        <v>578</v>
      </c>
      <c r="F135" s="7" t="s">
        <v>579</v>
      </c>
      <c r="G135" s="7" t="s">
        <v>2273</v>
      </c>
      <c r="H135" s="7" t="s">
        <v>2274</v>
      </c>
      <c r="I135" s="323"/>
      <c r="J135" s="12" t="s">
        <v>23</v>
      </c>
      <c r="K135" s="14">
        <v>0.64583333333333337</v>
      </c>
      <c r="L135" s="6">
        <v>85</v>
      </c>
      <c r="M135" s="12" t="s">
        <v>24</v>
      </c>
      <c r="N135" s="13" t="s">
        <v>495</v>
      </c>
    </row>
    <row r="136" spans="1:14" ht="15.75" customHeight="1">
      <c r="A136" s="66">
        <v>133</v>
      </c>
      <c r="B136" s="6">
        <v>2000</v>
      </c>
      <c r="C136" s="322" t="s">
        <v>585</v>
      </c>
      <c r="D136" s="7" t="s">
        <v>586</v>
      </c>
      <c r="E136" s="7" t="s">
        <v>587</v>
      </c>
      <c r="F136" s="7" t="s">
        <v>588</v>
      </c>
      <c r="G136" s="7" t="s">
        <v>587</v>
      </c>
      <c r="H136" s="7" t="s">
        <v>2275</v>
      </c>
      <c r="I136" s="323"/>
      <c r="J136" s="12" t="s">
        <v>23</v>
      </c>
      <c r="K136" s="14">
        <v>0.64583333333333337</v>
      </c>
      <c r="L136" s="6">
        <v>85</v>
      </c>
      <c r="M136" s="12" t="s">
        <v>24</v>
      </c>
      <c r="N136" s="13" t="s">
        <v>495</v>
      </c>
    </row>
    <row r="137" spans="1:14" ht="15.75" customHeight="1">
      <c r="A137" s="66">
        <v>134</v>
      </c>
      <c r="B137" s="6">
        <v>2000</v>
      </c>
      <c r="C137" s="323"/>
      <c r="D137" s="7" t="s">
        <v>590</v>
      </c>
      <c r="E137" s="7" t="s">
        <v>591</v>
      </c>
      <c r="F137" s="7" t="s">
        <v>592</v>
      </c>
      <c r="G137" s="7" t="s">
        <v>591</v>
      </c>
      <c r="H137" s="7" t="s">
        <v>2275</v>
      </c>
      <c r="I137" s="323"/>
      <c r="J137" s="12" t="s">
        <v>23</v>
      </c>
      <c r="K137" s="14">
        <v>0.64583333333333337</v>
      </c>
      <c r="L137" s="6">
        <v>85</v>
      </c>
      <c r="M137" s="12" t="s">
        <v>24</v>
      </c>
      <c r="N137" s="13" t="s">
        <v>495</v>
      </c>
    </row>
    <row r="138" spans="1:14" ht="15.75" customHeight="1">
      <c r="A138" s="66">
        <v>135</v>
      </c>
      <c r="B138" s="6">
        <v>2000</v>
      </c>
      <c r="C138" s="323"/>
      <c r="D138" s="7" t="s">
        <v>594</v>
      </c>
      <c r="E138" s="7" t="s">
        <v>595</v>
      </c>
      <c r="F138" s="7" t="s">
        <v>596</v>
      </c>
      <c r="G138" s="7" t="s">
        <v>595</v>
      </c>
      <c r="H138" s="7" t="s">
        <v>2276</v>
      </c>
      <c r="I138" s="323"/>
      <c r="J138" s="12" t="s">
        <v>23</v>
      </c>
      <c r="K138" s="14">
        <v>0.64583333333333337</v>
      </c>
      <c r="L138" s="6">
        <v>85</v>
      </c>
      <c r="M138" s="12" t="s">
        <v>24</v>
      </c>
      <c r="N138" s="13" t="s">
        <v>495</v>
      </c>
    </row>
    <row r="139" spans="1:14" ht="15.75" customHeight="1">
      <c r="A139" s="66">
        <v>136</v>
      </c>
      <c r="B139" s="6">
        <v>2000</v>
      </c>
      <c r="C139" s="324"/>
      <c r="D139" s="7" t="s">
        <v>598</v>
      </c>
      <c r="E139" s="7" t="s">
        <v>599</v>
      </c>
      <c r="F139" s="7" t="s">
        <v>600</v>
      </c>
      <c r="G139" s="7" t="s">
        <v>599</v>
      </c>
      <c r="H139" s="6">
        <v>1111055002</v>
      </c>
      <c r="I139" s="324"/>
      <c r="J139" s="12" t="s">
        <v>23</v>
      </c>
      <c r="K139" s="14">
        <v>0.64583333333333337</v>
      </c>
      <c r="L139" s="6">
        <v>85</v>
      </c>
      <c r="M139" s="12" t="s">
        <v>24</v>
      </c>
      <c r="N139" s="13" t="s">
        <v>495</v>
      </c>
    </row>
    <row r="140" spans="1:14" ht="15.75" customHeight="1">
      <c r="A140" s="66">
        <v>137</v>
      </c>
      <c r="B140" s="6">
        <v>2000</v>
      </c>
      <c r="C140" s="322" t="s">
        <v>614</v>
      </c>
      <c r="D140" s="7" t="s">
        <v>615</v>
      </c>
      <c r="E140" s="7" t="s">
        <v>616</v>
      </c>
      <c r="F140" s="7" t="s">
        <v>617</v>
      </c>
      <c r="G140" s="7" t="s">
        <v>616</v>
      </c>
      <c r="H140" s="7" t="s">
        <v>618</v>
      </c>
      <c r="I140" s="335" t="s">
        <v>619</v>
      </c>
      <c r="J140" s="12" t="s">
        <v>23</v>
      </c>
      <c r="K140" s="12" t="s">
        <v>252</v>
      </c>
      <c r="L140" s="6">
        <v>85</v>
      </c>
      <c r="M140" s="12" t="s">
        <v>24</v>
      </c>
      <c r="N140" s="13" t="s">
        <v>620</v>
      </c>
    </row>
    <row r="141" spans="1:14" ht="15.75" customHeight="1">
      <c r="A141" s="66">
        <v>138</v>
      </c>
      <c r="B141" s="6">
        <v>2000</v>
      </c>
      <c r="C141" s="324"/>
      <c r="D141" s="7" t="s">
        <v>621</v>
      </c>
      <c r="E141" s="7" t="s">
        <v>622</v>
      </c>
      <c r="F141" s="7" t="s">
        <v>623</v>
      </c>
      <c r="G141" s="7" t="s">
        <v>622</v>
      </c>
      <c r="H141" s="7" t="s">
        <v>624</v>
      </c>
      <c r="I141" s="323"/>
      <c r="J141" s="12" t="s">
        <v>23</v>
      </c>
      <c r="K141" s="12" t="s">
        <v>252</v>
      </c>
      <c r="L141" s="6">
        <v>85</v>
      </c>
      <c r="M141" s="12" t="s">
        <v>24</v>
      </c>
      <c r="N141" s="13" t="s">
        <v>620</v>
      </c>
    </row>
    <row r="142" spans="1:14" ht="15.75" customHeight="1">
      <c r="A142" s="66">
        <v>139</v>
      </c>
      <c r="B142" s="6">
        <v>2000</v>
      </c>
      <c r="C142" s="322" t="s">
        <v>625</v>
      </c>
      <c r="D142" s="7" t="s">
        <v>626</v>
      </c>
      <c r="E142" s="7" t="s">
        <v>627</v>
      </c>
      <c r="F142" s="7" t="s">
        <v>628</v>
      </c>
      <c r="G142" s="7" t="s">
        <v>627</v>
      </c>
      <c r="H142" s="7" t="s">
        <v>629</v>
      </c>
      <c r="I142" s="323"/>
      <c r="J142" s="12" t="s">
        <v>23</v>
      </c>
      <c r="K142" s="12" t="s">
        <v>252</v>
      </c>
      <c r="L142" s="6">
        <v>85</v>
      </c>
      <c r="M142" s="12" t="s">
        <v>24</v>
      </c>
      <c r="N142" s="13" t="s">
        <v>620</v>
      </c>
    </row>
    <row r="143" spans="1:14" ht="15.75" customHeight="1">
      <c r="A143" s="66">
        <v>140</v>
      </c>
      <c r="B143" s="6">
        <v>2000</v>
      </c>
      <c r="C143" s="323"/>
      <c r="D143" s="7" t="s">
        <v>630</v>
      </c>
      <c r="E143" s="7" t="s">
        <v>631</v>
      </c>
      <c r="F143" s="7" t="s">
        <v>632</v>
      </c>
      <c r="G143" s="7" t="s">
        <v>631</v>
      </c>
      <c r="H143" s="7" t="s">
        <v>633</v>
      </c>
      <c r="I143" s="323"/>
      <c r="J143" s="12" t="s">
        <v>23</v>
      </c>
      <c r="K143" s="12" t="s">
        <v>252</v>
      </c>
      <c r="L143" s="6">
        <v>85</v>
      </c>
      <c r="M143" s="12" t="s">
        <v>24</v>
      </c>
      <c r="N143" s="13" t="s">
        <v>620</v>
      </c>
    </row>
    <row r="144" spans="1:14" ht="15.75" customHeight="1">
      <c r="A144" s="66">
        <v>141</v>
      </c>
      <c r="B144" s="6">
        <v>2000</v>
      </c>
      <c r="C144" s="323"/>
      <c r="D144" s="7" t="s">
        <v>634</v>
      </c>
      <c r="E144" s="7" t="s">
        <v>635</v>
      </c>
      <c r="F144" s="7" t="s">
        <v>636</v>
      </c>
      <c r="G144" s="7" t="s">
        <v>635</v>
      </c>
      <c r="H144" s="7" t="s">
        <v>637</v>
      </c>
      <c r="I144" s="323"/>
      <c r="J144" s="12" t="s">
        <v>23</v>
      </c>
      <c r="K144" s="12" t="s">
        <v>252</v>
      </c>
      <c r="L144" s="6">
        <v>85</v>
      </c>
      <c r="M144" s="12" t="s">
        <v>24</v>
      </c>
      <c r="N144" s="13" t="s">
        <v>620</v>
      </c>
    </row>
    <row r="145" spans="1:14" ht="15.75" customHeight="1">
      <c r="A145" s="66">
        <v>142</v>
      </c>
      <c r="B145" s="6">
        <v>2000</v>
      </c>
      <c r="C145" s="324"/>
      <c r="D145" s="7" t="s">
        <v>638</v>
      </c>
      <c r="E145" s="7" t="s">
        <v>639</v>
      </c>
      <c r="F145" s="7" t="s">
        <v>640</v>
      </c>
      <c r="G145" s="7" t="s">
        <v>639</v>
      </c>
      <c r="H145" s="7" t="s">
        <v>641</v>
      </c>
      <c r="I145" s="323"/>
      <c r="J145" s="12" t="s">
        <v>23</v>
      </c>
      <c r="K145" s="12" t="s">
        <v>252</v>
      </c>
      <c r="L145" s="6">
        <v>85</v>
      </c>
      <c r="M145" s="12" t="s">
        <v>24</v>
      </c>
      <c r="N145" s="13" t="s">
        <v>620</v>
      </c>
    </row>
    <row r="146" spans="1:14" ht="15.75" customHeight="1">
      <c r="A146" s="66">
        <v>143</v>
      </c>
      <c r="B146" s="6">
        <v>2000</v>
      </c>
      <c r="C146" s="322" t="s">
        <v>642</v>
      </c>
      <c r="D146" s="7" t="s">
        <v>643</v>
      </c>
      <c r="E146" s="7" t="s">
        <v>644</v>
      </c>
      <c r="F146" s="7" t="s">
        <v>645</v>
      </c>
      <c r="G146" s="7" t="s">
        <v>644</v>
      </c>
      <c r="H146" s="7" t="s">
        <v>646</v>
      </c>
      <c r="I146" s="323"/>
      <c r="J146" s="12" t="s">
        <v>23</v>
      </c>
      <c r="K146" s="12" t="s">
        <v>252</v>
      </c>
      <c r="L146" s="6">
        <v>85</v>
      </c>
      <c r="M146" s="12" t="s">
        <v>24</v>
      </c>
      <c r="N146" s="13" t="s">
        <v>620</v>
      </c>
    </row>
    <row r="147" spans="1:14" ht="15.75" customHeight="1">
      <c r="A147" s="66">
        <v>144</v>
      </c>
      <c r="B147" s="6">
        <v>2000</v>
      </c>
      <c r="C147" s="324"/>
      <c r="D147" s="7" t="s">
        <v>647</v>
      </c>
      <c r="E147" s="7" t="s">
        <v>648</v>
      </c>
      <c r="F147" s="7" t="s">
        <v>649</v>
      </c>
      <c r="G147" s="7" t="s">
        <v>648</v>
      </c>
      <c r="H147" s="7" t="s">
        <v>650</v>
      </c>
      <c r="I147" s="324"/>
      <c r="J147" s="12" t="s">
        <v>23</v>
      </c>
      <c r="K147" s="12" t="s">
        <v>252</v>
      </c>
      <c r="L147" s="6">
        <v>85</v>
      </c>
      <c r="M147" s="12" t="s">
        <v>24</v>
      </c>
      <c r="N147" s="13" t="s">
        <v>620</v>
      </c>
    </row>
    <row r="148" spans="1:14" ht="15.75" customHeight="1">
      <c r="A148" s="66">
        <v>145</v>
      </c>
      <c r="B148" s="6">
        <v>2000</v>
      </c>
      <c r="C148" s="331" t="s">
        <v>651</v>
      </c>
      <c r="D148" s="7" t="s">
        <v>652</v>
      </c>
      <c r="E148" s="7" t="s">
        <v>653</v>
      </c>
      <c r="F148" s="7" t="s">
        <v>654</v>
      </c>
      <c r="G148" s="7" t="s">
        <v>653</v>
      </c>
      <c r="H148" s="6" t="s">
        <v>655</v>
      </c>
      <c r="I148" s="333" t="s">
        <v>656</v>
      </c>
      <c r="J148" s="12" t="s">
        <v>23</v>
      </c>
      <c r="K148" s="12" t="s">
        <v>23</v>
      </c>
      <c r="L148" s="6">
        <v>85</v>
      </c>
      <c r="M148" s="12" t="s">
        <v>134</v>
      </c>
      <c r="N148" s="13" t="s">
        <v>657</v>
      </c>
    </row>
    <row r="149" spans="1:14" ht="15.75" customHeight="1">
      <c r="A149" s="66">
        <v>146</v>
      </c>
      <c r="B149" s="6">
        <v>2000</v>
      </c>
      <c r="C149" s="323"/>
      <c r="D149" s="7" t="s">
        <v>658</v>
      </c>
      <c r="E149" s="7" t="s">
        <v>659</v>
      </c>
      <c r="F149" s="7" t="s">
        <v>660</v>
      </c>
      <c r="G149" s="7" t="s">
        <v>659</v>
      </c>
      <c r="H149" s="6" t="s">
        <v>661</v>
      </c>
      <c r="I149" s="323"/>
      <c r="J149" s="12" t="s">
        <v>23</v>
      </c>
      <c r="K149" s="12" t="s">
        <v>23</v>
      </c>
      <c r="L149" s="6">
        <v>85</v>
      </c>
      <c r="M149" s="12" t="s">
        <v>134</v>
      </c>
      <c r="N149" s="13" t="s">
        <v>657</v>
      </c>
    </row>
    <row r="150" spans="1:14" ht="15.75" customHeight="1">
      <c r="A150" s="66">
        <v>147</v>
      </c>
      <c r="B150" s="6">
        <v>2000</v>
      </c>
      <c r="C150" s="323"/>
      <c r="D150" s="7" t="s">
        <v>662</v>
      </c>
      <c r="E150" s="7" t="s">
        <v>663</v>
      </c>
      <c r="F150" s="7" t="s">
        <v>664</v>
      </c>
      <c r="G150" s="7" t="s">
        <v>663</v>
      </c>
      <c r="H150" s="6" t="s">
        <v>665</v>
      </c>
      <c r="I150" s="323"/>
      <c r="J150" s="12" t="s">
        <v>23</v>
      </c>
      <c r="K150" s="12" t="s">
        <v>23</v>
      </c>
      <c r="L150" s="6">
        <v>85</v>
      </c>
      <c r="M150" s="12" t="s">
        <v>134</v>
      </c>
      <c r="N150" s="13" t="s">
        <v>657</v>
      </c>
    </row>
    <row r="151" spans="1:14" ht="15.75" customHeight="1">
      <c r="A151" s="66">
        <v>148</v>
      </c>
      <c r="B151" s="6">
        <v>2000</v>
      </c>
      <c r="C151" s="323"/>
      <c r="D151" s="7" t="s">
        <v>666</v>
      </c>
      <c r="E151" s="7" t="s">
        <v>667</v>
      </c>
      <c r="F151" s="7" t="s">
        <v>668</v>
      </c>
      <c r="G151" s="7" t="s">
        <v>667</v>
      </c>
      <c r="H151" s="6" t="s">
        <v>669</v>
      </c>
      <c r="I151" s="323"/>
      <c r="J151" s="12" t="s">
        <v>23</v>
      </c>
      <c r="K151" s="12" t="s">
        <v>23</v>
      </c>
      <c r="L151" s="6">
        <v>85</v>
      </c>
      <c r="M151" s="12" t="s">
        <v>134</v>
      </c>
      <c r="N151" s="13" t="s">
        <v>657</v>
      </c>
    </row>
    <row r="152" spans="1:14" ht="15.75" customHeight="1">
      <c r="A152" s="66">
        <v>149</v>
      </c>
      <c r="B152" s="6">
        <v>2000</v>
      </c>
      <c r="C152" s="323"/>
      <c r="D152" s="7" t="s">
        <v>670</v>
      </c>
      <c r="E152" s="7" t="s">
        <v>671</v>
      </c>
      <c r="F152" s="7" t="s">
        <v>672</v>
      </c>
      <c r="G152" s="7" t="s">
        <v>671</v>
      </c>
      <c r="H152" s="6" t="s">
        <v>673</v>
      </c>
      <c r="I152" s="323"/>
      <c r="J152" s="12" t="s">
        <v>23</v>
      </c>
      <c r="K152" s="12" t="s">
        <v>23</v>
      </c>
      <c r="L152" s="6">
        <v>85</v>
      </c>
      <c r="M152" s="12" t="s">
        <v>134</v>
      </c>
      <c r="N152" s="13" t="s">
        <v>657</v>
      </c>
    </row>
    <row r="153" spans="1:14" ht="15.75" customHeight="1">
      <c r="A153" s="66">
        <v>150</v>
      </c>
      <c r="B153" s="6">
        <v>2000</v>
      </c>
      <c r="C153" s="323"/>
      <c r="D153" s="7" t="s">
        <v>674</v>
      </c>
      <c r="E153" s="7" t="s">
        <v>675</v>
      </c>
      <c r="F153" s="7" t="s">
        <v>676</v>
      </c>
      <c r="G153" s="7" t="s">
        <v>675</v>
      </c>
      <c r="H153" s="6" t="s">
        <v>677</v>
      </c>
      <c r="I153" s="323"/>
      <c r="J153" s="12" t="s">
        <v>23</v>
      </c>
      <c r="K153" s="12" t="s">
        <v>23</v>
      </c>
      <c r="L153" s="6">
        <v>85</v>
      </c>
      <c r="M153" s="12" t="s">
        <v>134</v>
      </c>
      <c r="N153" s="13" t="s">
        <v>657</v>
      </c>
    </row>
    <row r="154" spans="1:14" ht="15.75" customHeight="1">
      <c r="A154" s="66">
        <v>151</v>
      </c>
      <c r="B154" s="6">
        <v>2000</v>
      </c>
      <c r="C154" s="323"/>
      <c r="D154" s="7" t="s">
        <v>678</v>
      </c>
      <c r="E154" s="7" t="s">
        <v>679</v>
      </c>
      <c r="F154" s="7" t="s">
        <v>680</v>
      </c>
      <c r="G154" s="7" t="s">
        <v>679</v>
      </c>
      <c r="H154" s="6" t="s">
        <v>681</v>
      </c>
      <c r="I154" s="323"/>
      <c r="J154" s="12" t="s">
        <v>23</v>
      </c>
      <c r="K154" s="12" t="s">
        <v>23</v>
      </c>
      <c r="L154" s="6">
        <v>85</v>
      </c>
      <c r="M154" s="12" t="s">
        <v>134</v>
      </c>
      <c r="N154" s="13" t="s">
        <v>657</v>
      </c>
    </row>
    <row r="155" spans="1:14" ht="15.75" customHeight="1">
      <c r="A155" s="66">
        <v>152</v>
      </c>
      <c r="B155" s="6">
        <v>2000</v>
      </c>
      <c r="C155" s="323"/>
      <c r="D155" s="7" t="s">
        <v>682</v>
      </c>
      <c r="E155" s="7" t="s">
        <v>683</v>
      </c>
      <c r="F155" s="7" t="s">
        <v>684</v>
      </c>
      <c r="G155" s="7" t="s">
        <v>683</v>
      </c>
      <c r="H155" s="6" t="s">
        <v>685</v>
      </c>
      <c r="I155" s="323"/>
      <c r="J155" s="12" t="s">
        <v>23</v>
      </c>
      <c r="K155" s="12" t="s">
        <v>23</v>
      </c>
      <c r="L155" s="6">
        <v>85</v>
      </c>
      <c r="M155" s="12" t="s">
        <v>134</v>
      </c>
      <c r="N155" s="13" t="s">
        <v>657</v>
      </c>
    </row>
    <row r="156" spans="1:14" ht="15.75" customHeight="1">
      <c r="A156" s="66">
        <v>153</v>
      </c>
      <c r="B156" s="6">
        <v>2000</v>
      </c>
      <c r="C156" s="323"/>
      <c r="D156" s="7" t="s">
        <v>686</v>
      </c>
      <c r="E156" s="7" t="s">
        <v>687</v>
      </c>
      <c r="F156" s="7" t="s">
        <v>688</v>
      </c>
      <c r="G156" s="7" t="s">
        <v>687</v>
      </c>
      <c r="H156" s="6">
        <v>1111061109</v>
      </c>
      <c r="I156" s="323"/>
      <c r="J156" s="12" t="s">
        <v>23</v>
      </c>
      <c r="K156" s="12" t="s">
        <v>23</v>
      </c>
      <c r="L156" s="6">
        <v>85</v>
      </c>
      <c r="M156" s="12" t="s">
        <v>134</v>
      </c>
      <c r="N156" s="13" t="s">
        <v>657</v>
      </c>
    </row>
    <row r="157" spans="1:14" ht="15.75" customHeight="1">
      <c r="A157" s="66">
        <v>154</v>
      </c>
      <c r="B157" s="6">
        <v>2000</v>
      </c>
      <c r="C157" s="323"/>
      <c r="D157" s="7" t="s">
        <v>689</v>
      </c>
      <c r="E157" s="7" t="s">
        <v>690</v>
      </c>
      <c r="F157" s="7" t="s">
        <v>691</v>
      </c>
      <c r="G157" s="7" t="s">
        <v>690</v>
      </c>
      <c r="H157" s="6">
        <v>1111061110</v>
      </c>
      <c r="I157" s="323"/>
      <c r="J157" s="12" t="s">
        <v>23</v>
      </c>
      <c r="K157" s="12" t="s">
        <v>23</v>
      </c>
      <c r="L157" s="6">
        <v>85</v>
      </c>
      <c r="M157" s="12" t="s">
        <v>134</v>
      </c>
      <c r="N157" s="13" t="s">
        <v>657</v>
      </c>
    </row>
    <row r="158" spans="1:14" ht="15.75" customHeight="1">
      <c r="A158" s="66">
        <v>155</v>
      </c>
      <c r="B158" s="6">
        <v>2000</v>
      </c>
      <c r="C158" s="323"/>
      <c r="D158" s="7" t="s">
        <v>692</v>
      </c>
      <c r="E158" s="7" t="s">
        <v>693</v>
      </c>
      <c r="F158" s="7" t="s">
        <v>694</v>
      </c>
      <c r="G158" s="7" t="s">
        <v>693</v>
      </c>
      <c r="H158" s="6" t="s">
        <v>695</v>
      </c>
      <c r="I158" s="323"/>
      <c r="J158" s="12" t="s">
        <v>23</v>
      </c>
      <c r="K158" s="12" t="s">
        <v>23</v>
      </c>
      <c r="L158" s="6">
        <v>85</v>
      </c>
      <c r="M158" s="12" t="s">
        <v>134</v>
      </c>
      <c r="N158" s="13" t="s">
        <v>657</v>
      </c>
    </row>
    <row r="159" spans="1:14" ht="15.75" customHeight="1">
      <c r="A159" s="66">
        <v>156</v>
      </c>
      <c r="B159" s="6">
        <v>2000</v>
      </c>
      <c r="C159" s="323"/>
      <c r="D159" s="7" t="s">
        <v>696</v>
      </c>
      <c r="E159" s="7" t="s">
        <v>697</v>
      </c>
      <c r="F159" s="7" t="s">
        <v>698</v>
      </c>
      <c r="G159" s="7" t="s">
        <v>697</v>
      </c>
      <c r="H159" s="6" t="s">
        <v>699</v>
      </c>
      <c r="I159" s="323"/>
      <c r="J159" s="12" t="s">
        <v>23</v>
      </c>
      <c r="K159" s="12" t="s">
        <v>23</v>
      </c>
      <c r="L159" s="6">
        <v>85</v>
      </c>
      <c r="M159" s="12" t="s">
        <v>134</v>
      </c>
      <c r="N159" s="13" t="s">
        <v>657</v>
      </c>
    </row>
    <row r="160" spans="1:14" ht="15.75" customHeight="1">
      <c r="A160" s="66">
        <v>157</v>
      </c>
      <c r="B160" s="6">
        <v>2000</v>
      </c>
      <c r="C160" s="323"/>
      <c r="D160" s="7" t="s">
        <v>700</v>
      </c>
      <c r="E160" s="7" t="s">
        <v>701</v>
      </c>
      <c r="F160" s="7" t="s">
        <v>702</v>
      </c>
      <c r="G160" s="7" t="s">
        <v>701</v>
      </c>
      <c r="H160" s="6" t="s">
        <v>703</v>
      </c>
      <c r="I160" s="323"/>
      <c r="J160" s="12" t="s">
        <v>23</v>
      </c>
      <c r="K160" s="12" t="s">
        <v>23</v>
      </c>
      <c r="L160" s="6">
        <v>85</v>
      </c>
      <c r="M160" s="12" t="s">
        <v>134</v>
      </c>
      <c r="N160" s="13" t="s">
        <v>657</v>
      </c>
    </row>
    <row r="161" spans="1:14" ht="15.75" customHeight="1">
      <c r="A161" s="66">
        <v>158</v>
      </c>
      <c r="B161" s="6">
        <v>2000</v>
      </c>
      <c r="C161" s="323"/>
      <c r="D161" s="7" t="s">
        <v>704</v>
      </c>
      <c r="E161" s="7" t="s">
        <v>705</v>
      </c>
      <c r="F161" s="7" t="s">
        <v>706</v>
      </c>
      <c r="G161" s="7" t="s">
        <v>705</v>
      </c>
      <c r="H161" s="6" t="s">
        <v>707</v>
      </c>
      <c r="I161" s="323"/>
      <c r="J161" s="12" t="s">
        <v>23</v>
      </c>
      <c r="K161" s="12" t="s">
        <v>23</v>
      </c>
      <c r="L161" s="6">
        <v>85</v>
      </c>
      <c r="M161" s="12" t="s">
        <v>134</v>
      </c>
      <c r="N161" s="13" t="s">
        <v>657</v>
      </c>
    </row>
    <row r="162" spans="1:14" ht="15.75" customHeight="1">
      <c r="A162" s="66">
        <v>159</v>
      </c>
      <c r="B162" s="6">
        <v>2000</v>
      </c>
      <c r="C162" s="323"/>
      <c r="D162" s="7" t="s">
        <v>708</v>
      </c>
      <c r="E162" s="7" t="s">
        <v>709</v>
      </c>
      <c r="F162" s="7" t="s">
        <v>710</v>
      </c>
      <c r="G162" s="7" t="s">
        <v>709</v>
      </c>
      <c r="H162" s="6" t="s">
        <v>711</v>
      </c>
      <c r="I162" s="323"/>
      <c r="J162" s="12" t="s">
        <v>23</v>
      </c>
      <c r="K162" s="12" t="s">
        <v>23</v>
      </c>
      <c r="L162" s="6">
        <v>85</v>
      </c>
      <c r="M162" s="12" t="s">
        <v>134</v>
      </c>
      <c r="N162" s="13" t="s">
        <v>657</v>
      </c>
    </row>
    <row r="163" spans="1:14" ht="15.75" customHeight="1">
      <c r="A163" s="66">
        <v>160</v>
      </c>
      <c r="B163" s="6">
        <v>2000</v>
      </c>
      <c r="C163" s="323"/>
      <c r="D163" s="7" t="s">
        <v>712</v>
      </c>
      <c r="E163" s="7" t="s">
        <v>713</v>
      </c>
      <c r="F163" s="7" t="s">
        <v>714</v>
      </c>
      <c r="G163" s="7" t="s">
        <v>713</v>
      </c>
      <c r="H163" s="6" t="s">
        <v>715</v>
      </c>
      <c r="I163" s="323"/>
      <c r="J163" s="12" t="s">
        <v>23</v>
      </c>
      <c r="K163" s="12" t="s">
        <v>23</v>
      </c>
      <c r="L163" s="6">
        <v>85</v>
      </c>
      <c r="M163" s="12" t="s">
        <v>134</v>
      </c>
      <c r="N163" s="13" t="s">
        <v>657</v>
      </c>
    </row>
    <row r="164" spans="1:14" ht="15.75" customHeight="1">
      <c r="A164" s="66">
        <v>161</v>
      </c>
      <c r="B164" s="6">
        <v>2000</v>
      </c>
      <c r="C164" s="323"/>
      <c r="D164" s="7" t="s">
        <v>716</v>
      </c>
      <c r="E164" s="7" t="s">
        <v>717</v>
      </c>
      <c r="F164" s="7" t="s">
        <v>718</v>
      </c>
      <c r="G164" s="7" t="s">
        <v>717</v>
      </c>
      <c r="H164" s="6" t="s">
        <v>719</v>
      </c>
      <c r="I164" s="323"/>
      <c r="J164" s="12" t="s">
        <v>23</v>
      </c>
      <c r="K164" s="12" t="s">
        <v>23</v>
      </c>
      <c r="L164" s="6">
        <v>85</v>
      </c>
      <c r="M164" s="12" t="s">
        <v>134</v>
      </c>
      <c r="N164" s="13" t="s">
        <v>657</v>
      </c>
    </row>
    <row r="165" spans="1:14" ht="15.75" customHeight="1">
      <c r="A165" s="66">
        <v>162</v>
      </c>
      <c r="B165" s="6">
        <v>2000</v>
      </c>
      <c r="C165" s="323"/>
      <c r="D165" s="7" t="s">
        <v>720</v>
      </c>
      <c r="E165" s="7" t="s">
        <v>721</v>
      </c>
      <c r="F165" s="7" t="s">
        <v>722</v>
      </c>
      <c r="G165" s="7" t="s">
        <v>721</v>
      </c>
      <c r="H165" s="6" t="s">
        <v>723</v>
      </c>
      <c r="I165" s="323"/>
      <c r="J165" s="12" t="s">
        <v>23</v>
      </c>
      <c r="K165" s="12" t="s">
        <v>23</v>
      </c>
      <c r="L165" s="6">
        <v>85</v>
      </c>
      <c r="M165" s="12" t="s">
        <v>134</v>
      </c>
      <c r="N165" s="13" t="s">
        <v>657</v>
      </c>
    </row>
    <row r="166" spans="1:14" ht="15.75" customHeight="1">
      <c r="A166" s="66">
        <v>163</v>
      </c>
      <c r="B166" s="6">
        <v>2000</v>
      </c>
      <c r="C166" s="323"/>
      <c r="D166" s="7" t="s">
        <v>724</v>
      </c>
      <c r="E166" s="7" t="s">
        <v>725</v>
      </c>
      <c r="F166" s="7" t="s">
        <v>726</v>
      </c>
      <c r="G166" s="7" t="s">
        <v>725</v>
      </c>
      <c r="H166" s="6" t="s">
        <v>727</v>
      </c>
      <c r="I166" s="323"/>
      <c r="J166" s="12" t="s">
        <v>23</v>
      </c>
      <c r="K166" s="12" t="s">
        <v>23</v>
      </c>
      <c r="L166" s="6">
        <v>85</v>
      </c>
      <c r="M166" s="12" t="s">
        <v>134</v>
      </c>
      <c r="N166" s="13" t="s">
        <v>657</v>
      </c>
    </row>
    <row r="167" spans="1:14" ht="15.75" customHeight="1">
      <c r="A167" s="66">
        <v>164</v>
      </c>
      <c r="B167" s="6">
        <v>2000</v>
      </c>
      <c r="C167" s="323"/>
      <c r="D167" s="7" t="s">
        <v>728</v>
      </c>
      <c r="E167" s="7" t="s">
        <v>729</v>
      </c>
      <c r="F167" s="7" t="s">
        <v>730</v>
      </c>
      <c r="G167" s="7" t="s">
        <v>729</v>
      </c>
      <c r="H167" s="6" t="s">
        <v>731</v>
      </c>
      <c r="I167" s="323"/>
      <c r="J167" s="12" t="s">
        <v>23</v>
      </c>
      <c r="K167" s="12" t="s">
        <v>23</v>
      </c>
      <c r="L167" s="6">
        <v>85</v>
      </c>
      <c r="M167" s="12" t="s">
        <v>134</v>
      </c>
      <c r="N167" s="13" t="s">
        <v>657</v>
      </c>
    </row>
    <row r="168" spans="1:14" ht="15.75" customHeight="1">
      <c r="A168" s="66">
        <v>165</v>
      </c>
      <c r="B168" s="6">
        <v>2000</v>
      </c>
      <c r="C168" s="323"/>
      <c r="D168" s="7" t="s">
        <v>732</v>
      </c>
      <c r="E168" s="7" t="s">
        <v>733</v>
      </c>
      <c r="F168" s="7" t="s">
        <v>734</v>
      </c>
      <c r="G168" s="7" t="s">
        <v>733</v>
      </c>
      <c r="H168" s="6">
        <v>1111061211</v>
      </c>
      <c r="I168" s="323"/>
      <c r="J168" s="12" t="s">
        <v>23</v>
      </c>
      <c r="K168" s="12" t="s">
        <v>23</v>
      </c>
      <c r="L168" s="6">
        <v>85</v>
      </c>
      <c r="M168" s="12" t="s">
        <v>134</v>
      </c>
      <c r="N168" s="13" t="s">
        <v>657</v>
      </c>
    </row>
    <row r="169" spans="1:14" ht="15.75" customHeight="1">
      <c r="A169" s="66">
        <v>166</v>
      </c>
      <c r="B169" s="6">
        <v>2000</v>
      </c>
      <c r="C169" s="323"/>
      <c r="D169" s="7" t="s">
        <v>735</v>
      </c>
      <c r="E169" s="7" t="s">
        <v>736</v>
      </c>
      <c r="F169" s="7" t="s">
        <v>737</v>
      </c>
      <c r="G169" s="7" t="s">
        <v>736</v>
      </c>
      <c r="H169" s="6">
        <v>1111061212</v>
      </c>
      <c r="I169" s="323"/>
      <c r="J169" s="12" t="s">
        <v>23</v>
      </c>
      <c r="K169" s="12" t="s">
        <v>23</v>
      </c>
      <c r="L169" s="6">
        <v>85</v>
      </c>
      <c r="M169" s="12" t="s">
        <v>134</v>
      </c>
      <c r="N169" s="13" t="s">
        <v>657</v>
      </c>
    </row>
    <row r="170" spans="1:14" ht="15.75" customHeight="1">
      <c r="A170" s="66">
        <v>167</v>
      </c>
      <c r="B170" s="6">
        <v>2000</v>
      </c>
      <c r="C170" s="323"/>
      <c r="D170" s="7" t="s">
        <v>738</v>
      </c>
      <c r="E170" s="7" t="s">
        <v>739</v>
      </c>
      <c r="F170" s="7" t="s">
        <v>740</v>
      </c>
      <c r="G170" s="7" t="s">
        <v>739</v>
      </c>
      <c r="H170" s="6" t="s">
        <v>741</v>
      </c>
      <c r="I170" s="323"/>
      <c r="J170" s="12" t="s">
        <v>23</v>
      </c>
      <c r="K170" s="12" t="s">
        <v>23</v>
      </c>
      <c r="L170" s="6">
        <v>85</v>
      </c>
      <c r="M170" s="12" t="s">
        <v>134</v>
      </c>
      <c r="N170" s="13" t="s">
        <v>657</v>
      </c>
    </row>
    <row r="171" spans="1:14" ht="15.75" customHeight="1">
      <c r="A171" s="66">
        <v>168</v>
      </c>
      <c r="B171" s="6">
        <v>2000</v>
      </c>
      <c r="C171" s="324"/>
      <c r="D171" s="7" t="s">
        <v>742</v>
      </c>
      <c r="E171" s="7" t="s">
        <v>743</v>
      </c>
      <c r="F171" s="7" t="s">
        <v>744</v>
      </c>
      <c r="G171" s="7" t="s">
        <v>743</v>
      </c>
      <c r="H171" s="6">
        <v>1111061001</v>
      </c>
      <c r="I171" s="324"/>
      <c r="J171" s="12" t="s">
        <v>23</v>
      </c>
      <c r="K171" s="14">
        <v>0.97916666666666663</v>
      </c>
      <c r="L171" s="6">
        <v>85</v>
      </c>
      <c r="M171" s="12" t="s">
        <v>83</v>
      </c>
      <c r="N171" s="13" t="s">
        <v>657</v>
      </c>
    </row>
    <row r="172" spans="1:14" ht="15.75" customHeight="1">
      <c r="A172" s="66">
        <v>169</v>
      </c>
      <c r="B172" s="6">
        <v>2000</v>
      </c>
      <c r="C172" s="334"/>
      <c r="D172" s="7" t="s">
        <v>745</v>
      </c>
      <c r="E172" s="7" t="s">
        <v>746</v>
      </c>
      <c r="F172" s="7" t="s">
        <v>747</v>
      </c>
      <c r="G172" s="7" t="s">
        <v>748</v>
      </c>
      <c r="H172" s="6" t="s">
        <v>749</v>
      </c>
      <c r="I172" s="420" t="s">
        <v>750</v>
      </c>
      <c r="J172" s="12" t="s">
        <v>23</v>
      </c>
      <c r="K172" s="14">
        <v>0.97916666666666663</v>
      </c>
      <c r="L172" s="6">
        <v>85</v>
      </c>
      <c r="M172" s="12" t="s">
        <v>83</v>
      </c>
      <c r="N172" s="13" t="s">
        <v>751</v>
      </c>
    </row>
    <row r="173" spans="1:14" ht="15.75" customHeight="1">
      <c r="A173" s="66">
        <v>170</v>
      </c>
      <c r="B173" s="6">
        <v>2000</v>
      </c>
      <c r="C173" s="323"/>
      <c r="D173" s="7" t="s">
        <v>752</v>
      </c>
      <c r="E173" s="7" t="s">
        <v>753</v>
      </c>
      <c r="F173" s="7" t="s">
        <v>754</v>
      </c>
      <c r="G173" s="7" t="s">
        <v>755</v>
      </c>
      <c r="H173" s="6" t="s">
        <v>749</v>
      </c>
      <c r="I173" s="323"/>
      <c r="J173" s="12" t="s">
        <v>23</v>
      </c>
      <c r="K173" s="14">
        <v>0.97916666666666663</v>
      </c>
      <c r="L173" s="6">
        <v>85</v>
      </c>
      <c r="M173" s="12" t="s">
        <v>83</v>
      </c>
      <c r="N173" s="13" t="s">
        <v>751</v>
      </c>
    </row>
    <row r="174" spans="1:14" ht="15.75" customHeight="1">
      <c r="A174" s="66">
        <v>171</v>
      </c>
      <c r="B174" s="6">
        <v>2000</v>
      </c>
      <c r="C174" s="322" t="s">
        <v>775</v>
      </c>
      <c r="D174" s="7" t="s">
        <v>776</v>
      </c>
      <c r="E174" s="7" t="s">
        <v>777</v>
      </c>
      <c r="F174" s="7" t="s">
        <v>778</v>
      </c>
      <c r="G174" s="7" t="s">
        <v>2277</v>
      </c>
      <c r="H174" s="7" t="s">
        <v>2278</v>
      </c>
      <c r="I174" s="333" t="s">
        <v>779</v>
      </c>
      <c r="J174" s="12" t="s">
        <v>23</v>
      </c>
      <c r="K174" s="14">
        <v>0.83333333333333337</v>
      </c>
      <c r="L174" s="6">
        <v>85</v>
      </c>
      <c r="M174" s="12" t="s">
        <v>83</v>
      </c>
      <c r="N174" s="13" t="s">
        <v>780</v>
      </c>
    </row>
    <row r="175" spans="1:14" ht="15.75" customHeight="1">
      <c r="A175" s="66">
        <v>172</v>
      </c>
      <c r="B175" s="6">
        <v>2000</v>
      </c>
      <c r="C175" s="323"/>
      <c r="D175" s="7" t="s">
        <v>781</v>
      </c>
      <c r="E175" s="7" t="s">
        <v>782</v>
      </c>
      <c r="F175" s="7" t="s">
        <v>783</v>
      </c>
      <c r="G175" s="7" t="s">
        <v>2279</v>
      </c>
      <c r="H175" s="7" t="s">
        <v>2280</v>
      </c>
      <c r="I175" s="323"/>
      <c r="J175" s="12" t="s">
        <v>23</v>
      </c>
      <c r="K175" s="14">
        <v>0.83333333333333337</v>
      </c>
      <c r="L175" s="6">
        <v>85</v>
      </c>
      <c r="M175" s="12" t="s">
        <v>83</v>
      </c>
      <c r="N175" s="13" t="s">
        <v>780</v>
      </c>
    </row>
    <row r="176" spans="1:14" ht="15.75" customHeight="1">
      <c r="A176" s="66">
        <v>173</v>
      </c>
      <c r="B176" s="6">
        <v>2000</v>
      </c>
      <c r="C176" s="331" t="s">
        <v>849</v>
      </c>
      <c r="D176" s="7" t="s">
        <v>850</v>
      </c>
      <c r="E176" s="7" t="s">
        <v>851</v>
      </c>
      <c r="F176" s="7" t="s">
        <v>852</v>
      </c>
      <c r="G176" s="7" t="s">
        <v>851</v>
      </c>
      <c r="H176" s="6" t="s">
        <v>853</v>
      </c>
      <c r="I176" s="333" t="s">
        <v>854</v>
      </c>
      <c r="J176" s="12" t="s">
        <v>23</v>
      </c>
      <c r="K176" s="14">
        <v>0.875</v>
      </c>
      <c r="L176" s="6">
        <v>85</v>
      </c>
      <c r="M176" s="12" t="s">
        <v>83</v>
      </c>
      <c r="N176" s="13" t="s">
        <v>855</v>
      </c>
    </row>
    <row r="177" spans="1:14" ht="15.75" customHeight="1">
      <c r="A177" s="66">
        <v>174</v>
      </c>
      <c r="B177" s="6">
        <v>2000</v>
      </c>
      <c r="C177" s="323"/>
      <c r="D177" s="7" t="s">
        <v>856</v>
      </c>
      <c r="E177" s="7" t="s">
        <v>857</v>
      </c>
      <c r="F177" s="7" t="s">
        <v>858</v>
      </c>
      <c r="G177" s="7" t="s">
        <v>857</v>
      </c>
      <c r="H177" s="6" t="s">
        <v>859</v>
      </c>
      <c r="I177" s="323"/>
      <c r="J177" s="12" t="s">
        <v>23</v>
      </c>
      <c r="K177" s="14">
        <v>0.83333333333333337</v>
      </c>
      <c r="L177" s="6">
        <v>85</v>
      </c>
      <c r="M177" s="12" t="s">
        <v>83</v>
      </c>
      <c r="N177" s="13" t="s">
        <v>855</v>
      </c>
    </row>
    <row r="178" spans="1:14" ht="15.75" customHeight="1">
      <c r="A178" s="66">
        <v>175</v>
      </c>
      <c r="B178" s="6">
        <v>2000</v>
      </c>
      <c r="C178" s="323"/>
      <c r="D178" s="7" t="s">
        <v>860</v>
      </c>
      <c r="E178" s="7" t="s">
        <v>861</v>
      </c>
      <c r="F178" s="7" t="s">
        <v>862</v>
      </c>
      <c r="G178" s="7" t="s">
        <v>861</v>
      </c>
      <c r="H178" s="6" t="s">
        <v>863</v>
      </c>
      <c r="I178" s="323"/>
      <c r="J178" s="12" t="s">
        <v>23</v>
      </c>
      <c r="K178" s="14">
        <v>0.83333333333333337</v>
      </c>
      <c r="L178" s="6">
        <v>85</v>
      </c>
      <c r="M178" s="12" t="s">
        <v>83</v>
      </c>
      <c r="N178" s="13" t="s">
        <v>855</v>
      </c>
    </row>
    <row r="179" spans="1:14" ht="15.75" customHeight="1">
      <c r="A179" s="66">
        <v>176</v>
      </c>
      <c r="B179" s="6">
        <v>2000</v>
      </c>
      <c r="C179" s="323"/>
      <c r="D179" s="7" t="s">
        <v>864</v>
      </c>
      <c r="E179" s="7" t="s">
        <v>865</v>
      </c>
      <c r="F179" s="7" t="s">
        <v>866</v>
      </c>
      <c r="G179" s="7" t="s">
        <v>865</v>
      </c>
      <c r="H179" s="6" t="s">
        <v>867</v>
      </c>
      <c r="I179" s="323"/>
      <c r="J179" s="12" t="s">
        <v>23</v>
      </c>
      <c r="K179" s="14">
        <v>0.83333333333333337</v>
      </c>
      <c r="L179" s="6">
        <v>85</v>
      </c>
      <c r="M179" s="12" t="s">
        <v>83</v>
      </c>
      <c r="N179" s="13" t="s">
        <v>855</v>
      </c>
    </row>
    <row r="180" spans="1:14" ht="15.75" customHeight="1">
      <c r="A180" s="66">
        <v>177</v>
      </c>
      <c r="B180" s="6">
        <v>2000</v>
      </c>
      <c r="C180" s="323"/>
      <c r="D180" s="7" t="s">
        <v>868</v>
      </c>
      <c r="E180" s="7" t="s">
        <v>869</v>
      </c>
      <c r="F180" s="7" t="s">
        <v>870</v>
      </c>
      <c r="G180" s="7" t="s">
        <v>869</v>
      </c>
      <c r="H180" s="6">
        <v>1111091006</v>
      </c>
      <c r="I180" s="323"/>
      <c r="J180" s="12" t="s">
        <v>23</v>
      </c>
      <c r="K180" s="14">
        <v>0.83333333333333337</v>
      </c>
      <c r="L180" s="6">
        <v>85</v>
      </c>
      <c r="M180" s="12" t="s">
        <v>83</v>
      </c>
      <c r="N180" s="13" t="s">
        <v>855</v>
      </c>
    </row>
    <row r="181" spans="1:14" ht="15.75" customHeight="1">
      <c r="A181" s="66">
        <v>178</v>
      </c>
      <c r="B181" s="6">
        <v>2000</v>
      </c>
      <c r="C181" s="323"/>
      <c r="D181" s="7" t="s">
        <v>873</v>
      </c>
      <c r="E181" s="7" t="s">
        <v>874</v>
      </c>
      <c r="F181" s="7" t="s">
        <v>875</v>
      </c>
      <c r="G181" s="7" t="s">
        <v>874</v>
      </c>
      <c r="H181" s="6" t="s">
        <v>876</v>
      </c>
      <c r="I181" s="323"/>
      <c r="J181" s="12" t="s">
        <v>23</v>
      </c>
      <c r="K181" s="14">
        <v>0.91666666666666663</v>
      </c>
      <c r="L181" s="6">
        <v>85</v>
      </c>
      <c r="M181" s="12" t="s">
        <v>83</v>
      </c>
      <c r="N181" s="13" t="s">
        <v>855</v>
      </c>
    </row>
    <row r="182" spans="1:14" ht="15.75" customHeight="1">
      <c r="A182" s="66">
        <v>179</v>
      </c>
      <c r="B182" s="6">
        <v>2000</v>
      </c>
      <c r="C182" s="323"/>
      <c r="D182" s="7" t="s">
        <v>889</v>
      </c>
      <c r="E182" s="7" t="s">
        <v>890</v>
      </c>
      <c r="F182" s="7" t="s">
        <v>879</v>
      </c>
      <c r="G182" s="7" t="s">
        <v>878</v>
      </c>
      <c r="H182" s="6" t="s">
        <v>880</v>
      </c>
      <c r="I182" s="323"/>
      <c r="J182" s="12" t="s">
        <v>23</v>
      </c>
      <c r="K182" s="14">
        <v>0.91666666666666663</v>
      </c>
      <c r="L182" s="6">
        <v>85</v>
      </c>
      <c r="M182" s="12" t="s">
        <v>83</v>
      </c>
      <c r="N182" s="13" t="s">
        <v>855</v>
      </c>
    </row>
    <row r="183" spans="1:14" ht="15.75" customHeight="1">
      <c r="A183" s="66">
        <v>180</v>
      </c>
      <c r="B183" s="6">
        <v>2000</v>
      </c>
      <c r="C183" s="323"/>
      <c r="D183" s="7" t="s">
        <v>905</v>
      </c>
      <c r="E183" s="7" t="s">
        <v>906</v>
      </c>
      <c r="F183" s="7" t="s">
        <v>883</v>
      </c>
      <c r="G183" s="7" t="s">
        <v>882</v>
      </c>
      <c r="H183" s="6" t="s">
        <v>884</v>
      </c>
      <c r="I183" s="323"/>
      <c r="J183" s="12" t="s">
        <v>23</v>
      </c>
      <c r="K183" s="14">
        <v>0.91666666666666663</v>
      </c>
      <c r="L183" s="6">
        <v>85</v>
      </c>
      <c r="M183" s="12" t="s">
        <v>83</v>
      </c>
      <c r="N183" s="13" t="s">
        <v>855</v>
      </c>
    </row>
    <row r="184" spans="1:14" ht="15.75" customHeight="1">
      <c r="A184" s="66">
        <v>181</v>
      </c>
      <c r="B184" s="6">
        <v>2000</v>
      </c>
      <c r="C184" s="322" t="s">
        <v>917</v>
      </c>
      <c r="D184" s="7" t="s">
        <v>918</v>
      </c>
      <c r="E184" s="7" t="s">
        <v>919</v>
      </c>
      <c r="F184" s="7" t="s">
        <v>920</v>
      </c>
      <c r="G184" s="6" t="s">
        <v>921</v>
      </c>
      <c r="H184" s="6" t="s">
        <v>922</v>
      </c>
      <c r="I184" s="188" t="s">
        <v>2281</v>
      </c>
      <c r="J184" s="12" t="s">
        <v>23</v>
      </c>
      <c r="K184" s="14">
        <v>0.91666666666666663</v>
      </c>
      <c r="L184" s="6">
        <v>85</v>
      </c>
      <c r="M184" s="12" t="s">
        <v>83</v>
      </c>
      <c r="N184" s="13" t="s">
        <v>923</v>
      </c>
    </row>
    <row r="185" spans="1:14" ht="15.75" customHeight="1">
      <c r="A185" s="66">
        <v>182</v>
      </c>
      <c r="B185" s="6">
        <v>2000</v>
      </c>
      <c r="C185" s="323"/>
      <c r="D185" s="7" t="s">
        <v>924</v>
      </c>
      <c r="E185" s="7" t="s">
        <v>925</v>
      </c>
      <c r="F185" s="7" t="s">
        <v>926</v>
      </c>
      <c r="G185" s="6" t="s">
        <v>2252</v>
      </c>
      <c r="H185" s="6" t="s">
        <v>922</v>
      </c>
      <c r="I185" s="188" t="s">
        <v>2282</v>
      </c>
      <c r="J185" s="12" t="s">
        <v>23</v>
      </c>
      <c r="K185" s="14">
        <v>0.83333333333333337</v>
      </c>
      <c r="L185" s="6">
        <v>85</v>
      </c>
      <c r="M185" s="12" t="s">
        <v>83</v>
      </c>
      <c r="N185" s="13" t="s">
        <v>923</v>
      </c>
    </row>
    <row r="186" spans="1:14" ht="15.75" customHeight="1">
      <c r="A186" s="66">
        <v>183</v>
      </c>
      <c r="B186" s="6">
        <v>2000</v>
      </c>
      <c r="C186" s="323"/>
      <c r="D186" s="7" t="s">
        <v>928</v>
      </c>
      <c r="E186" s="7" t="s">
        <v>929</v>
      </c>
      <c r="F186" s="7" t="s">
        <v>930</v>
      </c>
      <c r="G186" s="6" t="s">
        <v>2253</v>
      </c>
      <c r="H186" s="6" t="s">
        <v>922</v>
      </c>
      <c r="I186" s="188" t="s">
        <v>2283</v>
      </c>
      <c r="J186" s="12" t="s">
        <v>23</v>
      </c>
      <c r="K186" s="14">
        <v>0.83333333333333337</v>
      </c>
      <c r="L186" s="6">
        <v>85</v>
      </c>
      <c r="M186" s="12" t="s">
        <v>83</v>
      </c>
      <c r="N186" s="13" t="s">
        <v>923</v>
      </c>
    </row>
    <row r="187" spans="1:14" ht="15.75" customHeight="1">
      <c r="A187" s="66">
        <v>184</v>
      </c>
      <c r="B187" s="6">
        <v>2000</v>
      </c>
      <c r="C187" s="323"/>
      <c r="D187" s="7" t="s">
        <v>932</v>
      </c>
      <c r="E187" s="7" t="s">
        <v>933</v>
      </c>
      <c r="F187" s="7" t="s">
        <v>934</v>
      </c>
      <c r="G187" s="6" t="s">
        <v>2254</v>
      </c>
      <c r="H187" s="6" t="s">
        <v>922</v>
      </c>
      <c r="I187" s="188" t="s">
        <v>2284</v>
      </c>
      <c r="J187" s="12" t="s">
        <v>23</v>
      </c>
      <c r="K187" s="14">
        <v>0.83333333333333337</v>
      </c>
      <c r="L187" s="6">
        <v>85</v>
      </c>
      <c r="M187" s="12" t="s">
        <v>83</v>
      </c>
      <c r="N187" s="13" t="s">
        <v>923</v>
      </c>
    </row>
    <row r="188" spans="1:14" ht="15.75" customHeight="1">
      <c r="A188" s="66">
        <v>185</v>
      </c>
      <c r="B188" s="6">
        <v>2000</v>
      </c>
      <c r="C188" s="323"/>
      <c r="D188" s="7" t="s">
        <v>936</v>
      </c>
      <c r="E188" s="7" t="s">
        <v>937</v>
      </c>
      <c r="F188" s="7" t="s">
        <v>938</v>
      </c>
      <c r="G188" s="6" t="s">
        <v>2255</v>
      </c>
      <c r="H188" s="6" t="s">
        <v>922</v>
      </c>
      <c r="I188" s="188" t="s">
        <v>2285</v>
      </c>
      <c r="J188" s="12" t="s">
        <v>23</v>
      </c>
      <c r="K188" s="14">
        <v>0.83333333333333337</v>
      </c>
      <c r="L188" s="6">
        <v>85</v>
      </c>
      <c r="M188" s="12" t="s">
        <v>83</v>
      </c>
      <c r="N188" s="13" t="s">
        <v>923</v>
      </c>
    </row>
    <row r="189" spans="1:14" ht="15.75" customHeight="1">
      <c r="A189" s="66">
        <v>186</v>
      </c>
      <c r="B189" s="6">
        <v>2000</v>
      </c>
      <c r="C189" s="323"/>
      <c r="D189" s="7" t="s">
        <v>940</v>
      </c>
      <c r="E189" s="7" t="s">
        <v>941</v>
      </c>
      <c r="F189" s="7" t="s">
        <v>942</v>
      </c>
      <c r="G189" s="6" t="s">
        <v>2286</v>
      </c>
      <c r="H189" s="6" t="s">
        <v>922</v>
      </c>
      <c r="I189" s="188" t="s">
        <v>2287</v>
      </c>
      <c r="J189" s="12" t="s">
        <v>23</v>
      </c>
      <c r="K189" s="14">
        <v>0.83333333333333337</v>
      </c>
      <c r="L189" s="6">
        <v>85</v>
      </c>
      <c r="M189" s="12" t="s">
        <v>83</v>
      </c>
      <c r="N189" s="13" t="s">
        <v>923</v>
      </c>
    </row>
    <row r="190" spans="1:14" ht="15.75" customHeight="1">
      <c r="A190" s="66">
        <v>187</v>
      </c>
      <c r="B190" s="6">
        <v>2000</v>
      </c>
      <c r="C190" s="323"/>
      <c r="D190" s="7" t="s">
        <v>944</v>
      </c>
      <c r="E190" s="7" t="s">
        <v>945</v>
      </c>
      <c r="F190" s="7" t="s">
        <v>946</v>
      </c>
      <c r="G190" s="6" t="s">
        <v>2257</v>
      </c>
      <c r="H190" s="6" t="s">
        <v>922</v>
      </c>
      <c r="I190" s="188" t="s">
        <v>2288</v>
      </c>
      <c r="J190" s="12" t="s">
        <v>23</v>
      </c>
      <c r="K190" s="14">
        <v>0.83333333333333337</v>
      </c>
      <c r="L190" s="6">
        <v>85</v>
      </c>
      <c r="M190" s="12" t="s">
        <v>83</v>
      </c>
      <c r="N190" s="13" t="s">
        <v>923</v>
      </c>
    </row>
    <row r="191" spans="1:14" ht="15.75" customHeight="1">
      <c r="A191" s="66">
        <v>188</v>
      </c>
      <c r="B191" s="6">
        <v>2000</v>
      </c>
      <c r="C191" s="323"/>
      <c r="D191" s="7" t="s">
        <v>948</v>
      </c>
      <c r="E191" s="7" t="s">
        <v>949</v>
      </c>
      <c r="F191" s="7" t="s">
        <v>950</v>
      </c>
      <c r="G191" s="6" t="s">
        <v>2258</v>
      </c>
      <c r="H191" s="6" t="s">
        <v>922</v>
      </c>
      <c r="I191" s="188" t="s">
        <v>2289</v>
      </c>
      <c r="J191" s="12" t="s">
        <v>23</v>
      </c>
      <c r="K191" s="14">
        <v>0.83333333333333337</v>
      </c>
      <c r="L191" s="6">
        <v>85</v>
      </c>
      <c r="M191" s="12" t="s">
        <v>83</v>
      </c>
      <c r="N191" s="13" t="s">
        <v>923</v>
      </c>
    </row>
    <row r="192" spans="1:14" ht="15.75" customHeight="1">
      <c r="A192" s="66">
        <v>189</v>
      </c>
      <c r="B192" s="6">
        <v>2000</v>
      </c>
      <c r="C192" s="323"/>
      <c r="D192" s="7" t="s">
        <v>952</v>
      </c>
      <c r="E192" s="7" t="s">
        <v>953</v>
      </c>
      <c r="F192" s="7" t="s">
        <v>954</v>
      </c>
      <c r="G192" s="6" t="s">
        <v>2259</v>
      </c>
      <c r="H192" s="6" t="s">
        <v>922</v>
      </c>
      <c r="I192" s="188" t="s">
        <v>2290</v>
      </c>
      <c r="J192" s="12" t="s">
        <v>23</v>
      </c>
      <c r="K192" s="14">
        <v>0.83333333333333337</v>
      </c>
      <c r="L192" s="6">
        <v>85</v>
      </c>
      <c r="M192" s="12" t="s">
        <v>83</v>
      </c>
      <c r="N192" s="13" t="s">
        <v>923</v>
      </c>
    </row>
    <row r="193" spans="1:14" ht="15.75" customHeight="1">
      <c r="A193" s="66">
        <v>190</v>
      </c>
      <c r="B193" s="6">
        <v>2000</v>
      </c>
      <c r="C193" s="323"/>
      <c r="D193" s="7" t="s">
        <v>956</v>
      </c>
      <c r="E193" s="7" t="s">
        <v>957</v>
      </c>
      <c r="F193" s="7" t="s">
        <v>958</v>
      </c>
      <c r="G193" s="6" t="s">
        <v>2260</v>
      </c>
      <c r="H193" s="6">
        <v>1075011001</v>
      </c>
      <c r="I193" s="188" t="s">
        <v>2291</v>
      </c>
      <c r="J193" s="12" t="s">
        <v>23</v>
      </c>
      <c r="K193" s="14">
        <v>0.83333333333333337</v>
      </c>
      <c r="L193" s="6">
        <v>85</v>
      </c>
      <c r="M193" s="12" t="s">
        <v>83</v>
      </c>
      <c r="N193" s="13" t="s">
        <v>923</v>
      </c>
    </row>
    <row r="194" spans="1:14" ht="15.75" customHeight="1">
      <c r="A194" s="66">
        <v>191</v>
      </c>
      <c r="B194" s="6">
        <v>2000</v>
      </c>
      <c r="C194" s="323"/>
      <c r="D194" s="7" t="s">
        <v>960</v>
      </c>
      <c r="E194" s="7" t="s">
        <v>961</v>
      </c>
      <c r="F194" s="7" t="s">
        <v>962</v>
      </c>
      <c r="G194" s="6" t="s">
        <v>2292</v>
      </c>
      <c r="H194" s="6" t="s">
        <v>922</v>
      </c>
      <c r="I194" s="188" t="s">
        <v>2293</v>
      </c>
      <c r="J194" s="12" t="s">
        <v>23</v>
      </c>
      <c r="K194" s="14">
        <v>0.83333333333333337</v>
      </c>
      <c r="L194" s="6">
        <v>85</v>
      </c>
      <c r="M194" s="12" t="s">
        <v>83</v>
      </c>
      <c r="N194" s="13" t="s">
        <v>923</v>
      </c>
    </row>
    <row r="195" spans="1:14" ht="15.75" customHeight="1">
      <c r="A195" s="66">
        <v>192</v>
      </c>
      <c r="B195" s="6">
        <v>2000</v>
      </c>
      <c r="C195" s="323"/>
      <c r="D195" s="7" t="s">
        <v>964</v>
      </c>
      <c r="E195" s="7" t="s">
        <v>965</v>
      </c>
      <c r="F195" s="7" t="s">
        <v>966</v>
      </c>
      <c r="G195" s="6" t="s">
        <v>2262</v>
      </c>
      <c r="H195" s="6" t="s">
        <v>922</v>
      </c>
      <c r="I195" s="188" t="s">
        <v>2294</v>
      </c>
      <c r="J195" s="12" t="s">
        <v>23</v>
      </c>
      <c r="K195" s="14">
        <v>0.83333333333333337</v>
      </c>
      <c r="L195" s="6">
        <v>85</v>
      </c>
      <c r="M195" s="12" t="s">
        <v>83</v>
      </c>
      <c r="N195" s="13" t="s">
        <v>923</v>
      </c>
    </row>
    <row r="196" spans="1:14" ht="15.75" customHeight="1">
      <c r="A196" s="66">
        <v>193</v>
      </c>
      <c r="B196" s="6">
        <v>2000</v>
      </c>
      <c r="C196" s="323"/>
      <c r="D196" s="7" t="s">
        <v>948</v>
      </c>
      <c r="E196" s="7" t="s">
        <v>968</v>
      </c>
      <c r="F196" s="7" t="s">
        <v>969</v>
      </c>
      <c r="G196" s="6" t="s">
        <v>2295</v>
      </c>
      <c r="H196" s="6" t="s">
        <v>922</v>
      </c>
      <c r="I196" s="188" t="s">
        <v>2296</v>
      </c>
      <c r="J196" s="12" t="s">
        <v>23</v>
      </c>
      <c r="K196" s="14">
        <v>0.83333333333333337</v>
      </c>
      <c r="L196" s="6">
        <v>85</v>
      </c>
      <c r="M196" s="12" t="s">
        <v>83</v>
      </c>
      <c r="N196" s="13" t="s">
        <v>923</v>
      </c>
    </row>
    <row r="197" spans="1:14" ht="15.75" customHeight="1">
      <c r="A197" s="66">
        <v>194</v>
      </c>
      <c r="B197" s="6">
        <v>2000</v>
      </c>
      <c r="C197" s="324"/>
      <c r="D197" s="7" t="s">
        <v>952</v>
      </c>
      <c r="E197" s="7" t="s">
        <v>953</v>
      </c>
      <c r="F197" s="7" t="s">
        <v>971</v>
      </c>
      <c r="G197" s="6" t="s">
        <v>2263</v>
      </c>
      <c r="H197" s="6" t="s">
        <v>922</v>
      </c>
      <c r="I197" s="188" t="s">
        <v>2297</v>
      </c>
      <c r="J197" s="12" t="s">
        <v>23</v>
      </c>
      <c r="K197" s="14">
        <v>0.83333333333333337</v>
      </c>
      <c r="L197" s="6">
        <v>85</v>
      </c>
      <c r="M197" s="12" t="s">
        <v>83</v>
      </c>
      <c r="N197" s="13" t="s">
        <v>923</v>
      </c>
    </row>
    <row r="198" spans="1:14" ht="15.75" customHeight="1">
      <c r="A198" s="66">
        <v>195</v>
      </c>
      <c r="B198" s="6">
        <v>2000</v>
      </c>
      <c r="C198" s="322" t="s">
        <v>987</v>
      </c>
      <c r="D198" s="7" t="s">
        <v>2298</v>
      </c>
      <c r="E198" s="7" t="s">
        <v>2264</v>
      </c>
      <c r="F198" s="7" t="s">
        <v>988</v>
      </c>
      <c r="G198" s="6" t="s">
        <v>2264</v>
      </c>
      <c r="H198" s="6">
        <v>1075013001</v>
      </c>
      <c r="I198" s="335" t="s">
        <v>990</v>
      </c>
      <c r="J198" s="12" t="s">
        <v>23</v>
      </c>
      <c r="K198" s="14">
        <v>0.75</v>
      </c>
      <c r="L198" s="6">
        <v>85</v>
      </c>
      <c r="M198" s="12" t="s">
        <v>24</v>
      </c>
      <c r="N198" s="13" t="s">
        <v>923</v>
      </c>
    </row>
    <row r="199" spans="1:14" ht="15.75" customHeight="1">
      <c r="A199" s="66">
        <v>196</v>
      </c>
      <c r="B199" s="6">
        <v>2000</v>
      </c>
      <c r="C199" s="323"/>
      <c r="D199" s="7" t="s">
        <v>2299</v>
      </c>
      <c r="E199" s="7" t="s">
        <v>2265</v>
      </c>
      <c r="F199" s="7" t="s">
        <v>985</v>
      </c>
      <c r="G199" s="6" t="s">
        <v>2265</v>
      </c>
      <c r="H199" s="6">
        <v>1075013001</v>
      </c>
      <c r="I199" s="323"/>
      <c r="J199" s="12" t="s">
        <v>23</v>
      </c>
      <c r="K199" s="14">
        <v>0.75</v>
      </c>
      <c r="L199" s="6">
        <v>85</v>
      </c>
      <c r="M199" s="12" t="s">
        <v>24</v>
      </c>
      <c r="N199" s="13" t="s">
        <v>923</v>
      </c>
    </row>
    <row r="200" spans="1:14" ht="15.75" customHeight="1">
      <c r="A200" s="66">
        <v>197</v>
      </c>
      <c r="B200" s="6">
        <v>2000</v>
      </c>
      <c r="C200" s="323"/>
      <c r="D200" s="7" t="s">
        <v>2300</v>
      </c>
      <c r="E200" s="7" t="s">
        <v>2266</v>
      </c>
      <c r="F200" s="7" t="s">
        <v>979</v>
      </c>
      <c r="G200" s="6" t="s">
        <v>2266</v>
      </c>
      <c r="H200" s="6">
        <v>1075013001</v>
      </c>
      <c r="I200" s="323"/>
      <c r="J200" s="12" t="s">
        <v>23</v>
      </c>
      <c r="K200" s="14">
        <v>0.75</v>
      </c>
      <c r="L200" s="6">
        <v>85</v>
      </c>
      <c r="M200" s="12" t="s">
        <v>24</v>
      </c>
      <c r="N200" s="13" t="s">
        <v>923</v>
      </c>
    </row>
    <row r="201" spans="1:14" ht="15.75" customHeight="1">
      <c r="A201" s="66">
        <v>198</v>
      </c>
      <c r="B201" s="6">
        <v>2000</v>
      </c>
      <c r="C201" s="324"/>
      <c r="D201" s="7" t="s">
        <v>2301</v>
      </c>
      <c r="E201" s="7" t="s">
        <v>2267</v>
      </c>
      <c r="F201" s="7" t="s">
        <v>981</v>
      </c>
      <c r="G201" s="6" t="s">
        <v>2267</v>
      </c>
      <c r="H201" s="6">
        <v>1075013001</v>
      </c>
      <c r="I201" s="323"/>
      <c r="J201" s="12" t="s">
        <v>23</v>
      </c>
      <c r="K201" s="14">
        <v>0.75</v>
      </c>
      <c r="L201" s="6">
        <v>85</v>
      </c>
      <c r="M201" s="12" t="s">
        <v>24</v>
      </c>
      <c r="N201" s="13" t="s">
        <v>923</v>
      </c>
    </row>
    <row r="202" spans="1:14" ht="15.75" customHeight="1">
      <c r="A202" s="66">
        <v>199</v>
      </c>
      <c r="B202" s="6">
        <v>2000</v>
      </c>
      <c r="C202" s="331" t="s">
        <v>2302</v>
      </c>
      <c r="D202" s="7" t="s">
        <v>991</v>
      </c>
      <c r="E202" s="7" t="s">
        <v>992</v>
      </c>
      <c r="F202" s="7" t="s">
        <v>993</v>
      </c>
      <c r="G202" s="6" t="s">
        <v>992</v>
      </c>
      <c r="H202" s="6" t="s">
        <v>994</v>
      </c>
      <c r="I202" s="323"/>
      <c r="J202" s="12" t="s">
        <v>23</v>
      </c>
      <c r="K202" s="14">
        <v>0.97916666666666663</v>
      </c>
      <c r="L202" s="6">
        <v>85</v>
      </c>
      <c r="M202" s="12" t="s">
        <v>83</v>
      </c>
      <c r="N202" s="13" t="s">
        <v>923</v>
      </c>
    </row>
    <row r="203" spans="1:14" ht="15.75" customHeight="1">
      <c r="A203" s="66">
        <v>200</v>
      </c>
      <c r="B203" s="6">
        <v>2000</v>
      </c>
      <c r="C203" s="323"/>
      <c r="D203" s="7" t="s">
        <v>995</v>
      </c>
      <c r="E203" s="7" t="s">
        <v>996</v>
      </c>
      <c r="F203" s="7" t="s">
        <v>997</v>
      </c>
      <c r="G203" s="6" t="s">
        <v>996</v>
      </c>
      <c r="H203" s="6" t="s">
        <v>998</v>
      </c>
      <c r="I203" s="323"/>
      <c r="J203" s="12" t="s">
        <v>23</v>
      </c>
      <c r="K203" s="14">
        <v>0.97916666666666663</v>
      </c>
      <c r="L203" s="6">
        <v>85</v>
      </c>
      <c r="M203" s="12" t="s">
        <v>83</v>
      </c>
      <c r="N203" s="13" t="s">
        <v>923</v>
      </c>
    </row>
    <row r="204" spans="1:14" ht="15.75" customHeight="1">
      <c r="A204" s="66">
        <v>201</v>
      </c>
      <c r="B204" s="6">
        <v>2000</v>
      </c>
      <c r="C204" s="323"/>
      <c r="D204" s="7" t="s">
        <v>1003</v>
      </c>
      <c r="E204" s="7" t="s">
        <v>1004</v>
      </c>
      <c r="F204" s="7" t="s">
        <v>1005</v>
      </c>
      <c r="G204" s="6" t="s">
        <v>1004</v>
      </c>
      <c r="H204" s="6" t="s">
        <v>1006</v>
      </c>
      <c r="I204" s="323"/>
      <c r="J204" s="12" t="s">
        <v>23</v>
      </c>
      <c r="K204" s="14">
        <v>0.97916666666666663</v>
      </c>
      <c r="L204" s="6">
        <v>85</v>
      </c>
      <c r="M204" s="12" t="s">
        <v>83</v>
      </c>
      <c r="N204" s="13" t="s">
        <v>923</v>
      </c>
    </row>
    <row r="205" spans="1:14" ht="15.75" customHeight="1">
      <c r="A205" s="66">
        <v>202</v>
      </c>
      <c r="B205" s="6">
        <v>2000</v>
      </c>
      <c r="C205" s="416" t="s">
        <v>1007</v>
      </c>
      <c r="D205" s="7" t="s">
        <v>1008</v>
      </c>
      <c r="E205" s="7" t="s">
        <v>1009</v>
      </c>
      <c r="F205" s="7" t="s">
        <v>1010</v>
      </c>
      <c r="G205" s="7" t="s">
        <v>1009</v>
      </c>
      <c r="H205" s="6" t="s">
        <v>1011</v>
      </c>
      <c r="I205" s="7" t="s">
        <v>1012</v>
      </c>
      <c r="J205" s="12" t="s">
        <v>787</v>
      </c>
      <c r="K205" s="12" t="s">
        <v>788</v>
      </c>
      <c r="L205" s="1">
        <v>85</v>
      </c>
      <c r="M205" s="12" t="s">
        <v>1835</v>
      </c>
      <c r="N205" s="13" t="s">
        <v>1013</v>
      </c>
    </row>
    <row r="206" spans="1:14" ht="15.75" customHeight="1">
      <c r="A206" s="66">
        <v>203</v>
      </c>
      <c r="B206" s="6">
        <v>2000</v>
      </c>
      <c r="C206" s="323"/>
      <c r="D206" s="7" t="s">
        <v>1014</v>
      </c>
      <c r="E206" s="7" t="s">
        <v>1015</v>
      </c>
      <c r="F206" s="7" t="s">
        <v>1016</v>
      </c>
      <c r="G206" s="7" t="s">
        <v>1015</v>
      </c>
      <c r="H206" s="6" t="s">
        <v>1017</v>
      </c>
      <c r="I206" s="7" t="s">
        <v>1012</v>
      </c>
      <c r="J206" s="12" t="s">
        <v>787</v>
      </c>
      <c r="K206" s="12" t="s">
        <v>788</v>
      </c>
      <c r="L206" s="1">
        <v>85</v>
      </c>
      <c r="M206" s="12" t="s">
        <v>1835</v>
      </c>
      <c r="N206" s="13" t="s">
        <v>1013</v>
      </c>
    </row>
    <row r="207" spans="1:14" ht="15.75" customHeight="1">
      <c r="A207" s="66">
        <v>204</v>
      </c>
      <c r="B207" s="6">
        <v>2000</v>
      </c>
      <c r="C207" s="323"/>
      <c r="D207" s="7" t="s">
        <v>1018</v>
      </c>
      <c r="E207" s="7" t="s">
        <v>1019</v>
      </c>
      <c r="F207" s="7" t="s">
        <v>1020</v>
      </c>
      <c r="G207" s="7" t="s">
        <v>1019</v>
      </c>
      <c r="H207" s="6" t="s">
        <v>1021</v>
      </c>
      <c r="I207" s="7" t="s">
        <v>1012</v>
      </c>
      <c r="J207" s="12" t="s">
        <v>787</v>
      </c>
      <c r="K207" s="12" t="s">
        <v>788</v>
      </c>
      <c r="L207" s="1">
        <v>85</v>
      </c>
      <c r="M207" s="12" t="s">
        <v>1835</v>
      </c>
      <c r="N207" s="13" t="s">
        <v>1013</v>
      </c>
    </row>
    <row r="208" spans="1:14" ht="15.75" customHeight="1">
      <c r="A208" s="66">
        <v>205</v>
      </c>
      <c r="B208" s="6">
        <v>2000</v>
      </c>
      <c r="C208" s="323"/>
      <c r="D208" s="7" t="s">
        <v>1022</v>
      </c>
      <c r="E208" s="7" t="s">
        <v>1023</v>
      </c>
      <c r="F208" s="7" t="s">
        <v>1024</v>
      </c>
      <c r="G208" s="7" t="s">
        <v>1023</v>
      </c>
      <c r="H208" s="6" t="s">
        <v>1026</v>
      </c>
      <c r="I208" s="7" t="s">
        <v>1012</v>
      </c>
      <c r="J208" s="12" t="s">
        <v>787</v>
      </c>
      <c r="K208" s="12" t="s">
        <v>788</v>
      </c>
      <c r="L208" s="1">
        <v>85</v>
      </c>
      <c r="M208" s="12" t="s">
        <v>1835</v>
      </c>
      <c r="N208" s="13" t="s">
        <v>1013</v>
      </c>
    </row>
    <row r="209" spans="1:14" ht="15.75" customHeight="1">
      <c r="A209" s="66">
        <v>206</v>
      </c>
      <c r="B209" s="6">
        <v>2000</v>
      </c>
      <c r="C209" s="323"/>
      <c r="D209" s="7" t="s">
        <v>1027</v>
      </c>
      <c r="E209" s="7" t="s">
        <v>1028</v>
      </c>
      <c r="F209" s="7" t="s">
        <v>1029</v>
      </c>
      <c r="G209" s="7" t="s">
        <v>1028</v>
      </c>
      <c r="H209" s="6" t="s">
        <v>1031</v>
      </c>
      <c r="I209" s="7" t="s">
        <v>1012</v>
      </c>
      <c r="J209" s="12" t="s">
        <v>787</v>
      </c>
      <c r="K209" s="12" t="s">
        <v>788</v>
      </c>
      <c r="L209" s="1">
        <v>85</v>
      </c>
      <c r="M209" s="12" t="s">
        <v>1835</v>
      </c>
      <c r="N209" s="13" t="s">
        <v>1013</v>
      </c>
    </row>
    <row r="210" spans="1:14" ht="15.75" customHeight="1">
      <c r="A210" s="66">
        <v>207</v>
      </c>
      <c r="B210" s="6">
        <v>2000</v>
      </c>
      <c r="C210" s="323"/>
      <c r="D210" s="7" t="s">
        <v>1032</v>
      </c>
      <c r="E210" s="7" t="s">
        <v>1033</v>
      </c>
      <c r="F210" s="7" t="s">
        <v>1034</v>
      </c>
      <c r="G210" s="7" t="s">
        <v>1033</v>
      </c>
      <c r="H210" s="6" t="s">
        <v>1036</v>
      </c>
      <c r="I210" s="7" t="s">
        <v>1012</v>
      </c>
      <c r="J210" s="12" t="s">
        <v>787</v>
      </c>
      <c r="K210" s="12" t="s">
        <v>788</v>
      </c>
      <c r="L210" s="1">
        <v>85</v>
      </c>
      <c r="M210" s="12" t="s">
        <v>1835</v>
      </c>
      <c r="N210" s="13" t="s">
        <v>1013</v>
      </c>
    </row>
    <row r="211" spans="1:14" ht="15.75" customHeight="1">
      <c r="A211" s="66">
        <v>208</v>
      </c>
      <c r="B211" s="6">
        <v>2000</v>
      </c>
      <c r="C211" s="323"/>
      <c r="D211" s="7" t="s">
        <v>1037</v>
      </c>
      <c r="E211" s="7" t="s">
        <v>1038</v>
      </c>
      <c r="F211" s="7" t="s">
        <v>1039</v>
      </c>
      <c r="G211" s="7" t="s">
        <v>1038</v>
      </c>
      <c r="H211" s="6" t="s">
        <v>1041</v>
      </c>
      <c r="I211" s="7" t="s">
        <v>1012</v>
      </c>
      <c r="J211" s="12" t="s">
        <v>787</v>
      </c>
      <c r="K211" s="12" t="s">
        <v>788</v>
      </c>
      <c r="L211" s="1">
        <v>85</v>
      </c>
      <c r="M211" s="12" t="s">
        <v>1835</v>
      </c>
      <c r="N211" s="13" t="s">
        <v>1013</v>
      </c>
    </row>
    <row r="212" spans="1:14" ht="15.75" customHeight="1">
      <c r="A212" s="66">
        <v>209</v>
      </c>
      <c r="B212" s="6">
        <v>2000</v>
      </c>
      <c r="C212" s="323"/>
      <c r="D212" s="7" t="s">
        <v>1042</v>
      </c>
      <c r="E212" s="7" t="s">
        <v>1043</v>
      </c>
      <c r="F212" s="7" t="s">
        <v>1044</v>
      </c>
      <c r="G212" s="7" t="s">
        <v>1043</v>
      </c>
      <c r="H212" s="6">
        <v>1112053108</v>
      </c>
      <c r="I212" s="7" t="s">
        <v>1012</v>
      </c>
      <c r="J212" s="12" t="s">
        <v>787</v>
      </c>
      <c r="K212" s="12" t="s">
        <v>788</v>
      </c>
      <c r="L212" s="1">
        <v>85</v>
      </c>
      <c r="M212" s="12" t="s">
        <v>1835</v>
      </c>
      <c r="N212" s="13" t="s">
        <v>1013</v>
      </c>
    </row>
    <row r="213" spans="1:14" ht="15.75" customHeight="1">
      <c r="A213" s="66">
        <v>210</v>
      </c>
      <c r="B213" s="6">
        <v>2000</v>
      </c>
      <c r="C213" s="323"/>
      <c r="D213" s="7" t="s">
        <v>1047</v>
      </c>
      <c r="E213" s="7" t="s">
        <v>1048</v>
      </c>
      <c r="F213" s="7" t="s">
        <v>1049</v>
      </c>
      <c r="G213" s="7" t="s">
        <v>1048</v>
      </c>
      <c r="H213" s="6">
        <v>1112053109</v>
      </c>
      <c r="I213" s="7" t="s">
        <v>1012</v>
      </c>
      <c r="J213" s="12" t="s">
        <v>787</v>
      </c>
      <c r="K213" s="12" t="s">
        <v>788</v>
      </c>
      <c r="L213" s="1">
        <v>85</v>
      </c>
      <c r="M213" s="12" t="s">
        <v>1835</v>
      </c>
      <c r="N213" s="13" t="s">
        <v>1013</v>
      </c>
    </row>
    <row r="214" spans="1:14" ht="15.75" customHeight="1">
      <c r="A214" s="66">
        <v>211</v>
      </c>
      <c r="B214" s="6">
        <v>2000</v>
      </c>
      <c r="C214" s="323"/>
      <c r="D214" s="7" t="s">
        <v>1052</v>
      </c>
      <c r="E214" s="7" t="s">
        <v>1053</v>
      </c>
      <c r="F214" s="7" t="s">
        <v>1054</v>
      </c>
      <c r="G214" s="7" t="s">
        <v>1053</v>
      </c>
      <c r="H214" s="6">
        <v>1112053110</v>
      </c>
      <c r="I214" s="7" t="s">
        <v>1012</v>
      </c>
      <c r="J214" s="12" t="s">
        <v>787</v>
      </c>
      <c r="K214" s="12" t="s">
        <v>788</v>
      </c>
      <c r="L214" s="1">
        <v>85</v>
      </c>
      <c r="M214" s="12" t="s">
        <v>1835</v>
      </c>
      <c r="N214" s="13" t="s">
        <v>1013</v>
      </c>
    </row>
    <row r="215" spans="1:14" ht="15.75" customHeight="1">
      <c r="A215" s="66">
        <v>212</v>
      </c>
      <c r="B215" s="6">
        <v>2000</v>
      </c>
      <c r="C215" s="323"/>
      <c r="D215" s="7" t="s">
        <v>1057</v>
      </c>
      <c r="E215" s="7" t="s">
        <v>1058</v>
      </c>
      <c r="F215" s="7" t="s">
        <v>1059</v>
      </c>
      <c r="G215" s="7" t="s">
        <v>1058</v>
      </c>
      <c r="H215" s="6">
        <v>1112053111</v>
      </c>
      <c r="I215" s="7" t="s">
        <v>1012</v>
      </c>
      <c r="J215" s="12" t="s">
        <v>787</v>
      </c>
      <c r="K215" s="12" t="s">
        <v>788</v>
      </c>
      <c r="L215" s="1">
        <v>85</v>
      </c>
      <c r="M215" s="12" t="s">
        <v>1835</v>
      </c>
      <c r="N215" s="13" t="s">
        <v>1013</v>
      </c>
    </row>
    <row r="216" spans="1:14" ht="15.75" customHeight="1">
      <c r="A216" s="66">
        <v>213</v>
      </c>
      <c r="B216" s="6">
        <v>2000</v>
      </c>
      <c r="C216" s="323"/>
      <c r="D216" s="7" t="s">
        <v>1062</v>
      </c>
      <c r="E216" s="7" t="s">
        <v>1063</v>
      </c>
      <c r="F216" s="7" t="s">
        <v>1064</v>
      </c>
      <c r="G216" s="7" t="s">
        <v>1063</v>
      </c>
      <c r="H216" s="6">
        <v>1112053112</v>
      </c>
      <c r="I216" s="7" t="s">
        <v>1012</v>
      </c>
      <c r="J216" s="12" t="s">
        <v>787</v>
      </c>
      <c r="K216" s="12" t="s">
        <v>788</v>
      </c>
      <c r="L216" s="1">
        <v>85</v>
      </c>
      <c r="M216" s="12" t="s">
        <v>1835</v>
      </c>
      <c r="N216" s="13" t="s">
        <v>1013</v>
      </c>
    </row>
    <row r="217" spans="1:14" ht="15.75" customHeight="1">
      <c r="A217" s="66">
        <v>214</v>
      </c>
      <c r="B217" s="6">
        <v>2000</v>
      </c>
      <c r="C217" s="323"/>
      <c r="D217" s="7" t="s">
        <v>1067</v>
      </c>
      <c r="E217" s="7" t="s">
        <v>1068</v>
      </c>
      <c r="F217" s="7" t="s">
        <v>1069</v>
      </c>
      <c r="G217" s="7" t="s">
        <v>1068</v>
      </c>
      <c r="H217" s="6">
        <v>1112053113</v>
      </c>
      <c r="I217" s="7" t="s">
        <v>1012</v>
      </c>
      <c r="J217" s="12" t="s">
        <v>787</v>
      </c>
      <c r="K217" s="12" t="s">
        <v>788</v>
      </c>
      <c r="L217" s="1">
        <v>85</v>
      </c>
      <c r="M217" s="12" t="s">
        <v>1835</v>
      </c>
      <c r="N217" s="13" t="s">
        <v>1013</v>
      </c>
    </row>
    <row r="218" spans="1:14" ht="15.75" customHeight="1">
      <c r="A218" s="66">
        <v>215</v>
      </c>
      <c r="B218" s="6">
        <v>2000</v>
      </c>
      <c r="C218" s="323"/>
      <c r="D218" s="7" t="s">
        <v>1072</v>
      </c>
      <c r="E218" s="7" t="s">
        <v>1073</v>
      </c>
      <c r="F218" s="7" t="s">
        <v>1074</v>
      </c>
      <c r="G218" s="7" t="s">
        <v>1073</v>
      </c>
      <c r="H218" s="6">
        <v>1112053114</v>
      </c>
      <c r="I218" s="7" t="s">
        <v>1012</v>
      </c>
      <c r="J218" s="12" t="s">
        <v>787</v>
      </c>
      <c r="K218" s="12" t="s">
        <v>788</v>
      </c>
      <c r="L218" s="1">
        <v>85</v>
      </c>
      <c r="M218" s="12" t="s">
        <v>1835</v>
      </c>
      <c r="N218" s="13" t="s">
        <v>1013</v>
      </c>
    </row>
    <row r="219" spans="1:14" ht="15.75" customHeight="1">
      <c r="A219" s="66">
        <v>216</v>
      </c>
      <c r="B219" s="6">
        <v>2000</v>
      </c>
      <c r="C219" s="323"/>
      <c r="D219" s="7" t="s">
        <v>1077</v>
      </c>
      <c r="E219" s="7" t="s">
        <v>1078</v>
      </c>
      <c r="F219" s="7" t="s">
        <v>1079</v>
      </c>
      <c r="G219" s="7" t="s">
        <v>1078</v>
      </c>
      <c r="H219" s="6">
        <v>1112053115</v>
      </c>
      <c r="I219" s="7" t="s">
        <v>1012</v>
      </c>
      <c r="J219" s="12" t="s">
        <v>787</v>
      </c>
      <c r="K219" s="12" t="s">
        <v>788</v>
      </c>
      <c r="L219" s="1">
        <v>85</v>
      </c>
      <c r="M219" s="12" t="s">
        <v>1835</v>
      </c>
      <c r="N219" s="13" t="s">
        <v>1013</v>
      </c>
    </row>
    <row r="220" spans="1:14" ht="15.75" customHeight="1">
      <c r="A220" s="66">
        <v>217</v>
      </c>
      <c r="B220" s="6">
        <v>2000</v>
      </c>
      <c r="C220" s="323"/>
      <c r="D220" s="7" t="s">
        <v>1082</v>
      </c>
      <c r="E220" s="7" t="s">
        <v>1083</v>
      </c>
      <c r="F220" s="7" t="s">
        <v>1084</v>
      </c>
      <c r="G220" s="7" t="s">
        <v>1083</v>
      </c>
      <c r="H220" s="6">
        <v>1112053116</v>
      </c>
      <c r="I220" s="7" t="s">
        <v>1012</v>
      </c>
      <c r="J220" s="12" t="s">
        <v>787</v>
      </c>
      <c r="K220" s="12" t="s">
        <v>788</v>
      </c>
      <c r="L220" s="1">
        <v>85</v>
      </c>
      <c r="M220" s="12" t="s">
        <v>1835</v>
      </c>
      <c r="N220" s="13" t="s">
        <v>1013</v>
      </c>
    </row>
    <row r="221" spans="1:14" ht="15.75" customHeight="1">
      <c r="A221" s="66">
        <v>218</v>
      </c>
      <c r="B221" s="6">
        <v>2000</v>
      </c>
      <c r="C221" s="323"/>
      <c r="D221" s="7" t="s">
        <v>1087</v>
      </c>
      <c r="E221" s="7" t="s">
        <v>1088</v>
      </c>
      <c r="F221" s="7" t="s">
        <v>1089</v>
      </c>
      <c r="G221" s="7" t="s">
        <v>1088</v>
      </c>
      <c r="H221" s="6">
        <v>1112053117</v>
      </c>
      <c r="I221" s="7" t="s">
        <v>1012</v>
      </c>
      <c r="J221" s="12" t="s">
        <v>787</v>
      </c>
      <c r="K221" s="12" t="s">
        <v>788</v>
      </c>
      <c r="L221" s="1">
        <v>85</v>
      </c>
      <c r="M221" s="12" t="s">
        <v>1835</v>
      </c>
      <c r="N221" s="13" t="s">
        <v>1013</v>
      </c>
    </row>
    <row r="222" spans="1:14" ht="15.75" customHeight="1">
      <c r="A222" s="66">
        <v>219</v>
      </c>
      <c r="B222" s="6">
        <v>2000</v>
      </c>
      <c r="C222" s="323"/>
      <c r="D222" s="7" t="s">
        <v>1092</v>
      </c>
      <c r="E222" s="7" t="s">
        <v>1093</v>
      </c>
      <c r="F222" s="7" t="s">
        <v>1094</v>
      </c>
      <c r="G222" s="7" t="s">
        <v>1093</v>
      </c>
      <c r="H222" s="6">
        <v>1112053118</v>
      </c>
      <c r="I222" s="7" t="s">
        <v>1012</v>
      </c>
      <c r="J222" s="12" t="s">
        <v>787</v>
      </c>
      <c r="K222" s="12" t="s">
        <v>788</v>
      </c>
      <c r="L222" s="1">
        <v>85</v>
      </c>
      <c r="M222" s="12" t="s">
        <v>1835</v>
      </c>
      <c r="N222" s="13" t="s">
        <v>1013</v>
      </c>
    </row>
    <row r="223" spans="1:14" ht="15.75" customHeight="1">
      <c r="A223" s="66">
        <v>220</v>
      </c>
      <c r="B223" s="6">
        <v>2000</v>
      </c>
      <c r="C223" s="324"/>
      <c r="D223" s="7" t="s">
        <v>1097</v>
      </c>
      <c r="E223" s="7" t="s">
        <v>1098</v>
      </c>
      <c r="F223" s="7" t="s">
        <v>1099</v>
      </c>
      <c r="G223" s="7" t="s">
        <v>1098</v>
      </c>
      <c r="H223" s="6">
        <v>1112053119</v>
      </c>
      <c r="I223" s="7" t="s">
        <v>1012</v>
      </c>
      <c r="J223" s="12" t="s">
        <v>787</v>
      </c>
      <c r="K223" s="12" t="s">
        <v>788</v>
      </c>
      <c r="L223" s="1">
        <v>85</v>
      </c>
      <c r="M223" s="12" t="s">
        <v>1835</v>
      </c>
      <c r="N223" s="13" t="s">
        <v>1013</v>
      </c>
    </row>
    <row r="224" spans="1:14" ht="15.75" customHeight="1">
      <c r="A224" s="66">
        <v>221</v>
      </c>
      <c r="B224" s="6">
        <v>2000</v>
      </c>
      <c r="C224" s="416" t="s">
        <v>1111</v>
      </c>
      <c r="D224" s="7" t="s">
        <v>1112</v>
      </c>
      <c r="E224" s="7" t="s">
        <v>1113</v>
      </c>
      <c r="F224" s="7" t="s">
        <v>1114</v>
      </c>
      <c r="G224" s="7" t="s">
        <v>1113</v>
      </c>
      <c r="H224" s="6" t="s">
        <v>1115</v>
      </c>
      <c r="I224" s="7" t="s">
        <v>1012</v>
      </c>
      <c r="J224" s="12" t="s">
        <v>787</v>
      </c>
      <c r="K224" s="12" t="s">
        <v>788</v>
      </c>
      <c r="L224" s="1">
        <v>85</v>
      </c>
      <c r="M224" s="12" t="s">
        <v>1835</v>
      </c>
      <c r="N224" s="13" t="s">
        <v>1013</v>
      </c>
    </row>
    <row r="225" spans="1:14" ht="15.75" customHeight="1">
      <c r="A225" s="66">
        <v>222</v>
      </c>
      <c r="B225" s="6">
        <v>2000</v>
      </c>
      <c r="C225" s="323"/>
      <c r="D225" s="7" t="s">
        <v>1116</v>
      </c>
      <c r="E225" s="7" t="s">
        <v>1117</v>
      </c>
      <c r="F225" s="7" t="s">
        <v>1118</v>
      </c>
      <c r="G225" s="7" t="s">
        <v>1117</v>
      </c>
      <c r="H225" s="6" t="s">
        <v>1119</v>
      </c>
      <c r="I225" s="7" t="s">
        <v>1012</v>
      </c>
      <c r="J225" s="12" t="s">
        <v>787</v>
      </c>
      <c r="K225" s="12" t="s">
        <v>788</v>
      </c>
      <c r="L225" s="1">
        <v>85</v>
      </c>
      <c r="M225" s="12" t="s">
        <v>1835</v>
      </c>
      <c r="N225" s="13" t="s">
        <v>1013</v>
      </c>
    </row>
    <row r="226" spans="1:14" ht="15.75" customHeight="1">
      <c r="A226" s="66">
        <v>223</v>
      </c>
      <c r="B226" s="6">
        <v>2000</v>
      </c>
      <c r="C226" s="323"/>
      <c r="D226" s="7" t="s">
        <v>1120</v>
      </c>
      <c r="E226" s="7" t="s">
        <v>1121</v>
      </c>
      <c r="F226" s="7" t="s">
        <v>1122</v>
      </c>
      <c r="G226" s="7" t="s">
        <v>1121</v>
      </c>
      <c r="H226" s="6" t="s">
        <v>1123</v>
      </c>
      <c r="I226" s="7" t="s">
        <v>1012</v>
      </c>
      <c r="J226" s="12" t="s">
        <v>787</v>
      </c>
      <c r="K226" s="12" t="s">
        <v>788</v>
      </c>
      <c r="L226" s="1">
        <v>85</v>
      </c>
      <c r="M226" s="12" t="s">
        <v>1835</v>
      </c>
      <c r="N226" s="13" t="s">
        <v>1013</v>
      </c>
    </row>
    <row r="227" spans="1:14" ht="15.75" customHeight="1">
      <c r="A227" s="66">
        <v>224</v>
      </c>
      <c r="B227" s="6">
        <v>2000</v>
      </c>
      <c r="C227" s="323"/>
      <c r="D227" s="7" t="s">
        <v>1124</v>
      </c>
      <c r="E227" s="7" t="s">
        <v>1125</v>
      </c>
      <c r="F227" s="7" t="s">
        <v>1126</v>
      </c>
      <c r="G227" s="7" t="s">
        <v>1125</v>
      </c>
      <c r="H227" s="6" t="s">
        <v>1123</v>
      </c>
      <c r="I227" s="7" t="s">
        <v>1012</v>
      </c>
      <c r="J227" s="12" t="s">
        <v>787</v>
      </c>
      <c r="K227" s="12" t="s">
        <v>788</v>
      </c>
      <c r="L227" s="1">
        <v>85</v>
      </c>
      <c r="M227" s="12" t="s">
        <v>1835</v>
      </c>
      <c r="N227" s="13" t="s">
        <v>1013</v>
      </c>
    </row>
    <row r="228" spans="1:14" ht="15.75" customHeight="1">
      <c r="A228" s="66">
        <v>225</v>
      </c>
      <c r="B228" s="6">
        <v>2000</v>
      </c>
      <c r="C228" s="323"/>
      <c r="D228" s="7" t="s">
        <v>1127</v>
      </c>
      <c r="E228" s="7" t="s">
        <v>1128</v>
      </c>
      <c r="F228" s="7" t="s">
        <v>1129</v>
      </c>
      <c r="G228" s="7" t="s">
        <v>1128</v>
      </c>
      <c r="H228" s="6">
        <v>1112053204</v>
      </c>
      <c r="I228" s="7" t="s">
        <v>1012</v>
      </c>
      <c r="J228" s="12" t="s">
        <v>787</v>
      </c>
      <c r="K228" s="12" t="s">
        <v>788</v>
      </c>
      <c r="L228" s="1">
        <v>85</v>
      </c>
      <c r="M228" s="12" t="s">
        <v>1835</v>
      </c>
      <c r="N228" s="13" t="s">
        <v>1013</v>
      </c>
    </row>
    <row r="229" spans="1:14" ht="15.75" customHeight="1">
      <c r="A229" s="66">
        <v>226</v>
      </c>
      <c r="B229" s="6">
        <v>2000</v>
      </c>
      <c r="C229" s="324"/>
      <c r="D229" s="7" t="s">
        <v>1130</v>
      </c>
      <c r="E229" s="7" t="s">
        <v>1131</v>
      </c>
      <c r="F229" s="7" t="s">
        <v>1132</v>
      </c>
      <c r="G229" s="7" t="s">
        <v>1131</v>
      </c>
      <c r="H229" s="6">
        <v>1112053301</v>
      </c>
      <c r="I229" s="7" t="s">
        <v>1012</v>
      </c>
      <c r="J229" s="12" t="s">
        <v>787</v>
      </c>
      <c r="K229" s="12" t="s">
        <v>788</v>
      </c>
      <c r="L229" s="1">
        <v>85</v>
      </c>
      <c r="M229" s="12" t="s">
        <v>1835</v>
      </c>
      <c r="N229" s="13" t="s">
        <v>1013</v>
      </c>
    </row>
    <row r="230" spans="1:14" ht="15.75" customHeight="1">
      <c r="A230" s="66">
        <v>227</v>
      </c>
      <c r="B230" s="6">
        <v>2000</v>
      </c>
      <c r="C230" s="416" t="s">
        <v>1133</v>
      </c>
      <c r="D230" s="7" t="s">
        <v>1134</v>
      </c>
      <c r="E230" s="7" t="s">
        <v>1135</v>
      </c>
      <c r="F230" s="7" t="s">
        <v>1136</v>
      </c>
      <c r="G230" s="7" t="s">
        <v>1137</v>
      </c>
      <c r="H230" s="6" t="s">
        <v>1138</v>
      </c>
      <c r="I230" s="7" t="s">
        <v>1139</v>
      </c>
      <c r="J230" s="12" t="s">
        <v>787</v>
      </c>
      <c r="K230" s="37" t="s">
        <v>2303</v>
      </c>
      <c r="L230" s="1">
        <v>85</v>
      </c>
      <c r="M230" s="37" t="s">
        <v>1835</v>
      </c>
      <c r="N230" s="13" t="s">
        <v>1140</v>
      </c>
    </row>
    <row r="231" spans="1:14" ht="15.75" customHeight="1">
      <c r="A231" s="66">
        <v>228</v>
      </c>
      <c r="B231" s="6">
        <v>2000</v>
      </c>
      <c r="C231" s="323"/>
      <c r="D231" s="7" t="s">
        <v>1141</v>
      </c>
      <c r="E231" s="7" t="s">
        <v>1142</v>
      </c>
      <c r="F231" s="7" t="s">
        <v>1143</v>
      </c>
      <c r="G231" s="7" t="s">
        <v>1144</v>
      </c>
      <c r="H231" s="6">
        <v>1112012002</v>
      </c>
      <c r="I231" s="7" t="s">
        <v>1139</v>
      </c>
      <c r="J231" s="12" t="s">
        <v>787</v>
      </c>
      <c r="K231" s="37" t="s">
        <v>2303</v>
      </c>
      <c r="L231" s="1">
        <v>85</v>
      </c>
      <c r="M231" s="37" t="s">
        <v>1835</v>
      </c>
      <c r="N231" s="13" t="s">
        <v>1140</v>
      </c>
    </row>
    <row r="232" spans="1:14" ht="15.75" customHeight="1">
      <c r="A232" s="66">
        <v>229</v>
      </c>
      <c r="B232" s="6">
        <v>2000</v>
      </c>
      <c r="C232" s="323"/>
      <c r="D232" s="7" t="s">
        <v>1145</v>
      </c>
      <c r="E232" s="7" t="s">
        <v>1146</v>
      </c>
      <c r="F232" s="7" t="s">
        <v>1147</v>
      </c>
      <c r="G232" s="7" t="s">
        <v>1148</v>
      </c>
      <c r="H232" s="6">
        <v>1112012003</v>
      </c>
      <c r="I232" s="7" t="s">
        <v>1139</v>
      </c>
      <c r="J232" s="12" t="s">
        <v>787</v>
      </c>
      <c r="K232" s="37" t="s">
        <v>2303</v>
      </c>
      <c r="L232" s="1">
        <v>85</v>
      </c>
      <c r="M232" s="37" t="s">
        <v>1835</v>
      </c>
      <c r="N232" s="13" t="s">
        <v>1140</v>
      </c>
    </row>
    <row r="233" spans="1:14" ht="15.75" customHeight="1">
      <c r="A233" s="66">
        <v>230</v>
      </c>
      <c r="B233" s="6">
        <v>2000</v>
      </c>
      <c r="C233" s="323"/>
      <c r="D233" s="7" t="s">
        <v>1149</v>
      </c>
      <c r="E233" s="7" t="s">
        <v>1150</v>
      </c>
      <c r="F233" s="7" t="s">
        <v>1151</v>
      </c>
      <c r="G233" s="7" t="s">
        <v>1152</v>
      </c>
      <c r="H233" s="6">
        <v>1112012004</v>
      </c>
      <c r="I233" s="7" t="s">
        <v>1139</v>
      </c>
      <c r="J233" s="12" t="s">
        <v>787</v>
      </c>
      <c r="K233" s="37" t="s">
        <v>2303</v>
      </c>
      <c r="L233" s="1">
        <v>85</v>
      </c>
      <c r="M233" s="37" t="s">
        <v>1835</v>
      </c>
      <c r="N233" s="13" t="s">
        <v>1140</v>
      </c>
    </row>
    <row r="234" spans="1:14" ht="15.75" customHeight="1">
      <c r="A234" s="66">
        <v>231</v>
      </c>
      <c r="B234" s="6">
        <v>2000</v>
      </c>
      <c r="C234" s="323"/>
      <c r="D234" s="7" t="s">
        <v>1153</v>
      </c>
      <c r="E234" s="7" t="s">
        <v>1154</v>
      </c>
      <c r="F234" s="7" t="s">
        <v>1155</v>
      </c>
      <c r="G234" s="7" t="s">
        <v>1156</v>
      </c>
      <c r="H234" s="6">
        <v>1112012005</v>
      </c>
      <c r="I234" s="7" t="s">
        <v>1139</v>
      </c>
      <c r="J234" s="12" t="s">
        <v>787</v>
      </c>
      <c r="K234" s="37" t="s">
        <v>2303</v>
      </c>
      <c r="L234" s="1">
        <v>85</v>
      </c>
      <c r="M234" s="37" t="s">
        <v>1835</v>
      </c>
      <c r="N234" s="13" t="s">
        <v>1140</v>
      </c>
    </row>
    <row r="235" spans="1:14" ht="15.75" customHeight="1">
      <c r="A235" s="66">
        <v>232</v>
      </c>
      <c r="B235" s="6">
        <v>2000</v>
      </c>
      <c r="C235" s="323"/>
      <c r="D235" s="7" t="s">
        <v>1157</v>
      </c>
      <c r="E235" s="7" t="s">
        <v>1158</v>
      </c>
      <c r="F235" s="7" t="s">
        <v>1159</v>
      </c>
      <c r="G235" s="7" t="s">
        <v>1160</v>
      </c>
      <c r="H235" s="6">
        <v>1112012006</v>
      </c>
      <c r="I235" s="7" t="s">
        <v>1139</v>
      </c>
      <c r="J235" s="12" t="s">
        <v>787</v>
      </c>
      <c r="K235" s="37" t="s">
        <v>2303</v>
      </c>
      <c r="L235" s="1">
        <v>85</v>
      </c>
      <c r="M235" s="37" t="s">
        <v>1835</v>
      </c>
      <c r="N235" s="13" t="s">
        <v>1140</v>
      </c>
    </row>
    <row r="236" spans="1:14" ht="15.75" customHeight="1">
      <c r="A236" s="66">
        <v>233</v>
      </c>
      <c r="B236" s="6">
        <v>2000</v>
      </c>
      <c r="C236" s="323"/>
      <c r="D236" s="7" t="s">
        <v>1161</v>
      </c>
      <c r="E236" s="7" t="s">
        <v>1162</v>
      </c>
      <c r="F236" s="7" t="s">
        <v>1163</v>
      </c>
      <c r="G236" s="7" t="s">
        <v>1164</v>
      </c>
      <c r="H236" s="6">
        <v>1112012001</v>
      </c>
      <c r="I236" s="7" t="s">
        <v>1139</v>
      </c>
      <c r="J236" s="12" t="s">
        <v>787</v>
      </c>
      <c r="K236" s="37" t="s">
        <v>2303</v>
      </c>
      <c r="L236" s="1">
        <v>85</v>
      </c>
      <c r="M236" s="37" t="s">
        <v>1835</v>
      </c>
      <c r="N236" s="13" t="s">
        <v>1140</v>
      </c>
    </row>
    <row r="237" spans="1:14" ht="15.75" customHeight="1">
      <c r="A237" s="66">
        <v>234</v>
      </c>
      <c r="B237" s="6">
        <v>2000</v>
      </c>
      <c r="C237" s="324"/>
      <c r="D237" s="7" t="s">
        <v>1165</v>
      </c>
      <c r="E237" s="7" t="s">
        <v>1166</v>
      </c>
      <c r="F237" s="7" t="s">
        <v>1167</v>
      </c>
      <c r="G237" s="7" t="s">
        <v>1168</v>
      </c>
      <c r="H237" s="6" t="s">
        <v>1169</v>
      </c>
      <c r="I237" s="7" t="s">
        <v>1139</v>
      </c>
      <c r="J237" s="12" t="s">
        <v>787</v>
      </c>
      <c r="K237" s="37" t="s">
        <v>2303</v>
      </c>
      <c r="L237" s="1">
        <v>85</v>
      </c>
      <c r="M237" s="37" t="s">
        <v>1835</v>
      </c>
      <c r="N237" s="13" t="s">
        <v>1140</v>
      </c>
    </row>
    <row r="238" spans="1:14" ht="15.75" customHeight="1">
      <c r="A238" s="66">
        <v>235</v>
      </c>
      <c r="B238" s="6">
        <v>2000</v>
      </c>
      <c r="C238" s="416" t="s">
        <v>1170</v>
      </c>
      <c r="D238" s="24" t="s">
        <v>1171</v>
      </c>
      <c r="E238" s="24" t="s">
        <v>1172</v>
      </c>
      <c r="F238" s="7" t="s">
        <v>1173</v>
      </c>
      <c r="G238" s="7" t="s">
        <v>1172</v>
      </c>
      <c r="H238" s="49">
        <v>1112014201</v>
      </c>
      <c r="I238" s="7" t="s">
        <v>1139</v>
      </c>
      <c r="J238" s="189" t="s">
        <v>787</v>
      </c>
      <c r="K238" s="51" t="s">
        <v>2304</v>
      </c>
      <c r="L238" s="1">
        <v>85</v>
      </c>
      <c r="M238" s="37" t="s">
        <v>2305</v>
      </c>
      <c r="N238" s="13" t="s">
        <v>1175</v>
      </c>
    </row>
    <row r="239" spans="1:14" ht="15.75" customHeight="1">
      <c r="A239" s="66">
        <v>236</v>
      </c>
      <c r="B239" s="6">
        <v>2000</v>
      </c>
      <c r="C239" s="323"/>
      <c r="D239" s="24" t="s">
        <v>1176</v>
      </c>
      <c r="E239" s="24" t="s">
        <v>1177</v>
      </c>
      <c r="F239" s="7" t="s">
        <v>1178</v>
      </c>
      <c r="G239" s="7" t="s">
        <v>1177</v>
      </c>
      <c r="H239" s="49">
        <v>1112014202</v>
      </c>
      <c r="I239" s="7" t="s">
        <v>1139</v>
      </c>
      <c r="J239" s="189" t="s">
        <v>787</v>
      </c>
      <c r="K239" s="51" t="s">
        <v>2304</v>
      </c>
      <c r="L239" s="1">
        <v>85</v>
      </c>
      <c r="M239" s="37" t="s">
        <v>2305</v>
      </c>
      <c r="N239" s="13" t="s">
        <v>1175</v>
      </c>
    </row>
    <row r="240" spans="1:14" ht="15.75" customHeight="1">
      <c r="A240" s="66">
        <v>237</v>
      </c>
      <c r="B240" s="6">
        <v>2000</v>
      </c>
      <c r="C240" s="323"/>
      <c r="D240" s="24" t="s">
        <v>1180</v>
      </c>
      <c r="E240" s="24" t="s">
        <v>1181</v>
      </c>
      <c r="F240" s="7" t="s">
        <v>1182</v>
      </c>
      <c r="G240" s="7" t="s">
        <v>1181</v>
      </c>
      <c r="H240" s="49">
        <v>1112014203</v>
      </c>
      <c r="I240" s="7" t="s">
        <v>1139</v>
      </c>
      <c r="J240" s="37" t="s">
        <v>787</v>
      </c>
      <c r="K240" s="37" t="s">
        <v>2303</v>
      </c>
      <c r="L240" s="1">
        <v>85</v>
      </c>
      <c r="M240" s="37" t="s">
        <v>1835</v>
      </c>
      <c r="N240" s="13" t="s">
        <v>1175</v>
      </c>
    </row>
    <row r="241" spans="1:14" ht="15.75" customHeight="1">
      <c r="A241" s="66">
        <v>238</v>
      </c>
      <c r="B241" s="6">
        <v>2000</v>
      </c>
      <c r="C241" s="323"/>
      <c r="D241" s="24" t="s">
        <v>1184</v>
      </c>
      <c r="E241" s="24" t="s">
        <v>1185</v>
      </c>
      <c r="F241" s="7" t="s">
        <v>1186</v>
      </c>
      <c r="G241" s="7" t="s">
        <v>1185</v>
      </c>
      <c r="H241" s="49">
        <v>1112014204</v>
      </c>
      <c r="I241" s="7" t="s">
        <v>1139</v>
      </c>
      <c r="J241" s="37" t="s">
        <v>787</v>
      </c>
      <c r="K241" s="37" t="s">
        <v>2303</v>
      </c>
      <c r="L241" s="1">
        <v>85</v>
      </c>
      <c r="M241" s="37" t="s">
        <v>1835</v>
      </c>
      <c r="N241" s="13" t="s">
        <v>1175</v>
      </c>
    </row>
    <row r="242" spans="1:14" ht="15.75" customHeight="1">
      <c r="A242" s="66">
        <v>239</v>
      </c>
      <c r="B242" s="6">
        <v>2000</v>
      </c>
      <c r="C242" s="323"/>
      <c r="D242" s="24" t="s">
        <v>1188</v>
      </c>
      <c r="E242" s="24" t="s">
        <v>1189</v>
      </c>
      <c r="F242" s="7" t="s">
        <v>1190</v>
      </c>
      <c r="G242" s="7" t="s">
        <v>1189</v>
      </c>
      <c r="H242" s="49">
        <v>1112014205</v>
      </c>
      <c r="I242" s="7" t="s">
        <v>1139</v>
      </c>
      <c r="J242" s="37" t="s">
        <v>787</v>
      </c>
      <c r="K242" s="37" t="s">
        <v>2303</v>
      </c>
      <c r="L242" s="1">
        <v>85</v>
      </c>
      <c r="M242" s="37" t="s">
        <v>1835</v>
      </c>
      <c r="N242" s="13" t="s">
        <v>1175</v>
      </c>
    </row>
    <row r="243" spans="1:14" ht="15.75" customHeight="1">
      <c r="A243" s="66">
        <v>240</v>
      </c>
      <c r="B243" s="6">
        <v>2000</v>
      </c>
      <c r="C243" s="323"/>
      <c r="D243" s="24" t="s">
        <v>1192</v>
      </c>
      <c r="E243" s="24" t="s">
        <v>1193</v>
      </c>
      <c r="F243" s="7" t="s">
        <v>1194</v>
      </c>
      <c r="G243" s="7" t="s">
        <v>1193</v>
      </c>
      <c r="H243" s="49">
        <v>1112014206</v>
      </c>
      <c r="I243" s="7" t="s">
        <v>1139</v>
      </c>
      <c r="J243" s="189" t="s">
        <v>787</v>
      </c>
      <c r="K243" s="51" t="s">
        <v>2304</v>
      </c>
      <c r="L243" s="1">
        <v>85</v>
      </c>
      <c r="M243" s="37" t="s">
        <v>2305</v>
      </c>
      <c r="N243" s="13" t="s">
        <v>1175</v>
      </c>
    </row>
    <row r="244" spans="1:14" ht="15.75" customHeight="1">
      <c r="A244" s="66">
        <v>241</v>
      </c>
      <c r="B244" s="6">
        <v>2000</v>
      </c>
      <c r="C244" s="323"/>
      <c r="D244" s="24" t="s">
        <v>1196</v>
      </c>
      <c r="E244" s="24" t="s">
        <v>1197</v>
      </c>
      <c r="F244" s="7" t="s">
        <v>1198</v>
      </c>
      <c r="G244" s="7" t="s">
        <v>1197</v>
      </c>
      <c r="H244" s="49">
        <v>1112014002</v>
      </c>
      <c r="I244" s="7" t="s">
        <v>1139</v>
      </c>
      <c r="J244" s="189" t="s">
        <v>787</v>
      </c>
      <c r="K244" s="51" t="s">
        <v>2304</v>
      </c>
      <c r="L244" s="1">
        <v>85</v>
      </c>
      <c r="M244" s="37" t="s">
        <v>2305</v>
      </c>
      <c r="N244" s="13" t="s">
        <v>1175</v>
      </c>
    </row>
    <row r="245" spans="1:14" ht="15.75" customHeight="1">
      <c r="A245" s="66">
        <v>242</v>
      </c>
      <c r="B245" s="6">
        <v>2000</v>
      </c>
      <c r="C245" s="323"/>
      <c r="D245" s="24" t="s">
        <v>1200</v>
      </c>
      <c r="E245" s="24" t="s">
        <v>1201</v>
      </c>
      <c r="F245" s="7" t="s">
        <v>1202</v>
      </c>
      <c r="G245" s="7" t="s">
        <v>1201</v>
      </c>
      <c r="H245" s="49">
        <v>1112014003</v>
      </c>
      <c r="I245" s="7" t="s">
        <v>1139</v>
      </c>
      <c r="J245" s="189" t="s">
        <v>787</v>
      </c>
      <c r="K245" s="51" t="s">
        <v>2304</v>
      </c>
      <c r="L245" s="1">
        <v>85</v>
      </c>
      <c r="M245" s="37" t="s">
        <v>2305</v>
      </c>
      <c r="N245" s="13" t="s">
        <v>1175</v>
      </c>
    </row>
    <row r="246" spans="1:14" ht="15.75" customHeight="1">
      <c r="A246" s="66">
        <v>243</v>
      </c>
      <c r="B246" s="6">
        <v>2000</v>
      </c>
      <c r="C246" s="323"/>
      <c r="D246" s="24" t="s">
        <v>1203</v>
      </c>
      <c r="E246" s="24" t="s">
        <v>1204</v>
      </c>
      <c r="F246" s="7" t="s">
        <v>1205</v>
      </c>
      <c r="G246" s="7" t="s">
        <v>1204</v>
      </c>
      <c r="H246" s="49">
        <v>1112014004</v>
      </c>
      <c r="I246" s="7" t="s">
        <v>1139</v>
      </c>
      <c r="J246" s="189" t="s">
        <v>787</v>
      </c>
      <c r="K246" s="51" t="s">
        <v>2304</v>
      </c>
      <c r="L246" s="1">
        <v>85</v>
      </c>
      <c r="M246" s="37" t="s">
        <v>2305</v>
      </c>
      <c r="N246" s="13" t="s">
        <v>1175</v>
      </c>
    </row>
    <row r="247" spans="1:14" ht="15.75" customHeight="1">
      <c r="A247" s="66">
        <v>244</v>
      </c>
      <c r="B247" s="6">
        <v>2000</v>
      </c>
      <c r="C247" s="323"/>
      <c r="D247" s="24" t="s">
        <v>1206</v>
      </c>
      <c r="E247" s="24" t="s">
        <v>1207</v>
      </c>
      <c r="F247" s="7" t="s">
        <v>1208</v>
      </c>
      <c r="G247" s="7" t="s">
        <v>1207</v>
      </c>
      <c r="H247" s="49">
        <v>1112014005</v>
      </c>
      <c r="I247" s="7" t="s">
        <v>1139</v>
      </c>
      <c r="J247" s="189" t="s">
        <v>787</v>
      </c>
      <c r="K247" s="51" t="s">
        <v>2304</v>
      </c>
      <c r="L247" s="1">
        <v>85</v>
      </c>
      <c r="M247" s="37" t="s">
        <v>2305</v>
      </c>
      <c r="N247" s="13" t="s">
        <v>1175</v>
      </c>
    </row>
    <row r="248" spans="1:14" ht="15.75" customHeight="1">
      <c r="A248" s="66">
        <v>245</v>
      </c>
      <c r="B248" s="6">
        <v>2000</v>
      </c>
      <c r="C248" s="323"/>
      <c r="D248" s="24" t="s">
        <v>1209</v>
      </c>
      <c r="E248" s="24" t="s">
        <v>1210</v>
      </c>
      <c r="F248" s="7" t="s">
        <v>1211</v>
      </c>
      <c r="G248" s="7" t="s">
        <v>1210</v>
      </c>
      <c r="H248" s="49">
        <v>1112014006</v>
      </c>
      <c r="I248" s="7" t="s">
        <v>1139</v>
      </c>
      <c r="J248" s="189" t="s">
        <v>787</v>
      </c>
      <c r="K248" s="51" t="s">
        <v>2304</v>
      </c>
      <c r="L248" s="1">
        <v>85</v>
      </c>
      <c r="M248" s="37" t="s">
        <v>2305</v>
      </c>
      <c r="N248" s="13" t="s">
        <v>1175</v>
      </c>
    </row>
    <row r="249" spans="1:14" ht="15.75" customHeight="1">
      <c r="A249" s="66">
        <v>246</v>
      </c>
      <c r="B249" s="6">
        <v>2000</v>
      </c>
      <c r="C249" s="323"/>
      <c r="D249" s="24" t="s">
        <v>1212</v>
      </c>
      <c r="E249" s="24" t="s">
        <v>1213</v>
      </c>
      <c r="F249" s="7" t="s">
        <v>1214</v>
      </c>
      <c r="G249" s="7" t="s">
        <v>1213</v>
      </c>
      <c r="H249" s="49">
        <v>1112014007</v>
      </c>
      <c r="I249" s="7" t="s">
        <v>1139</v>
      </c>
      <c r="J249" s="189" t="s">
        <v>787</v>
      </c>
      <c r="K249" s="51" t="s">
        <v>2304</v>
      </c>
      <c r="L249" s="1">
        <v>85</v>
      </c>
      <c r="M249" s="37" t="s">
        <v>2305</v>
      </c>
      <c r="N249" s="13" t="s">
        <v>1175</v>
      </c>
    </row>
    <row r="250" spans="1:14" ht="15.75" customHeight="1">
      <c r="A250" s="66">
        <v>247</v>
      </c>
      <c r="B250" s="6">
        <v>2000</v>
      </c>
      <c r="C250" s="323"/>
      <c r="D250" s="24" t="s">
        <v>1215</v>
      </c>
      <c r="E250" s="24" t="s">
        <v>1216</v>
      </c>
      <c r="F250" s="7" t="s">
        <v>1217</v>
      </c>
      <c r="G250" s="7" t="s">
        <v>1216</v>
      </c>
      <c r="H250" s="49">
        <v>1112014008</v>
      </c>
      <c r="I250" s="7" t="s">
        <v>1139</v>
      </c>
      <c r="J250" s="189" t="s">
        <v>787</v>
      </c>
      <c r="K250" s="51" t="s">
        <v>2304</v>
      </c>
      <c r="L250" s="1">
        <v>85</v>
      </c>
      <c r="M250" s="37" t="s">
        <v>2305</v>
      </c>
      <c r="N250" s="13" t="s">
        <v>1175</v>
      </c>
    </row>
    <row r="251" spans="1:14" ht="15.75" customHeight="1">
      <c r="A251" s="66">
        <v>248</v>
      </c>
      <c r="B251" s="6">
        <v>2000</v>
      </c>
      <c r="C251" s="323"/>
      <c r="D251" s="24" t="s">
        <v>1218</v>
      </c>
      <c r="E251" s="24" t="s">
        <v>1219</v>
      </c>
      <c r="F251" s="7" t="s">
        <v>1220</v>
      </c>
      <c r="G251" s="7" t="s">
        <v>1219</v>
      </c>
      <c r="H251" s="49">
        <v>1112014009</v>
      </c>
      <c r="I251" s="7" t="s">
        <v>1139</v>
      </c>
      <c r="J251" s="189" t="s">
        <v>787</v>
      </c>
      <c r="K251" s="51" t="s">
        <v>2304</v>
      </c>
      <c r="L251" s="1">
        <v>85</v>
      </c>
      <c r="M251" s="37" t="s">
        <v>2305</v>
      </c>
      <c r="N251" s="13" t="s">
        <v>1175</v>
      </c>
    </row>
    <row r="252" spans="1:14" ht="15.75" customHeight="1">
      <c r="A252" s="66">
        <v>249</v>
      </c>
      <c r="B252" s="6">
        <v>2000</v>
      </c>
      <c r="C252" s="323"/>
      <c r="D252" s="24" t="s">
        <v>1222</v>
      </c>
      <c r="E252" s="24" t="s">
        <v>1223</v>
      </c>
      <c r="F252" s="7" t="s">
        <v>1224</v>
      </c>
      <c r="G252" s="7" t="s">
        <v>1223</v>
      </c>
      <c r="H252" s="49">
        <v>1112014101</v>
      </c>
      <c r="I252" s="7" t="s">
        <v>1139</v>
      </c>
      <c r="J252" s="37" t="s">
        <v>787</v>
      </c>
      <c r="K252" s="37" t="s">
        <v>2303</v>
      </c>
      <c r="L252" s="1">
        <v>85</v>
      </c>
      <c r="M252" s="37" t="s">
        <v>1835</v>
      </c>
      <c r="N252" s="13" t="s">
        <v>1175</v>
      </c>
    </row>
    <row r="253" spans="1:14" ht="15.75" customHeight="1">
      <c r="A253" s="66">
        <v>250</v>
      </c>
      <c r="B253" s="6">
        <v>2000</v>
      </c>
      <c r="C253" s="323"/>
      <c r="D253" s="24" t="s">
        <v>1226</v>
      </c>
      <c r="E253" s="24" t="s">
        <v>1227</v>
      </c>
      <c r="F253" s="7" t="s">
        <v>1228</v>
      </c>
      <c r="G253" s="7" t="s">
        <v>1227</v>
      </c>
      <c r="H253" s="49">
        <v>1112014102</v>
      </c>
      <c r="I253" s="7" t="s">
        <v>1139</v>
      </c>
      <c r="J253" s="189" t="s">
        <v>787</v>
      </c>
      <c r="K253" s="51" t="s">
        <v>2304</v>
      </c>
      <c r="L253" s="1">
        <v>85</v>
      </c>
      <c r="M253" s="37" t="s">
        <v>2305</v>
      </c>
      <c r="N253" s="13" t="s">
        <v>1175</v>
      </c>
    </row>
    <row r="254" spans="1:14" ht="15.75" customHeight="1">
      <c r="A254" s="66">
        <v>251</v>
      </c>
      <c r="B254" s="6">
        <v>2000</v>
      </c>
      <c r="C254" s="324"/>
      <c r="D254" s="24" t="s">
        <v>1230</v>
      </c>
      <c r="E254" s="24" t="s">
        <v>1231</v>
      </c>
      <c r="F254" s="7" t="s">
        <v>1232</v>
      </c>
      <c r="G254" s="7" t="s">
        <v>1231</v>
      </c>
      <c r="H254" s="49">
        <v>1112014103</v>
      </c>
      <c r="I254" s="7" t="s">
        <v>1139</v>
      </c>
      <c r="J254" s="189" t="s">
        <v>787</v>
      </c>
      <c r="K254" s="51" t="s">
        <v>2304</v>
      </c>
      <c r="L254" s="1">
        <v>85</v>
      </c>
      <c r="M254" s="37" t="s">
        <v>2305</v>
      </c>
      <c r="N254" s="13" t="s">
        <v>1175</v>
      </c>
    </row>
    <row r="255" spans="1:14" ht="15.75" customHeight="1">
      <c r="A255" s="66">
        <v>252</v>
      </c>
      <c r="B255" s="6">
        <v>2000</v>
      </c>
      <c r="C255" s="416" t="s">
        <v>1246</v>
      </c>
      <c r="D255" s="7" t="s">
        <v>1247</v>
      </c>
      <c r="E255" s="7" t="s">
        <v>1248</v>
      </c>
      <c r="F255" s="7" t="s">
        <v>1236</v>
      </c>
      <c r="G255" s="7" t="s">
        <v>1248</v>
      </c>
      <c r="H255" s="6" t="s">
        <v>1249</v>
      </c>
      <c r="I255" s="7" t="s">
        <v>1139</v>
      </c>
      <c r="J255" s="12" t="s">
        <v>787</v>
      </c>
      <c r="K255" s="190">
        <v>0.70833333333333337</v>
      </c>
      <c r="L255" s="1">
        <v>85</v>
      </c>
      <c r="M255" s="53" t="s">
        <v>2305</v>
      </c>
      <c r="N255" s="13" t="s">
        <v>1175</v>
      </c>
    </row>
    <row r="256" spans="1:14" ht="15.75" customHeight="1">
      <c r="A256" s="66">
        <v>253</v>
      </c>
      <c r="B256" s="6">
        <v>2000</v>
      </c>
      <c r="C256" s="323"/>
      <c r="D256" s="7" t="s">
        <v>1250</v>
      </c>
      <c r="E256" s="7" t="s">
        <v>1251</v>
      </c>
      <c r="F256" s="7" t="s">
        <v>1240</v>
      </c>
      <c r="G256" s="7" t="s">
        <v>1252</v>
      </c>
      <c r="H256" s="6" t="s">
        <v>1253</v>
      </c>
      <c r="I256" s="7" t="s">
        <v>1139</v>
      </c>
      <c r="J256" s="12" t="s">
        <v>787</v>
      </c>
      <c r="K256" s="53" t="s">
        <v>2306</v>
      </c>
      <c r="L256" s="1">
        <v>85</v>
      </c>
      <c r="M256" s="53" t="s">
        <v>1835</v>
      </c>
      <c r="N256" s="13" t="s">
        <v>1175</v>
      </c>
    </row>
    <row r="257" spans="1:14" ht="15.75" customHeight="1">
      <c r="A257" s="66">
        <v>254</v>
      </c>
      <c r="B257" s="6">
        <v>2000</v>
      </c>
      <c r="C257" s="323"/>
      <c r="D257" s="7" t="s">
        <v>1254</v>
      </c>
      <c r="E257" s="7" t="s">
        <v>1255</v>
      </c>
      <c r="F257" s="7" t="s">
        <v>1244</v>
      </c>
      <c r="G257" s="7" t="s">
        <v>1256</v>
      </c>
      <c r="H257" s="6" t="s">
        <v>1257</v>
      </c>
      <c r="I257" s="7" t="s">
        <v>1139</v>
      </c>
      <c r="J257" s="12" t="s">
        <v>787</v>
      </c>
      <c r="K257" s="53" t="s">
        <v>2306</v>
      </c>
      <c r="L257" s="1">
        <v>85</v>
      </c>
      <c r="M257" s="53" t="s">
        <v>1835</v>
      </c>
      <c r="N257" s="13" t="s">
        <v>1175</v>
      </c>
    </row>
    <row r="258" spans="1:14" ht="15.75" customHeight="1">
      <c r="A258" s="66">
        <v>255</v>
      </c>
      <c r="B258" s="6">
        <v>2000</v>
      </c>
      <c r="C258" s="323"/>
      <c r="D258" s="7" t="s">
        <v>1258</v>
      </c>
      <c r="E258" s="7" t="s">
        <v>1259</v>
      </c>
      <c r="F258" s="7" t="s">
        <v>1260</v>
      </c>
      <c r="G258" s="7" t="s">
        <v>1261</v>
      </c>
      <c r="H258" s="6">
        <v>1112015004</v>
      </c>
      <c r="I258" s="7" t="s">
        <v>1139</v>
      </c>
      <c r="J258" s="12" t="s">
        <v>787</v>
      </c>
      <c r="K258" s="190">
        <v>0.75</v>
      </c>
      <c r="L258" s="1">
        <v>85</v>
      </c>
      <c r="M258" s="53" t="s">
        <v>2305</v>
      </c>
      <c r="N258" s="13" t="s">
        <v>1175</v>
      </c>
    </row>
    <row r="259" spans="1:14" ht="15.75" customHeight="1">
      <c r="A259" s="66">
        <v>256</v>
      </c>
      <c r="B259" s="6">
        <v>2000</v>
      </c>
      <c r="C259" s="324"/>
      <c r="D259" s="7" t="s">
        <v>1262</v>
      </c>
      <c r="E259" s="7" t="s">
        <v>1263</v>
      </c>
      <c r="F259" s="7" t="s">
        <v>1264</v>
      </c>
      <c r="G259" s="7" t="s">
        <v>1265</v>
      </c>
      <c r="H259" s="6">
        <v>1112015005</v>
      </c>
      <c r="I259" s="7" t="s">
        <v>1139</v>
      </c>
      <c r="J259" s="12" t="s">
        <v>787</v>
      </c>
      <c r="K259" s="190">
        <v>0.75</v>
      </c>
      <c r="L259" s="1">
        <v>85</v>
      </c>
      <c r="M259" s="53" t="s">
        <v>2305</v>
      </c>
      <c r="N259" s="13" t="s">
        <v>1175</v>
      </c>
    </row>
    <row r="260" spans="1:14" ht="15.75" customHeight="1">
      <c r="A260" s="66">
        <v>257</v>
      </c>
      <c r="B260" s="6">
        <v>2000</v>
      </c>
      <c r="C260" s="416" t="s">
        <v>1266</v>
      </c>
      <c r="D260" s="7" t="s">
        <v>1267</v>
      </c>
      <c r="E260" s="7" t="s">
        <v>1268</v>
      </c>
      <c r="F260" s="7" t="s">
        <v>1025</v>
      </c>
      <c r="G260" s="7" t="s">
        <v>1268</v>
      </c>
      <c r="H260" s="6" t="s">
        <v>1269</v>
      </c>
      <c r="I260" s="7" t="s">
        <v>1139</v>
      </c>
      <c r="J260" s="12" t="s">
        <v>787</v>
      </c>
      <c r="K260" s="53" t="s">
        <v>2306</v>
      </c>
      <c r="L260" s="1">
        <v>85</v>
      </c>
      <c r="M260" s="53" t="s">
        <v>1835</v>
      </c>
      <c r="N260" s="13" t="s">
        <v>1175</v>
      </c>
    </row>
    <row r="261" spans="1:14" ht="15.75" customHeight="1">
      <c r="A261" s="66">
        <v>258</v>
      </c>
      <c r="B261" s="6">
        <v>2000</v>
      </c>
      <c r="C261" s="323"/>
      <c r="D261" s="7" t="s">
        <v>1270</v>
      </c>
      <c r="E261" s="7" t="s">
        <v>1271</v>
      </c>
      <c r="F261" s="7" t="s">
        <v>1030</v>
      </c>
      <c r="G261" s="7" t="s">
        <v>1271</v>
      </c>
      <c r="H261" s="6" t="s">
        <v>1272</v>
      </c>
      <c r="I261" s="7" t="s">
        <v>1139</v>
      </c>
      <c r="J261" s="12" t="s">
        <v>787</v>
      </c>
      <c r="K261" s="53" t="s">
        <v>2306</v>
      </c>
      <c r="L261" s="1">
        <v>85</v>
      </c>
      <c r="M261" s="53" t="s">
        <v>1835</v>
      </c>
      <c r="N261" s="13" t="s">
        <v>1175</v>
      </c>
    </row>
    <row r="262" spans="1:14" ht="15.75" customHeight="1">
      <c r="A262" s="66">
        <v>259</v>
      </c>
      <c r="B262" s="6">
        <v>2000</v>
      </c>
      <c r="C262" s="323"/>
      <c r="D262" s="7" t="s">
        <v>1273</v>
      </c>
      <c r="E262" s="7" t="s">
        <v>1274</v>
      </c>
      <c r="F262" s="7" t="s">
        <v>1275</v>
      </c>
      <c r="G262" s="7" t="s">
        <v>1274</v>
      </c>
      <c r="H262" s="6" t="s">
        <v>1276</v>
      </c>
      <c r="I262" s="7" t="s">
        <v>1139</v>
      </c>
      <c r="J262" s="12" t="s">
        <v>787</v>
      </c>
      <c r="K262" s="53" t="s">
        <v>2306</v>
      </c>
      <c r="L262" s="1">
        <v>85</v>
      </c>
      <c r="M262" s="53" t="s">
        <v>1835</v>
      </c>
      <c r="N262" s="13" t="s">
        <v>1175</v>
      </c>
    </row>
    <row r="263" spans="1:14" ht="15.75" customHeight="1">
      <c r="A263" s="66">
        <v>260</v>
      </c>
      <c r="B263" s="6">
        <v>2000</v>
      </c>
      <c r="C263" s="323"/>
      <c r="D263" s="7" t="s">
        <v>1277</v>
      </c>
      <c r="E263" s="7" t="s">
        <v>1278</v>
      </c>
      <c r="F263" s="7" t="s">
        <v>1279</v>
      </c>
      <c r="G263" s="7" t="s">
        <v>1278</v>
      </c>
      <c r="H263" s="6" t="s">
        <v>1281</v>
      </c>
      <c r="I263" s="7" t="s">
        <v>1139</v>
      </c>
      <c r="J263" s="12" t="s">
        <v>787</v>
      </c>
      <c r="K263" s="53" t="s">
        <v>2306</v>
      </c>
      <c r="L263" s="1">
        <v>85</v>
      </c>
      <c r="M263" s="53" t="s">
        <v>1835</v>
      </c>
      <c r="N263" s="13" t="s">
        <v>1175</v>
      </c>
    </row>
    <row r="264" spans="1:14" ht="15.75" customHeight="1">
      <c r="A264" s="66">
        <v>261</v>
      </c>
      <c r="B264" s="6">
        <v>2000</v>
      </c>
      <c r="C264" s="323"/>
      <c r="D264" s="7" t="s">
        <v>1282</v>
      </c>
      <c r="E264" s="7" t="s">
        <v>1283</v>
      </c>
      <c r="F264" s="7" t="s">
        <v>1284</v>
      </c>
      <c r="G264" s="7" t="s">
        <v>1283</v>
      </c>
      <c r="H264" s="6" t="s">
        <v>1286</v>
      </c>
      <c r="I264" s="7" t="s">
        <v>1139</v>
      </c>
      <c r="J264" s="12" t="s">
        <v>787</v>
      </c>
      <c r="K264" s="53" t="s">
        <v>2306</v>
      </c>
      <c r="L264" s="1">
        <v>85</v>
      </c>
      <c r="M264" s="53" t="s">
        <v>1835</v>
      </c>
      <c r="N264" s="13" t="s">
        <v>1175</v>
      </c>
    </row>
    <row r="265" spans="1:14" ht="15.75" customHeight="1">
      <c r="A265" s="66">
        <v>262</v>
      </c>
      <c r="B265" s="6">
        <v>2000</v>
      </c>
      <c r="C265" s="323"/>
      <c r="D265" s="7" t="s">
        <v>1287</v>
      </c>
      <c r="E265" s="7" t="s">
        <v>1288</v>
      </c>
      <c r="F265" s="7" t="s">
        <v>1289</v>
      </c>
      <c r="G265" s="7" t="s">
        <v>1288</v>
      </c>
      <c r="H265" s="6" t="s">
        <v>1291</v>
      </c>
      <c r="I265" s="7" t="s">
        <v>1139</v>
      </c>
      <c r="J265" s="12" t="s">
        <v>787</v>
      </c>
      <c r="K265" s="53" t="s">
        <v>2306</v>
      </c>
      <c r="L265" s="1">
        <v>85</v>
      </c>
      <c r="M265" s="53" t="s">
        <v>1835</v>
      </c>
      <c r="N265" s="13" t="s">
        <v>1175</v>
      </c>
    </row>
    <row r="266" spans="1:14" ht="15.75" customHeight="1">
      <c r="A266" s="66">
        <v>263</v>
      </c>
      <c r="B266" s="6">
        <v>2000</v>
      </c>
      <c r="C266" s="323"/>
      <c r="D266" s="7" t="s">
        <v>1292</v>
      </c>
      <c r="E266" s="7" t="s">
        <v>1293</v>
      </c>
      <c r="F266" s="7" t="s">
        <v>1294</v>
      </c>
      <c r="G266" s="7" t="s">
        <v>1293</v>
      </c>
      <c r="H266" s="6" t="s">
        <v>1296</v>
      </c>
      <c r="I266" s="7" t="s">
        <v>1139</v>
      </c>
      <c r="J266" s="12" t="s">
        <v>787</v>
      </c>
      <c r="K266" s="53" t="s">
        <v>2306</v>
      </c>
      <c r="L266" s="1">
        <v>85</v>
      </c>
      <c r="M266" s="53" t="s">
        <v>1835</v>
      </c>
      <c r="N266" s="13" t="s">
        <v>1175</v>
      </c>
    </row>
    <row r="267" spans="1:14" ht="15.75" customHeight="1">
      <c r="A267" s="66">
        <v>264</v>
      </c>
      <c r="B267" s="6">
        <v>2000</v>
      </c>
      <c r="C267" s="323"/>
      <c r="D267" s="7" t="s">
        <v>1297</v>
      </c>
      <c r="E267" s="7" t="s">
        <v>1298</v>
      </c>
      <c r="F267" s="7" t="s">
        <v>1299</v>
      </c>
      <c r="G267" s="7" t="s">
        <v>1298</v>
      </c>
      <c r="H267" s="6" t="s">
        <v>1301</v>
      </c>
      <c r="I267" s="7" t="s">
        <v>1139</v>
      </c>
      <c r="J267" s="12" t="s">
        <v>787</v>
      </c>
      <c r="K267" s="53" t="s">
        <v>2306</v>
      </c>
      <c r="L267" s="1">
        <v>85</v>
      </c>
      <c r="M267" s="53" t="s">
        <v>1835</v>
      </c>
      <c r="N267" s="13" t="s">
        <v>1175</v>
      </c>
    </row>
    <row r="268" spans="1:14" ht="15.75" customHeight="1">
      <c r="A268" s="66">
        <v>265</v>
      </c>
      <c r="B268" s="6">
        <v>2000</v>
      </c>
      <c r="C268" s="323"/>
      <c r="D268" s="7" t="s">
        <v>1302</v>
      </c>
      <c r="E268" s="7" t="s">
        <v>1303</v>
      </c>
      <c r="F268" s="7" t="s">
        <v>1304</v>
      </c>
      <c r="G268" s="7" t="s">
        <v>1303</v>
      </c>
      <c r="H268" s="6">
        <v>1112016009</v>
      </c>
      <c r="I268" s="7" t="s">
        <v>1139</v>
      </c>
      <c r="J268" s="12" t="s">
        <v>787</v>
      </c>
      <c r="K268" s="190">
        <v>0.75</v>
      </c>
      <c r="L268" s="1">
        <v>85</v>
      </c>
      <c r="M268" s="53" t="s">
        <v>2305</v>
      </c>
      <c r="N268" s="13" t="s">
        <v>1175</v>
      </c>
    </row>
    <row r="269" spans="1:14" ht="15.75" customHeight="1">
      <c r="A269" s="66">
        <v>266</v>
      </c>
      <c r="B269" s="6">
        <v>2000</v>
      </c>
      <c r="C269" s="323"/>
      <c r="D269" s="7" t="s">
        <v>1306</v>
      </c>
      <c r="E269" s="7" t="s">
        <v>1307</v>
      </c>
      <c r="F269" s="7" t="s">
        <v>1308</v>
      </c>
      <c r="G269" s="7" t="s">
        <v>1307</v>
      </c>
      <c r="H269" s="6">
        <v>1112016010</v>
      </c>
      <c r="I269" s="7" t="s">
        <v>1139</v>
      </c>
      <c r="J269" s="12" t="s">
        <v>787</v>
      </c>
      <c r="K269" s="190">
        <v>0.75</v>
      </c>
      <c r="L269" s="1">
        <v>85</v>
      </c>
      <c r="M269" s="53" t="s">
        <v>2305</v>
      </c>
      <c r="N269" s="13" t="s">
        <v>1175</v>
      </c>
    </row>
    <row r="270" spans="1:14" ht="15.75" customHeight="1">
      <c r="A270" s="66">
        <v>267</v>
      </c>
      <c r="B270" s="6">
        <v>2000</v>
      </c>
      <c r="C270" s="323"/>
      <c r="D270" s="7" t="s">
        <v>1310</v>
      </c>
      <c r="E270" s="7" t="s">
        <v>1311</v>
      </c>
      <c r="F270" s="7" t="s">
        <v>1312</v>
      </c>
      <c r="G270" s="7" t="s">
        <v>1311</v>
      </c>
      <c r="H270" s="6">
        <v>1112016011</v>
      </c>
      <c r="I270" s="7" t="s">
        <v>1139</v>
      </c>
      <c r="J270" s="12" t="s">
        <v>787</v>
      </c>
      <c r="K270" s="190">
        <v>0.83333333333333337</v>
      </c>
      <c r="L270" s="1">
        <v>85</v>
      </c>
      <c r="M270" s="53" t="s">
        <v>1835</v>
      </c>
      <c r="N270" s="13" t="s">
        <v>1175</v>
      </c>
    </row>
    <row r="271" spans="1:14" ht="15.75" customHeight="1">
      <c r="A271" s="66">
        <v>268</v>
      </c>
      <c r="B271" s="6">
        <v>2000</v>
      </c>
      <c r="C271" s="323"/>
      <c r="D271" s="7" t="s">
        <v>1314</v>
      </c>
      <c r="E271" s="7" t="s">
        <v>1315</v>
      </c>
      <c r="F271" s="7" t="s">
        <v>1316</v>
      </c>
      <c r="G271" s="7" t="s">
        <v>1315</v>
      </c>
      <c r="H271" s="6">
        <v>1112016012</v>
      </c>
      <c r="I271" s="7" t="s">
        <v>1139</v>
      </c>
      <c r="J271" s="12" t="s">
        <v>787</v>
      </c>
      <c r="K271" s="190">
        <v>0.83333333333333337</v>
      </c>
      <c r="L271" s="1">
        <v>85</v>
      </c>
      <c r="M271" s="53" t="s">
        <v>1835</v>
      </c>
      <c r="N271" s="13" t="s">
        <v>1175</v>
      </c>
    </row>
    <row r="272" spans="1:14" ht="15.75" customHeight="1">
      <c r="A272" s="66">
        <v>269</v>
      </c>
      <c r="B272" s="6">
        <v>2000</v>
      </c>
      <c r="C272" s="323"/>
      <c r="D272" s="7" t="s">
        <v>1318</v>
      </c>
      <c r="E272" s="7" t="s">
        <v>1319</v>
      </c>
      <c r="F272" s="7" t="s">
        <v>1320</v>
      </c>
      <c r="G272" s="7" t="s">
        <v>1319</v>
      </c>
      <c r="H272" s="6">
        <v>1112016013</v>
      </c>
      <c r="I272" s="7" t="s">
        <v>1139</v>
      </c>
      <c r="J272" s="12" t="s">
        <v>787</v>
      </c>
      <c r="K272" s="190">
        <v>0.83333333333333337</v>
      </c>
      <c r="L272" s="1">
        <v>85</v>
      </c>
      <c r="M272" s="53" t="s">
        <v>1835</v>
      </c>
      <c r="N272" s="13" t="s">
        <v>1175</v>
      </c>
    </row>
    <row r="273" spans="1:14" ht="15.75" customHeight="1">
      <c r="A273" s="66">
        <v>270</v>
      </c>
      <c r="B273" s="6">
        <v>2000</v>
      </c>
      <c r="C273" s="323"/>
      <c r="D273" s="7" t="s">
        <v>1322</v>
      </c>
      <c r="E273" s="7" t="s">
        <v>1323</v>
      </c>
      <c r="F273" s="7" t="s">
        <v>1324</v>
      </c>
      <c r="G273" s="7" t="s">
        <v>1323</v>
      </c>
      <c r="H273" s="6">
        <v>1112016014</v>
      </c>
      <c r="I273" s="7" t="s">
        <v>1139</v>
      </c>
      <c r="J273" s="12" t="s">
        <v>787</v>
      </c>
      <c r="K273" s="190">
        <v>0.83333333333333337</v>
      </c>
      <c r="L273" s="1">
        <v>85</v>
      </c>
      <c r="M273" s="53" t="s">
        <v>1835</v>
      </c>
      <c r="N273" s="13" t="s">
        <v>1175</v>
      </c>
    </row>
    <row r="274" spans="1:14" ht="15.75" customHeight="1">
      <c r="A274" s="66">
        <v>271</v>
      </c>
      <c r="B274" s="6">
        <v>2000</v>
      </c>
      <c r="C274" s="323"/>
      <c r="D274" s="7" t="s">
        <v>1326</v>
      </c>
      <c r="E274" s="7" t="s">
        <v>1327</v>
      </c>
      <c r="F274" s="7" t="s">
        <v>1328</v>
      </c>
      <c r="G274" s="7" t="s">
        <v>1327</v>
      </c>
      <c r="H274" s="6">
        <v>1112016015</v>
      </c>
      <c r="I274" s="7" t="s">
        <v>1139</v>
      </c>
      <c r="J274" s="12" t="s">
        <v>787</v>
      </c>
      <c r="K274" s="190">
        <v>0.83333333333333337</v>
      </c>
      <c r="L274" s="1">
        <v>85</v>
      </c>
      <c r="M274" s="53" t="s">
        <v>1835</v>
      </c>
      <c r="N274" s="13" t="s">
        <v>1175</v>
      </c>
    </row>
    <row r="275" spans="1:14" ht="15.75" customHeight="1">
      <c r="A275" s="66">
        <v>272</v>
      </c>
      <c r="B275" s="6">
        <v>2000</v>
      </c>
      <c r="C275" s="323"/>
      <c r="D275" s="7" t="s">
        <v>1330</v>
      </c>
      <c r="E275" s="7" t="s">
        <v>1331</v>
      </c>
      <c r="F275" s="7" t="s">
        <v>1332</v>
      </c>
      <c r="G275" s="7" t="s">
        <v>1331</v>
      </c>
      <c r="H275" s="6">
        <v>1112016016</v>
      </c>
      <c r="I275" s="7" t="s">
        <v>1139</v>
      </c>
      <c r="J275" s="12" t="s">
        <v>787</v>
      </c>
      <c r="K275" s="190">
        <v>0.83333333333333337</v>
      </c>
      <c r="L275" s="1">
        <v>85</v>
      </c>
      <c r="M275" s="53" t="s">
        <v>1835</v>
      </c>
      <c r="N275" s="13" t="s">
        <v>1175</v>
      </c>
    </row>
    <row r="276" spans="1:14" ht="15.75" customHeight="1">
      <c r="A276" s="66">
        <v>273</v>
      </c>
      <c r="B276" s="6">
        <v>2000</v>
      </c>
      <c r="C276" s="323"/>
      <c r="D276" s="7" t="s">
        <v>1334</v>
      </c>
      <c r="E276" s="7" t="s">
        <v>1335</v>
      </c>
      <c r="F276" s="7" t="s">
        <v>1336</v>
      </c>
      <c r="G276" s="7" t="s">
        <v>1335</v>
      </c>
      <c r="H276" s="6">
        <v>1112016017</v>
      </c>
      <c r="I276" s="7" t="s">
        <v>1139</v>
      </c>
      <c r="J276" s="12" t="s">
        <v>787</v>
      </c>
      <c r="K276" s="190">
        <v>0.83333333333333337</v>
      </c>
      <c r="L276" s="1">
        <v>85</v>
      </c>
      <c r="M276" s="53" t="s">
        <v>1835</v>
      </c>
      <c r="N276" s="13" t="s">
        <v>1175</v>
      </c>
    </row>
    <row r="277" spans="1:14" ht="15.75" customHeight="1">
      <c r="A277" s="66">
        <v>274</v>
      </c>
      <c r="B277" s="6">
        <v>2000</v>
      </c>
      <c r="C277" s="323"/>
      <c r="D277" s="7" t="s">
        <v>1338</v>
      </c>
      <c r="E277" s="7" t="s">
        <v>1339</v>
      </c>
      <c r="F277" s="7" t="s">
        <v>1340</v>
      </c>
      <c r="G277" s="7" t="s">
        <v>1339</v>
      </c>
      <c r="H277" s="6">
        <v>1112016018</v>
      </c>
      <c r="I277" s="7" t="s">
        <v>1139</v>
      </c>
      <c r="J277" s="12" t="s">
        <v>787</v>
      </c>
      <c r="K277" s="190">
        <v>0.83333333333333337</v>
      </c>
      <c r="L277" s="1">
        <v>85</v>
      </c>
      <c r="M277" s="53" t="s">
        <v>1835</v>
      </c>
      <c r="N277" s="13" t="s">
        <v>1175</v>
      </c>
    </row>
    <row r="278" spans="1:14" ht="15.75" customHeight="1">
      <c r="A278" s="66">
        <v>275</v>
      </c>
      <c r="B278" s="6">
        <v>2000</v>
      </c>
      <c r="C278" s="323"/>
      <c r="D278" s="7" t="s">
        <v>1342</v>
      </c>
      <c r="E278" s="7" t="s">
        <v>1343</v>
      </c>
      <c r="F278" s="7" t="s">
        <v>1344</v>
      </c>
      <c r="G278" s="7" t="s">
        <v>1343</v>
      </c>
      <c r="H278" s="6">
        <v>1112016019</v>
      </c>
      <c r="I278" s="7" t="s">
        <v>1139</v>
      </c>
      <c r="J278" s="12" t="s">
        <v>787</v>
      </c>
      <c r="K278" s="190">
        <v>0.75</v>
      </c>
      <c r="L278" s="1">
        <v>85</v>
      </c>
      <c r="M278" s="53" t="s">
        <v>2305</v>
      </c>
      <c r="N278" s="13" t="s">
        <v>1175</v>
      </c>
    </row>
    <row r="279" spans="1:14" ht="15.75" customHeight="1">
      <c r="A279" s="66">
        <v>276</v>
      </c>
      <c r="B279" s="6">
        <v>2000</v>
      </c>
      <c r="C279" s="324"/>
      <c r="D279" s="7" t="s">
        <v>1346</v>
      </c>
      <c r="E279" s="7" t="s">
        <v>1347</v>
      </c>
      <c r="F279" s="7" t="s">
        <v>1348</v>
      </c>
      <c r="G279" s="7" t="s">
        <v>1347</v>
      </c>
      <c r="H279" s="6">
        <v>1112016020</v>
      </c>
      <c r="I279" s="7" t="s">
        <v>1139</v>
      </c>
      <c r="J279" s="12" t="s">
        <v>2307</v>
      </c>
      <c r="K279" s="53" t="s">
        <v>2306</v>
      </c>
      <c r="L279" s="1">
        <v>85</v>
      </c>
      <c r="M279" s="53" t="s">
        <v>2305</v>
      </c>
      <c r="N279" s="13" t="s">
        <v>1175</v>
      </c>
    </row>
    <row r="280" spans="1:14" ht="15.75" customHeight="1">
      <c r="A280" s="66">
        <v>277</v>
      </c>
      <c r="B280" s="6">
        <v>2000</v>
      </c>
      <c r="C280" s="55" t="s">
        <v>1350</v>
      </c>
      <c r="D280" s="7" t="s">
        <v>1351</v>
      </c>
      <c r="E280" s="7" t="s">
        <v>1352</v>
      </c>
      <c r="F280" s="7" t="s">
        <v>1353</v>
      </c>
      <c r="G280" s="7" t="s">
        <v>1352</v>
      </c>
      <c r="H280" s="6" t="s">
        <v>1354</v>
      </c>
      <c r="I280" s="7" t="s">
        <v>1139</v>
      </c>
      <c r="J280" s="189" t="s">
        <v>787</v>
      </c>
      <c r="K280" s="51" t="s">
        <v>2304</v>
      </c>
      <c r="L280" s="1">
        <v>85</v>
      </c>
      <c r="M280" s="37" t="s">
        <v>2305</v>
      </c>
      <c r="N280" s="13" t="s">
        <v>1175</v>
      </c>
    </row>
    <row r="281" spans="1:14" ht="15.75" customHeight="1">
      <c r="A281" s="66">
        <v>278</v>
      </c>
      <c r="B281" s="6">
        <v>2000</v>
      </c>
      <c r="C281" s="416" t="s">
        <v>1355</v>
      </c>
      <c r="D281" s="7" t="s">
        <v>1356</v>
      </c>
      <c r="E281" s="7" t="s">
        <v>1357</v>
      </c>
      <c r="F281" s="7" t="s">
        <v>1358</v>
      </c>
      <c r="G281" s="7" t="s">
        <v>1357</v>
      </c>
      <c r="H281" s="6" t="s">
        <v>1359</v>
      </c>
      <c r="I281" s="7" t="s">
        <v>1360</v>
      </c>
      <c r="J281" s="12" t="s">
        <v>787</v>
      </c>
      <c r="K281" s="12" t="s">
        <v>2303</v>
      </c>
      <c r="L281" s="1">
        <v>85</v>
      </c>
      <c r="M281" s="12" t="s">
        <v>1835</v>
      </c>
      <c r="N281" s="13" t="s">
        <v>1361</v>
      </c>
    </row>
    <row r="282" spans="1:14" ht="15.75" customHeight="1">
      <c r="A282" s="66">
        <v>279</v>
      </c>
      <c r="B282" s="6">
        <v>2000</v>
      </c>
      <c r="C282" s="323"/>
      <c r="D282" s="7" t="s">
        <v>1362</v>
      </c>
      <c r="E282" s="7" t="s">
        <v>1363</v>
      </c>
      <c r="F282" s="7" t="s">
        <v>1364</v>
      </c>
      <c r="G282" s="7" t="s">
        <v>1363</v>
      </c>
      <c r="H282" s="6" t="s">
        <v>1365</v>
      </c>
      <c r="I282" s="7" t="s">
        <v>1360</v>
      </c>
      <c r="J282" s="12" t="s">
        <v>787</v>
      </c>
      <c r="K282" s="12" t="s">
        <v>2303</v>
      </c>
      <c r="L282" s="1">
        <v>85</v>
      </c>
      <c r="M282" s="12" t="s">
        <v>1835</v>
      </c>
      <c r="N282" s="13" t="s">
        <v>1361</v>
      </c>
    </row>
    <row r="283" spans="1:14" ht="15.75" customHeight="1">
      <c r="A283" s="66">
        <v>280</v>
      </c>
      <c r="B283" s="6">
        <v>2000</v>
      </c>
      <c r="C283" s="323"/>
      <c r="D283" s="7" t="s">
        <v>1366</v>
      </c>
      <c r="E283" s="7" t="s">
        <v>1367</v>
      </c>
      <c r="F283" s="7" t="s">
        <v>1368</v>
      </c>
      <c r="G283" s="7" t="s">
        <v>1367</v>
      </c>
      <c r="H283" s="6" t="s">
        <v>1369</v>
      </c>
      <c r="I283" s="7" t="s">
        <v>1360</v>
      </c>
      <c r="J283" s="12" t="s">
        <v>787</v>
      </c>
      <c r="K283" s="12" t="s">
        <v>2303</v>
      </c>
      <c r="L283" s="1">
        <v>85</v>
      </c>
      <c r="M283" s="12" t="s">
        <v>1835</v>
      </c>
      <c r="N283" s="13" t="s">
        <v>1361</v>
      </c>
    </row>
    <row r="284" spans="1:14" ht="15.75" customHeight="1">
      <c r="A284" s="66">
        <v>281</v>
      </c>
      <c r="B284" s="6">
        <v>2000</v>
      </c>
      <c r="C284" s="323"/>
      <c r="D284" s="7" t="s">
        <v>1370</v>
      </c>
      <c r="E284" s="7" t="s">
        <v>1371</v>
      </c>
      <c r="F284" s="7" t="s">
        <v>1372</v>
      </c>
      <c r="G284" s="7" t="s">
        <v>1371</v>
      </c>
      <c r="H284" s="6" t="s">
        <v>1373</v>
      </c>
      <c r="I284" s="7" t="s">
        <v>1360</v>
      </c>
      <c r="J284" s="12" t="s">
        <v>787</v>
      </c>
      <c r="K284" s="12" t="s">
        <v>2303</v>
      </c>
      <c r="L284" s="1">
        <v>85</v>
      </c>
      <c r="M284" s="12" t="s">
        <v>1835</v>
      </c>
      <c r="N284" s="13" t="s">
        <v>1361</v>
      </c>
    </row>
    <row r="285" spans="1:14" ht="15.75" customHeight="1">
      <c r="A285" s="66">
        <v>282</v>
      </c>
      <c r="B285" s="6">
        <v>2000</v>
      </c>
      <c r="C285" s="323"/>
      <c r="D285" s="7" t="s">
        <v>1374</v>
      </c>
      <c r="E285" s="7" t="s">
        <v>1375</v>
      </c>
      <c r="F285" s="7" t="s">
        <v>1376</v>
      </c>
      <c r="G285" s="7" t="s">
        <v>1375</v>
      </c>
      <c r="H285" s="6" t="s">
        <v>1377</v>
      </c>
      <c r="I285" s="7" t="s">
        <v>1360</v>
      </c>
      <c r="J285" s="12" t="s">
        <v>787</v>
      </c>
      <c r="K285" s="12" t="s">
        <v>788</v>
      </c>
      <c r="L285" s="1">
        <v>85</v>
      </c>
      <c r="M285" s="12" t="s">
        <v>2305</v>
      </c>
      <c r="N285" s="13" t="s">
        <v>1361</v>
      </c>
    </row>
    <row r="286" spans="1:14" ht="15.75" customHeight="1">
      <c r="A286" s="66">
        <v>283</v>
      </c>
      <c r="B286" s="6">
        <v>2000</v>
      </c>
      <c r="C286" s="323"/>
      <c r="D286" s="7" t="s">
        <v>1378</v>
      </c>
      <c r="E286" s="7" t="s">
        <v>1379</v>
      </c>
      <c r="F286" s="7" t="s">
        <v>1380</v>
      </c>
      <c r="G286" s="7" t="s">
        <v>1379</v>
      </c>
      <c r="H286" s="6" t="s">
        <v>1381</v>
      </c>
      <c r="I286" s="7" t="s">
        <v>1360</v>
      </c>
      <c r="J286" s="12" t="s">
        <v>787</v>
      </c>
      <c r="K286" s="12" t="s">
        <v>2303</v>
      </c>
      <c r="L286" s="1">
        <v>85</v>
      </c>
      <c r="M286" s="12" t="s">
        <v>1835</v>
      </c>
      <c r="N286" s="13" t="s">
        <v>1361</v>
      </c>
    </row>
    <row r="287" spans="1:14" ht="15.75" customHeight="1">
      <c r="A287" s="66">
        <v>284</v>
      </c>
      <c r="B287" s="6">
        <v>2000</v>
      </c>
      <c r="C287" s="323"/>
      <c r="D287" s="7" t="s">
        <v>1382</v>
      </c>
      <c r="E287" s="7" t="s">
        <v>1383</v>
      </c>
      <c r="F287" s="7" t="s">
        <v>1384</v>
      </c>
      <c r="G287" s="7" t="s">
        <v>1383</v>
      </c>
      <c r="H287" s="6" t="s">
        <v>1385</v>
      </c>
      <c r="I287" s="7" t="s">
        <v>1360</v>
      </c>
      <c r="J287" s="12" t="s">
        <v>787</v>
      </c>
      <c r="K287" s="12" t="s">
        <v>2303</v>
      </c>
      <c r="L287" s="1">
        <v>85</v>
      </c>
      <c r="M287" s="12" t="s">
        <v>1835</v>
      </c>
      <c r="N287" s="13" t="s">
        <v>1361</v>
      </c>
    </row>
    <row r="288" spans="1:14" ht="15.75" customHeight="1">
      <c r="A288" s="66">
        <v>285</v>
      </c>
      <c r="B288" s="6">
        <v>2000</v>
      </c>
      <c r="C288" s="323"/>
      <c r="D288" s="7" t="s">
        <v>1386</v>
      </c>
      <c r="E288" s="7" t="s">
        <v>1387</v>
      </c>
      <c r="F288" s="7" t="s">
        <v>1388</v>
      </c>
      <c r="G288" s="7" t="s">
        <v>1387</v>
      </c>
      <c r="H288" s="6" t="s">
        <v>1389</v>
      </c>
      <c r="I288" s="7" t="s">
        <v>1360</v>
      </c>
      <c r="J288" s="12" t="s">
        <v>787</v>
      </c>
      <c r="K288" s="12" t="s">
        <v>787</v>
      </c>
      <c r="L288" s="1">
        <v>85</v>
      </c>
      <c r="M288" s="12" t="s">
        <v>2308</v>
      </c>
      <c r="N288" s="13" t="s">
        <v>1361</v>
      </c>
    </row>
    <row r="289" spans="1:14" ht="15.75" customHeight="1">
      <c r="A289" s="66">
        <v>286</v>
      </c>
      <c r="B289" s="6">
        <v>2000</v>
      </c>
      <c r="C289" s="323"/>
      <c r="D289" s="7" t="s">
        <v>1390</v>
      </c>
      <c r="E289" s="7" t="s">
        <v>1391</v>
      </c>
      <c r="F289" s="7" t="s">
        <v>1392</v>
      </c>
      <c r="G289" s="7" t="s">
        <v>1391</v>
      </c>
      <c r="H289" s="6" t="s">
        <v>1393</v>
      </c>
      <c r="I289" s="7" t="s">
        <v>1360</v>
      </c>
      <c r="J289" s="12" t="s">
        <v>787</v>
      </c>
      <c r="K289" s="12" t="s">
        <v>787</v>
      </c>
      <c r="L289" s="1">
        <v>85</v>
      </c>
      <c r="M289" s="12" t="s">
        <v>2308</v>
      </c>
      <c r="N289" s="13" t="s">
        <v>1361</v>
      </c>
    </row>
    <row r="290" spans="1:14" ht="15.75" customHeight="1">
      <c r="A290" s="66">
        <v>287</v>
      </c>
      <c r="B290" s="6">
        <v>2000</v>
      </c>
      <c r="C290" s="323"/>
      <c r="D290" s="7" t="s">
        <v>1394</v>
      </c>
      <c r="E290" s="7" t="s">
        <v>1395</v>
      </c>
      <c r="F290" s="7" t="s">
        <v>1396</v>
      </c>
      <c r="G290" s="7" t="s">
        <v>1395</v>
      </c>
      <c r="H290" s="6" t="s">
        <v>1397</v>
      </c>
      <c r="I290" s="7" t="s">
        <v>1360</v>
      </c>
      <c r="J290" s="12" t="s">
        <v>787</v>
      </c>
      <c r="K290" s="12" t="s">
        <v>2303</v>
      </c>
      <c r="L290" s="1">
        <v>85</v>
      </c>
      <c r="M290" s="12" t="s">
        <v>1835</v>
      </c>
      <c r="N290" s="13" t="s">
        <v>1361</v>
      </c>
    </row>
    <row r="291" spans="1:14" ht="15.75" customHeight="1">
      <c r="A291" s="66">
        <v>288</v>
      </c>
      <c r="B291" s="6">
        <v>2000</v>
      </c>
      <c r="C291" s="323"/>
      <c r="D291" s="7" t="s">
        <v>1398</v>
      </c>
      <c r="E291" s="7" t="s">
        <v>1399</v>
      </c>
      <c r="F291" s="7" t="s">
        <v>1400</v>
      </c>
      <c r="G291" s="7" t="s">
        <v>1399</v>
      </c>
      <c r="H291" s="6" t="s">
        <v>1401</v>
      </c>
      <c r="I291" s="7" t="s">
        <v>1360</v>
      </c>
      <c r="J291" s="12" t="s">
        <v>787</v>
      </c>
      <c r="K291" s="12" t="s">
        <v>2303</v>
      </c>
      <c r="L291" s="1">
        <v>85</v>
      </c>
      <c r="M291" s="12" t="s">
        <v>1835</v>
      </c>
      <c r="N291" s="13" t="s">
        <v>1361</v>
      </c>
    </row>
    <row r="292" spans="1:14" ht="15.75" customHeight="1">
      <c r="A292" s="66">
        <v>289</v>
      </c>
      <c r="B292" s="6">
        <v>2000</v>
      </c>
      <c r="C292" s="323"/>
      <c r="D292" s="7" t="s">
        <v>1402</v>
      </c>
      <c r="E292" s="7" t="s">
        <v>1403</v>
      </c>
      <c r="F292" s="7" t="s">
        <v>1404</v>
      </c>
      <c r="G292" s="7" t="s">
        <v>1403</v>
      </c>
      <c r="H292" s="6" t="s">
        <v>1405</v>
      </c>
      <c r="I292" s="7" t="s">
        <v>1360</v>
      </c>
      <c r="J292" s="12" t="s">
        <v>787</v>
      </c>
      <c r="K292" s="12" t="s">
        <v>2303</v>
      </c>
      <c r="L292" s="1">
        <v>85</v>
      </c>
      <c r="M292" s="12" t="s">
        <v>1835</v>
      </c>
      <c r="N292" s="13" t="s">
        <v>1361</v>
      </c>
    </row>
    <row r="293" spans="1:14" ht="15.75" customHeight="1">
      <c r="A293" s="66">
        <v>290</v>
      </c>
      <c r="B293" s="6">
        <v>2000</v>
      </c>
      <c r="C293" s="323"/>
      <c r="D293" s="7" t="s">
        <v>1406</v>
      </c>
      <c r="E293" s="7" t="s">
        <v>1407</v>
      </c>
      <c r="F293" s="7" t="s">
        <v>1408</v>
      </c>
      <c r="G293" s="7" t="s">
        <v>1407</v>
      </c>
      <c r="H293" s="6" t="s">
        <v>1409</v>
      </c>
      <c r="I293" s="7" t="s">
        <v>1360</v>
      </c>
      <c r="J293" s="12" t="s">
        <v>787</v>
      </c>
      <c r="K293" s="12" t="s">
        <v>2303</v>
      </c>
      <c r="L293" s="1">
        <v>85</v>
      </c>
      <c r="M293" s="12" t="s">
        <v>1835</v>
      </c>
      <c r="N293" s="13" t="s">
        <v>1361</v>
      </c>
    </row>
    <row r="294" spans="1:14" ht="15.75" customHeight="1">
      <c r="A294" s="66">
        <v>291</v>
      </c>
      <c r="B294" s="6">
        <v>2000</v>
      </c>
      <c r="C294" s="323"/>
      <c r="D294" s="7" t="s">
        <v>1410</v>
      </c>
      <c r="E294" s="7" t="s">
        <v>1411</v>
      </c>
      <c r="F294" s="7" t="s">
        <v>1412</v>
      </c>
      <c r="G294" s="7" t="s">
        <v>1411</v>
      </c>
      <c r="H294" s="6" t="s">
        <v>1413</v>
      </c>
      <c r="I294" s="7" t="s">
        <v>1360</v>
      </c>
      <c r="J294" s="12" t="s">
        <v>787</v>
      </c>
      <c r="K294" s="12" t="s">
        <v>787</v>
      </c>
      <c r="L294" s="1">
        <v>85</v>
      </c>
      <c r="M294" s="12" t="s">
        <v>2308</v>
      </c>
      <c r="N294" s="13" t="s">
        <v>1361</v>
      </c>
    </row>
    <row r="295" spans="1:14" ht="15.75" customHeight="1">
      <c r="A295" s="66">
        <v>292</v>
      </c>
      <c r="B295" s="6">
        <v>2000</v>
      </c>
      <c r="C295" s="323"/>
      <c r="D295" s="7" t="s">
        <v>1414</v>
      </c>
      <c r="E295" s="7" t="s">
        <v>1415</v>
      </c>
      <c r="F295" s="7" t="s">
        <v>1416</v>
      </c>
      <c r="G295" s="7" t="s">
        <v>1415</v>
      </c>
      <c r="H295" s="6" t="s">
        <v>1417</v>
      </c>
      <c r="I295" s="7" t="s">
        <v>1360</v>
      </c>
      <c r="J295" s="12" t="s">
        <v>787</v>
      </c>
      <c r="K295" s="12" t="s">
        <v>2303</v>
      </c>
      <c r="L295" s="1">
        <v>85</v>
      </c>
      <c r="M295" s="12" t="s">
        <v>1835</v>
      </c>
      <c r="N295" s="13" t="s">
        <v>1361</v>
      </c>
    </row>
    <row r="296" spans="1:14" ht="15.75" customHeight="1">
      <c r="A296" s="66">
        <v>293</v>
      </c>
      <c r="B296" s="6">
        <v>2000</v>
      </c>
      <c r="C296" s="323"/>
      <c r="D296" s="7" t="s">
        <v>1418</v>
      </c>
      <c r="E296" s="7" t="s">
        <v>1419</v>
      </c>
      <c r="F296" s="7" t="s">
        <v>1420</v>
      </c>
      <c r="G296" s="7" t="s">
        <v>1419</v>
      </c>
      <c r="H296" s="6" t="s">
        <v>1421</v>
      </c>
      <c r="I296" s="7" t="s">
        <v>1360</v>
      </c>
      <c r="J296" s="12" t="s">
        <v>787</v>
      </c>
      <c r="K296" s="12" t="s">
        <v>787</v>
      </c>
      <c r="L296" s="1">
        <v>85</v>
      </c>
      <c r="M296" s="12" t="s">
        <v>2308</v>
      </c>
      <c r="N296" s="13" t="s">
        <v>1361</v>
      </c>
    </row>
    <row r="297" spans="1:14" ht="15.75" customHeight="1">
      <c r="A297" s="66">
        <v>294</v>
      </c>
      <c r="B297" s="6">
        <v>2000</v>
      </c>
      <c r="C297" s="323"/>
      <c r="D297" s="7" t="s">
        <v>1422</v>
      </c>
      <c r="E297" s="7" t="s">
        <v>1423</v>
      </c>
      <c r="F297" s="7" t="s">
        <v>1424</v>
      </c>
      <c r="G297" s="7" t="s">
        <v>1423</v>
      </c>
      <c r="H297" s="6" t="s">
        <v>1425</v>
      </c>
      <c r="I297" s="7" t="s">
        <v>1360</v>
      </c>
      <c r="J297" s="12" t="s">
        <v>787</v>
      </c>
      <c r="K297" s="12" t="s">
        <v>2303</v>
      </c>
      <c r="L297" s="1">
        <v>85</v>
      </c>
      <c r="M297" s="12" t="s">
        <v>1835</v>
      </c>
      <c r="N297" s="13" t="s">
        <v>1361</v>
      </c>
    </row>
    <row r="298" spans="1:14" ht="15.75" customHeight="1">
      <c r="A298" s="66">
        <v>295</v>
      </c>
      <c r="B298" s="6">
        <v>2000</v>
      </c>
      <c r="C298" s="323"/>
      <c r="D298" s="7" t="s">
        <v>1426</v>
      </c>
      <c r="E298" s="7" t="s">
        <v>1427</v>
      </c>
      <c r="F298" s="7" t="s">
        <v>1428</v>
      </c>
      <c r="G298" s="7" t="s">
        <v>1427</v>
      </c>
      <c r="H298" s="6" t="s">
        <v>1429</v>
      </c>
      <c r="I298" s="7" t="s">
        <v>1360</v>
      </c>
      <c r="J298" s="12" t="s">
        <v>787</v>
      </c>
      <c r="K298" s="12" t="s">
        <v>2304</v>
      </c>
      <c r="L298" s="1">
        <v>85</v>
      </c>
      <c r="M298" s="12" t="s">
        <v>2305</v>
      </c>
      <c r="N298" s="13" t="s">
        <v>1361</v>
      </c>
    </row>
    <row r="299" spans="1:14" ht="15.75" customHeight="1">
      <c r="A299" s="66">
        <v>296</v>
      </c>
      <c r="B299" s="6">
        <v>2000</v>
      </c>
      <c r="C299" s="323"/>
      <c r="D299" s="7" t="s">
        <v>1430</v>
      </c>
      <c r="E299" s="7" t="s">
        <v>1431</v>
      </c>
      <c r="F299" s="7" t="s">
        <v>1432</v>
      </c>
      <c r="G299" s="7" t="s">
        <v>1431</v>
      </c>
      <c r="H299" s="6" t="s">
        <v>1433</v>
      </c>
      <c r="I299" s="7" t="s">
        <v>1360</v>
      </c>
      <c r="J299" s="12" t="s">
        <v>787</v>
      </c>
      <c r="K299" s="12" t="s">
        <v>2304</v>
      </c>
      <c r="L299" s="1">
        <v>85</v>
      </c>
      <c r="M299" s="12" t="s">
        <v>2305</v>
      </c>
      <c r="N299" s="13" t="s">
        <v>1361</v>
      </c>
    </row>
    <row r="300" spans="1:14" ht="15.75" customHeight="1">
      <c r="A300" s="66">
        <v>297</v>
      </c>
      <c r="B300" s="6">
        <v>2000</v>
      </c>
      <c r="C300" s="323"/>
      <c r="D300" s="7" t="s">
        <v>1434</v>
      </c>
      <c r="E300" s="7" t="s">
        <v>1435</v>
      </c>
      <c r="F300" s="7" t="s">
        <v>1436</v>
      </c>
      <c r="G300" s="7" t="s">
        <v>1435</v>
      </c>
      <c r="H300" s="6">
        <v>1112031002</v>
      </c>
      <c r="I300" s="7" t="s">
        <v>1360</v>
      </c>
      <c r="J300" s="12" t="s">
        <v>787</v>
      </c>
      <c r="K300" s="12" t="s">
        <v>2304</v>
      </c>
      <c r="L300" s="1">
        <v>85</v>
      </c>
      <c r="M300" s="12" t="s">
        <v>2305</v>
      </c>
      <c r="N300" s="13" t="s">
        <v>1361</v>
      </c>
    </row>
    <row r="301" spans="1:14" ht="15.75" customHeight="1">
      <c r="A301" s="66">
        <v>298</v>
      </c>
      <c r="B301" s="6">
        <v>2000</v>
      </c>
      <c r="C301" s="324"/>
      <c r="D301" s="7" t="s">
        <v>1437</v>
      </c>
      <c r="E301" s="7" t="s">
        <v>1438</v>
      </c>
      <c r="F301" s="7" t="s">
        <v>1439</v>
      </c>
      <c r="G301" s="7" t="s">
        <v>1438</v>
      </c>
      <c r="H301" s="6">
        <v>1112031003</v>
      </c>
      <c r="I301" s="7" t="s">
        <v>1360</v>
      </c>
      <c r="J301" s="12" t="s">
        <v>787</v>
      </c>
      <c r="K301" s="12" t="s">
        <v>2304</v>
      </c>
      <c r="L301" s="1">
        <v>85</v>
      </c>
      <c r="M301" s="12" t="s">
        <v>2305</v>
      </c>
      <c r="N301" s="13" t="s">
        <v>1361</v>
      </c>
    </row>
    <row r="302" spans="1:14" ht="15.75" customHeight="1">
      <c r="A302" s="66">
        <v>299</v>
      </c>
      <c r="B302" s="6">
        <v>2000</v>
      </c>
      <c r="C302" s="416" t="s">
        <v>1440</v>
      </c>
      <c r="D302" s="7" t="s">
        <v>1441</v>
      </c>
      <c r="E302" s="7" t="s">
        <v>1442</v>
      </c>
      <c r="F302" s="7" t="s">
        <v>1443</v>
      </c>
      <c r="G302" s="7" t="s">
        <v>1442</v>
      </c>
      <c r="H302" s="6">
        <v>1112032104</v>
      </c>
      <c r="I302" s="7" t="s">
        <v>1360</v>
      </c>
      <c r="J302" s="12" t="s">
        <v>787</v>
      </c>
      <c r="K302" s="12" t="s">
        <v>2304</v>
      </c>
      <c r="L302" s="1">
        <v>85</v>
      </c>
      <c r="M302" s="12" t="s">
        <v>2305</v>
      </c>
      <c r="N302" s="13" t="s">
        <v>1361</v>
      </c>
    </row>
    <row r="303" spans="1:14" ht="15.75" customHeight="1">
      <c r="A303" s="66">
        <v>300</v>
      </c>
      <c r="B303" s="6">
        <v>2000</v>
      </c>
      <c r="C303" s="323"/>
      <c r="D303" s="7" t="s">
        <v>1444</v>
      </c>
      <c r="E303" s="7" t="s">
        <v>1445</v>
      </c>
      <c r="F303" s="7" t="s">
        <v>1446</v>
      </c>
      <c r="G303" s="7" t="s">
        <v>1445</v>
      </c>
      <c r="H303" s="6" t="s">
        <v>1447</v>
      </c>
      <c r="I303" s="7" t="s">
        <v>1360</v>
      </c>
      <c r="J303" s="12" t="s">
        <v>787</v>
      </c>
      <c r="K303" s="12" t="s">
        <v>2309</v>
      </c>
      <c r="L303" s="1">
        <v>85</v>
      </c>
      <c r="M303" s="12" t="s">
        <v>2305</v>
      </c>
      <c r="N303" s="13" t="s">
        <v>1361</v>
      </c>
    </row>
    <row r="304" spans="1:14" ht="15.75" customHeight="1">
      <c r="A304" s="66">
        <v>301</v>
      </c>
      <c r="B304" s="6">
        <v>2000</v>
      </c>
      <c r="C304" s="323"/>
      <c r="D304" s="7" t="s">
        <v>1448</v>
      </c>
      <c r="E304" s="7" t="s">
        <v>1449</v>
      </c>
      <c r="F304" s="7" t="s">
        <v>1450</v>
      </c>
      <c r="G304" s="7" t="s">
        <v>1449</v>
      </c>
      <c r="H304" s="6" t="s">
        <v>1451</v>
      </c>
      <c r="I304" s="7" t="s">
        <v>1360</v>
      </c>
      <c r="J304" s="12" t="s">
        <v>787</v>
      </c>
      <c r="K304" s="12" t="s">
        <v>788</v>
      </c>
      <c r="L304" s="1">
        <v>85</v>
      </c>
      <c r="M304" s="12" t="s">
        <v>1835</v>
      </c>
      <c r="N304" s="13" t="s">
        <v>1361</v>
      </c>
    </row>
    <row r="305" spans="1:14" ht="15.75" customHeight="1">
      <c r="A305" s="66">
        <v>302</v>
      </c>
      <c r="B305" s="6">
        <v>2000</v>
      </c>
      <c r="C305" s="324"/>
      <c r="D305" s="7" t="s">
        <v>1452</v>
      </c>
      <c r="E305" s="7" t="s">
        <v>1453</v>
      </c>
      <c r="F305" s="7" t="s">
        <v>1454</v>
      </c>
      <c r="G305" s="7" t="s">
        <v>1453</v>
      </c>
      <c r="H305" s="6" t="s">
        <v>1455</v>
      </c>
      <c r="I305" s="7" t="s">
        <v>1360</v>
      </c>
      <c r="J305" s="12" t="s">
        <v>787</v>
      </c>
      <c r="K305" s="12" t="s">
        <v>788</v>
      </c>
      <c r="L305" s="1">
        <v>85</v>
      </c>
      <c r="M305" s="12" t="s">
        <v>1835</v>
      </c>
      <c r="N305" s="13" t="s">
        <v>1361</v>
      </c>
    </row>
    <row r="306" spans="1:14" ht="15.75" customHeight="1">
      <c r="A306" s="66">
        <v>303</v>
      </c>
      <c r="B306" s="6">
        <v>2000</v>
      </c>
      <c r="C306" s="416" t="s">
        <v>1456</v>
      </c>
      <c r="D306" s="7" t="s">
        <v>1457</v>
      </c>
      <c r="E306" s="7" t="s">
        <v>1458</v>
      </c>
      <c r="F306" s="7" t="s">
        <v>1459</v>
      </c>
      <c r="G306" s="7" t="s">
        <v>1458</v>
      </c>
      <c r="H306" s="6" t="s">
        <v>1460</v>
      </c>
      <c r="I306" s="7" t="s">
        <v>1360</v>
      </c>
      <c r="J306" s="12" t="s">
        <v>787</v>
      </c>
      <c r="K306" s="12" t="s">
        <v>2309</v>
      </c>
      <c r="L306" s="1">
        <v>85</v>
      </c>
      <c r="M306" s="12" t="s">
        <v>2305</v>
      </c>
      <c r="N306" s="13" t="s">
        <v>1361</v>
      </c>
    </row>
    <row r="307" spans="1:14" ht="15.75" customHeight="1">
      <c r="A307" s="66">
        <v>304</v>
      </c>
      <c r="B307" s="6">
        <v>2000</v>
      </c>
      <c r="C307" s="323"/>
      <c r="D307" s="7" t="s">
        <v>1461</v>
      </c>
      <c r="E307" s="7" t="s">
        <v>1462</v>
      </c>
      <c r="F307" s="7" t="s">
        <v>1463</v>
      </c>
      <c r="G307" s="7" t="s">
        <v>1462</v>
      </c>
      <c r="H307" s="6" t="s">
        <v>1464</v>
      </c>
      <c r="I307" s="7" t="s">
        <v>1360</v>
      </c>
      <c r="J307" s="12" t="s">
        <v>787</v>
      </c>
      <c r="K307" s="12" t="s">
        <v>2309</v>
      </c>
      <c r="L307" s="1">
        <v>85</v>
      </c>
      <c r="M307" s="12" t="s">
        <v>2305</v>
      </c>
      <c r="N307" s="13" t="s">
        <v>1361</v>
      </c>
    </row>
    <row r="308" spans="1:14" ht="15.75" customHeight="1">
      <c r="A308" s="66">
        <v>305</v>
      </c>
      <c r="B308" s="6">
        <v>2000</v>
      </c>
      <c r="C308" s="323"/>
      <c r="D308" s="7" t="s">
        <v>1465</v>
      </c>
      <c r="E308" s="7" t="s">
        <v>1466</v>
      </c>
      <c r="F308" s="7" t="s">
        <v>1467</v>
      </c>
      <c r="G308" s="7" t="s">
        <v>1466</v>
      </c>
      <c r="H308" s="6" t="s">
        <v>1469</v>
      </c>
      <c r="I308" s="7" t="s">
        <v>1360</v>
      </c>
      <c r="J308" s="12" t="s">
        <v>787</v>
      </c>
      <c r="K308" s="12" t="s">
        <v>788</v>
      </c>
      <c r="L308" s="1">
        <v>85</v>
      </c>
      <c r="M308" s="12" t="s">
        <v>1835</v>
      </c>
      <c r="N308" s="13" t="s">
        <v>1361</v>
      </c>
    </row>
    <row r="309" spans="1:14" ht="15.75" customHeight="1">
      <c r="A309" s="66">
        <v>306</v>
      </c>
      <c r="B309" s="6">
        <v>2000</v>
      </c>
      <c r="C309" s="323"/>
      <c r="D309" s="7" t="s">
        <v>1470</v>
      </c>
      <c r="E309" s="7" t="s">
        <v>1471</v>
      </c>
      <c r="F309" s="7" t="s">
        <v>1472</v>
      </c>
      <c r="G309" s="7" t="s">
        <v>1471</v>
      </c>
      <c r="H309" s="6" t="s">
        <v>1473</v>
      </c>
      <c r="I309" s="7" t="s">
        <v>1360</v>
      </c>
      <c r="J309" s="12" t="s">
        <v>787</v>
      </c>
      <c r="K309" s="12" t="s">
        <v>2309</v>
      </c>
      <c r="L309" s="1">
        <v>85</v>
      </c>
      <c r="M309" s="12" t="s">
        <v>2305</v>
      </c>
      <c r="N309" s="13" t="s">
        <v>1361</v>
      </c>
    </row>
    <row r="310" spans="1:14" ht="15.75" customHeight="1">
      <c r="A310" s="66">
        <v>307</v>
      </c>
      <c r="B310" s="6">
        <v>2000</v>
      </c>
      <c r="C310" s="323"/>
      <c r="D310" s="7" t="s">
        <v>1474</v>
      </c>
      <c r="E310" s="7" t="s">
        <v>1475</v>
      </c>
      <c r="F310" s="7" t="s">
        <v>1476</v>
      </c>
      <c r="G310" s="7" t="s">
        <v>1475</v>
      </c>
      <c r="H310" s="6" t="s">
        <v>1477</v>
      </c>
      <c r="I310" s="7" t="s">
        <v>1360</v>
      </c>
      <c r="J310" s="12" t="s">
        <v>787</v>
      </c>
      <c r="K310" s="12" t="s">
        <v>2309</v>
      </c>
      <c r="L310" s="1">
        <v>85</v>
      </c>
      <c r="M310" s="12" t="s">
        <v>2305</v>
      </c>
      <c r="N310" s="13" t="s">
        <v>1361</v>
      </c>
    </row>
    <row r="311" spans="1:14" ht="15.75" customHeight="1">
      <c r="A311" s="66">
        <v>308</v>
      </c>
      <c r="B311" s="6">
        <v>2000</v>
      </c>
      <c r="C311" s="324"/>
      <c r="D311" s="7" t="s">
        <v>1478</v>
      </c>
      <c r="E311" s="7" t="s">
        <v>1479</v>
      </c>
      <c r="F311" s="7" t="s">
        <v>1480</v>
      </c>
      <c r="G311" s="7" t="s">
        <v>1479</v>
      </c>
      <c r="H311" s="6" t="s">
        <v>1482</v>
      </c>
      <c r="I311" s="7" t="s">
        <v>1360</v>
      </c>
      <c r="J311" s="12" t="s">
        <v>787</v>
      </c>
      <c r="K311" s="12" t="s">
        <v>788</v>
      </c>
      <c r="L311" s="1">
        <v>85</v>
      </c>
      <c r="M311" s="12" t="s">
        <v>1835</v>
      </c>
      <c r="N311" s="13" t="s">
        <v>1361</v>
      </c>
    </row>
    <row r="312" spans="1:14" ht="15.75" customHeight="1">
      <c r="A312" s="66">
        <v>309</v>
      </c>
      <c r="B312" s="6">
        <v>2000</v>
      </c>
      <c r="C312" s="416" t="s">
        <v>1483</v>
      </c>
      <c r="D312" s="7" t="s">
        <v>1484</v>
      </c>
      <c r="E312" s="7" t="s">
        <v>1485</v>
      </c>
      <c r="F312" s="7" t="s">
        <v>1486</v>
      </c>
      <c r="G312" s="7" t="s">
        <v>1485</v>
      </c>
      <c r="H312" s="6">
        <v>1112033102</v>
      </c>
      <c r="I312" s="7" t="s">
        <v>1360</v>
      </c>
      <c r="J312" s="12" t="s">
        <v>787</v>
      </c>
      <c r="K312" s="12" t="s">
        <v>788</v>
      </c>
      <c r="L312" s="1">
        <v>85</v>
      </c>
      <c r="M312" s="12" t="s">
        <v>1835</v>
      </c>
      <c r="N312" s="13" t="s">
        <v>1361</v>
      </c>
    </row>
    <row r="313" spans="1:14" ht="15.75" customHeight="1">
      <c r="A313" s="66">
        <v>310</v>
      </c>
      <c r="B313" s="6">
        <v>2000</v>
      </c>
      <c r="C313" s="323"/>
      <c r="D313" s="7" t="s">
        <v>1487</v>
      </c>
      <c r="E313" s="7" t="s">
        <v>1488</v>
      </c>
      <c r="F313" s="7" t="s">
        <v>1489</v>
      </c>
      <c r="G313" s="7" t="s">
        <v>1488</v>
      </c>
      <c r="H313" s="6">
        <v>1112033103</v>
      </c>
      <c r="I313" s="7" t="s">
        <v>1360</v>
      </c>
      <c r="J313" s="12" t="s">
        <v>787</v>
      </c>
      <c r="K313" s="12" t="s">
        <v>788</v>
      </c>
      <c r="L313" s="1">
        <v>85</v>
      </c>
      <c r="M313" s="12" t="s">
        <v>1835</v>
      </c>
      <c r="N313" s="13" t="s">
        <v>1361</v>
      </c>
    </row>
    <row r="314" spans="1:14" ht="15.75" customHeight="1">
      <c r="A314" s="66">
        <v>311</v>
      </c>
      <c r="B314" s="6">
        <v>2000</v>
      </c>
      <c r="C314" s="323"/>
      <c r="D314" s="7" t="s">
        <v>1490</v>
      </c>
      <c r="E314" s="7" t="s">
        <v>1491</v>
      </c>
      <c r="F314" s="7" t="s">
        <v>1492</v>
      </c>
      <c r="G314" s="7" t="s">
        <v>1491</v>
      </c>
      <c r="H314" s="6">
        <v>1112033104</v>
      </c>
      <c r="I314" s="7" t="s">
        <v>1360</v>
      </c>
      <c r="J314" s="12" t="s">
        <v>787</v>
      </c>
      <c r="K314" s="12" t="s">
        <v>788</v>
      </c>
      <c r="L314" s="1">
        <v>85</v>
      </c>
      <c r="M314" s="12" t="s">
        <v>1835</v>
      </c>
      <c r="N314" s="13" t="s">
        <v>1361</v>
      </c>
    </row>
    <row r="315" spans="1:14" ht="15.75" customHeight="1">
      <c r="A315" s="66">
        <v>312</v>
      </c>
      <c r="B315" s="6">
        <v>2000</v>
      </c>
      <c r="C315" s="323"/>
      <c r="D315" s="7" t="s">
        <v>1493</v>
      </c>
      <c r="E315" s="7" t="s">
        <v>1494</v>
      </c>
      <c r="F315" s="7" t="s">
        <v>1495</v>
      </c>
      <c r="G315" s="7" t="s">
        <v>1494</v>
      </c>
      <c r="H315" s="6">
        <v>1112033105</v>
      </c>
      <c r="I315" s="7" t="s">
        <v>1360</v>
      </c>
      <c r="J315" s="12" t="s">
        <v>787</v>
      </c>
      <c r="K315" s="12" t="s">
        <v>788</v>
      </c>
      <c r="L315" s="1">
        <v>85</v>
      </c>
      <c r="M315" s="12" t="s">
        <v>1835</v>
      </c>
      <c r="N315" s="13" t="s">
        <v>1361</v>
      </c>
    </row>
    <row r="316" spans="1:14" ht="15.75" customHeight="1">
      <c r="A316" s="66">
        <v>313</v>
      </c>
      <c r="B316" s="6">
        <v>2000</v>
      </c>
      <c r="C316" s="323"/>
      <c r="D316" s="7" t="s">
        <v>1496</v>
      </c>
      <c r="E316" s="7" t="s">
        <v>1497</v>
      </c>
      <c r="F316" s="7" t="s">
        <v>1498</v>
      </c>
      <c r="G316" s="7" t="s">
        <v>1497</v>
      </c>
      <c r="H316" s="6">
        <v>1112033106</v>
      </c>
      <c r="I316" s="7" t="s">
        <v>1360</v>
      </c>
      <c r="J316" s="12" t="s">
        <v>787</v>
      </c>
      <c r="K316" s="12" t="s">
        <v>788</v>
      </c>
      <c r="L316" s="1">
        <v>85</v>
      </c>
      <c r="M316" s="12" t="s">
        <v>1835</v>
      </c>
      <c r="N316" s="13" t="s">
        <v>1361</v>
      </c>
    </row>
    <row r="317" spans="1:14" ht="15.75" customHeight="1">
      <c r="A317" s="66">
        <v>314</v>
      </c>
      <c r="B317" s="6">
        <v>2000</v>
      </c>
      <c r="C317" s="323"/>
      <c r="D317" s="7" t="s">
        <v>1499</v>
      </c>
      <c r="E317" s="7" t="s">
        <v>1500</v>
      </c>
      <c r="F317" s="7" t="s">
        <v>1501</v>
      </c>
      <c r="G317" s="7" t="s">
        <v>1500</v>
      </c>
      <c r="H317" s="6">
        <v>1112033107</v>
      </c>
      <c r="I317" s="7" t="s">
        <v>1360</v>
      </c>
      <c r="J317" s="12" t="s">
        <v>787</v>
      </c>
      <c r="K317" s="12" t="s">
        <v>788</v>
      </c>
      <c r="L317" s="1">
        <v>85</v>
      </c>
      <c r="M317" s="12" t="s">
        <v>1835</v>
      </c>
      <c r="N317" s="13" t="s">
        <v>1361</v>
      </c>
    </row>
    <row r="318" spans="1:14" ht="15.75" customHeight="1">
      <c r="A318" s="66">
        <v>315</v>
      </c>
      <c r="B318" s="6">
        <v>2000</v>
      </c>
      <c r="C318" s="323"/>
      <c r="D318" s="7" t="s">
        <v>1502</v>
      </c>
      <c r="E318" s="7" t="s">
        <v>1503</v>
      </c>
      <c r="F318" s="7" t="s">
        <v>1504</v>
      </c>
      <c r="G318" s="7" t="s">
        <v>1503</v>
      </c>
      <c r="H318" s="6">
        <v>1112033108</v>
      </c>
      <c r="I318" s="7" t="s">
        <v>1360</v>
      </c>
      <c r="J318" s="12" t="s">
        <v>787</v>
      </c>
      <c r="K318" s="12" t="s">
        <v>788</v>
      </c>
      <c r="L318" s="1">
        <v>85</v>
      </c>
      <c r="M318" s="12" t="s">
        <v>1835</v>
      </c>
      <c r="N318" s="13" t="s">
        <v>1361</v>
      </c>
    </row>
    <row r="319" spans="1:14" ht="15.75" customHeight="1">
      <c r="A319" s="66">
        <v>316</v>
      </c>
      <c r="B319" s="6">
        <v>2000</v>
      </c>
      <c r="C319" s="323"/>
      <c r="D319" s="7" t="s">
        <v>1505</v>
      </c>
      <c r="E319" s="7" t="s">
        <v>1506</v>
      </c>
      <c r="F319" s="7" t="s">
        <v>1507</v>
      </c>
      <c r="G319" s="7" t="s">
        <v>1506</v>
      </c>
      <c r="H319" s="6">
        <v>1112033109</v>
      </c>
      <c r="I319" s="7" t="s">
        <v>1360</v>
      </c>
      <c r="J319" s="12" t="s">
        <v>787</v>
      </c>
      <c r="K319" s="12" t="s">
        <v>788</v>
      </c>
      <c r="L319" s="1">
        <v>85</v>
      </c>
      <c r="M319" s="12" t="s">
        <v>1835</v>
      </c>
      <c r="N319" s="13" t="s">
        <v>1361</v>
      </c>
    </row>
    <row r="320" spans="1:14" ht="15.75" customHeight="1">
      <c r="A320" s="66">
        <v>317</v>
      </c>
      <c r="B320" s="6">
        <v>2000</v>
      </c>
      <c r="C320" s="323"/>
      <c r="D320" s="7" t="s">
        <v>1508</v>
      </c>
      <c r="E320" s="7" t="s">
        <v>1509</v>
      </c>
      <c r="F320" s="7" t="s">
        <v>1510</v>
      </c>
      <c r="G320" s="7" t="s">
        <v>1509</v>
      </c>
      <c r="H320" s="6">
        <v>1112033110</v>
      </c>
      <c r="I320" s="7" t="s">
        <v>1360</v>
      </c>
      <c r="J320" s="12" t="s">
        <v>787</v>
      </c>
      <c r="K320" s="12" t="s">
        <v>788</v>
      </c>
      <c r="L320" s="1">
        <v>85</v>
      </c>
      <c r="M320" s="12" t="s">
        <v>1835</v>
      </c>
      <c r="N320" s="13" t="s">
        <v>1361</v>
      </c>
    </row>
    <row r="321" spans="1:14" ht="15.75" customHeight="1">
      <c r="A321" s="66">
        <v>318</v>
      </c>
      <c r="B321" s="6">
        <v>2000</v>
      </c>
      <c r="C321" s="324"/>
      <c r="D321" s="7" t="s">
        <v>1511</v>
      </c>
      <c r="E321" s="7" t="s">
        <v>1512</v>
      </c>
      <c r="F321" s="7" t="s">
        <v>1513</v>
      </c>
      <c r="G321" s="7" t="s">
        <v>1512</v>
      </c>
      <c r="H321" s="6">
        <v>1112033111</v>
      </c>
      <c r="I321" s="7" t="s">
        <v>1360</v>
      </c>
      <c r="J321" s="12" t="s">
        <v>787</v>
      </c>
      <c r="K321" s="12" t="s">
        <v>788</v>
      </c>
      <c r="L321" s="1">
        <v>85</v>
      </c>
      <c r="M321" s="12" t="s">
        <v>1835</v>
      </c>
      <c r="N321" s="13" t="s">
        <v>1361</v>
      </c>
    </row>
    <row r="322" spans="1:14" ht="15.75" customHeight="1">
      <c r="A322" s="66">
        <v>319</v>
      </c>
      <c r="B322" s="6">
        <v>2000</v>
      </c>
      <c r="C322" s="419" t="s">
        <v>1514</v>
      </c>
      <c r="D322" s="7" t="s">
        <v>1515</v>
      </c>
      <c r="E322" s="7" t="s">
        <v>2310</v>
      </c>
      <c r="F322" s="7" t="s">
        <v>1516</v>
      </c>
      <c r="G322" s="7" t="s">
        <v>2310</v>
      </c>
      <c r="H322" s="6" t="s">
        <v>1517</v>
      </c>
      <c r="I322" s="7" t="s">
        <v>1360</v>
      </c>
      <c r="J322" s="12" t="s">
        <v>787</v>
      </c>
      <c r="K322" s="12" t="s">
        <v>788</v>
      </c>
      <c r="L322" s="1">
        <v>85</v>
      </c>
      <c r="M322" s="12" t="s">
        <v>1835</v>
      </c>
      <c r="N322" s="13" t="s">
        <v>1361</v>
      </c>
    </row>
    <row r="323" spans="1:14" ht="15.75" customHeight="1">
      <c r="A323" s="66">
        <v>320</v>
      </c>
      <c r="B323" s="6">
        <v>2000</v>
      </c>
      <c r="C323" s="323"/>
      <c r="D323" s="7" t="s">
        <v>1518</v>
      </c>
      <c r="E323" s="7" t="s">
        <v>2311</v>
      </c>
      <c r="F323" s="7" t="s">
        <v>1519</v>
      </c>
      <c r="G323" s="7" t="s">
        <v>2311</v>
      </c>
      <c r="H323" s="6" t="s">
        <v>1520</v>
      </c>
      <c r="I323" s="7" t="s">
        <v>1360</v>
      </c>
      <c r="J323" s="12" t="s">
        <v>787</v>
      </c>
      <c r="K323" s="12" t="s">
        <v>788</v>
      </c>
      <c r="L323" s="1">
        <v>85</v>
      </c>
      <c r="M323" s="12" t="s">
        <v>1835</v>
      </c>
      <c r="N323" s="13" t="s">
        <v>1361</v>
      </c>
    </row>
    <row r="324" spans="1:14" ht="15.75" customHeight="1">
      <c r="A324" s="66">
        <v>321</v>
      </c>
      <c r="B324" s="6">
        <v>2000</v>
      </c>
      <c r="C324" s="323"/>
      <c r="D324" s="7" t="s">
        <v>1521</v>
      </c>
      <c r="E324" s="7" t="s">
        <v>2312</v>
      </c>
      <c r="F324" s="7" t="s">
        <v>1522</v>
      </c>
      <c r="G324" s="7" t="s">
        <v>2312</v>
      </c>
      <c r="H324" s="6" t="s">
        <v>1523</v>
      </c>
      <c r="I324" s="7" t="s">
        <v>1360</v>
      </c>
      <c r="J324" s="12" t="s">
        <v>787</v>
      </c>
      <c r="K324" s="12" t="s">
        <v>788</v>
      </c>
      <c r="L324" s="1">
        <v>85</v>
      </c>
      <c r="M324" s="12" t="s">
        <v>1835</v>
      </c>
      <c r="N324" s="13" t="s">
        <v>1361</v>
      </c>
    </row>
    <row r="325" spans="1:14" ht="15.75" customHeight="1">
      <c r="A325" s="66">
        <v>322</v>
      </c>
      <c r="B325" s="6">
        <v>2000</v>
      </c>
      <c r="C325" s="323"/>
      <c r="D325" s="7" t="s">
        <v>1524</v>
      </c>
      <c r="E325" s="7" t="s">
        <v>2313</v>
      </c>
      <c r="F325" s="7" t="s">
        <v>1525</v>
      </c>
      <c r="G325" s="7" t="s">
        <v>2313</v>
      </c>
      <c r="H325" s="6" t="s">
        <v>1526</v>
      </c>
      <c r="I325" s="7" t="s">
        <v>1360</v>
      </c>
      <c r="J325" s="12" t="s">
        <v>787</v>
      </c>
      <c r="K325" s="12" t="s">
        <v>788</v>
      </c>
      <c r="L325" s="1">
        <v>85</v>
      </c>
      <c r="M325" s="12" t="s">
        <v>1835</v>
      </c>
      <c r="N325" s="13" t="s">
        <v>1361</v>
      </c>
    </row>
    <row r="326" spans="1:14" ht="15.75" customHeight="1">
      <c r="A326" s="66">
        <v>323</v>
      </c>
      <c r="B326" s="6">
        <v>2000</v>
      </c>
      <c r="C326" s="323"/>
      <c r="D326" s="7" t="s">
        <v>1527</v>
      </c>
      <c r="E326" s="7" t="s">
        <v>2314</v>
      </c>
      <c r="F326" s="7" t="s">
        <v>1528</v>
      </c>
      <c r="G326" s="7" t="s">
        <v>2314</v>
      </c>
      <c r="H326" s="6" t="s">
        <v>1529</v>
      </c>
      <c r="I326" s="7" t="s">
        <v>1360</v>
      </c>
      <c r="J326" s="12" t="s">
        <v>787</v>
      </c>
      <c r="K326" s="12" t="s">
        <v>788</v>
      </c>
      <c r="L326" s="1">
        <v>85</v>
      </c>
      <c r="M326" s="12" t="s">
        <v>1835</v>
      </c>
      <c r="N326" s="13" t="s">
        <v>1361</v>
      </c>
    </row>
    <row r="327" spans="1:14" ht="15.75" customHeight="1">
      <c r="A327" s="66">
        <v>324</v>
      </c>
      <c r="B327" s="6">
        <v>2000</v>
      </c>
      <c r="C327" s="323"/>
      <c r="D327" s="7" t="s">
        <v>1530</v>
      </c>
      <c r="E327" s="7" t="s">
        <v>2315</v>
      </c>
      <c r="F327" s="7" t="s">
        <v>1531</v>
      </c>
      <c r="G327" s="7" t="s">
        <v>2315</v>
      </c>
      <c r="H327" s="6" t="s">
        <v>1532</v>
      </c>
      <c r="I327" s="7" t="s">
        <v>1360</v>
      </c>
      <c r="J327" s="12" t="s">
        <v>787</v>
      </c>
      <c r="K327" s="12" t="s">
        <v>788</v>
      </c>
      <c r="L327" s="1">
        <v>85</v>
      </c>
      <c r="M327" s="12" t="s">
        <v>1835</v>
      </c>
      <c r="N327" s="13" t="s">
        <v>1361</v>
      </c>
    </row>
    <row r="328" spans="1:14" ht="15.75" customHeight="1">
      <c r="A328" s="66">
        <v>325</v>
      </c>
      <c r="B328" s="6">
        <v>2000</v>
      </c>
      <c r="C328" s="323"/>
      <c r="D328" s="7" t="s">
        <v>1533</v>
      </c>
      <c r="E328" s="7" t="s">
        <v>2316</v>
      </c>
      <c r="F328" s="7" t="s">
        <v>1534</v>
      </c>
      <c r="G328" s="7" t="s">
        <v>2316</v>
      </c>
      <c r="H328" s="6" t="s">
        <v>1535</v>
      </c>
      <c r="I328" s="7" t="s">
        <v>1360</v>
      </c>
      <c r="J328" s="12" t="s">
        <v>787</v>
      </c>
      <c r="K328" s="12" t="s">
        <v>788</v>
      </c>
      <c r="L328" s="1">
        <v>85</v>
      </c>
      <c r="M328" s="12" t="s">
        <v>1835</v>
      </c>
      <c r="N328" s="13" t="s">
        <v>1361</v>
      </c>
    </row>
    <row r="329" spans="1:14" ht="15.75" customHeight="1">
      <c r="A329" s="66">
        <v>326</v>
      </c>
      <c r="B329" s="6">
        <v>2000</v>
      </c>
      <c r="C329" s="323"/>
      <c r="D329" s="7" t="s">
        <v>1536</v>
      </c>
      <c r="E329" s="7" t="s">
        <v>2317</v>
      </c>
      <c r="F329" s="7" t="s">
        <v>1537</v>
      </c>
      <c r="G329" s="7" t="s">
        <v>2317</v>
      </c>
      <c r="H329" s="6" t="s">
        <v>1538</v>
      </c>
      <c r="I329" s="7" t="s">
        <v>1360</v>
      </c>
      <c r="J329" s="12" t="s">
        <v>787</v>
      </c>
      <c r="K329" s="12" t="s">
        <v>788</v>
      </c>
      <c r="L329" s="1">
        <v>85</v>
      </c>
      <c r="M329" s="12" t="s">
        <v>1835</v>
      </c>
      <c r="N329" s="13" t="s">
        <v>1361</v>
      </c>
    </row>
    <row r="330" spans="1:14" ht="15.75" customHeight="1">
      <c r="A330" s="66">
        <v>327</v>
      </c>
      <c r="B330" s="6">
        <v>2000</v>
      </c>
      <c r="C330" s="323"/>
      <c r="D330" s="7" t="s">
        <v>1539</v>
      </c>
      <c r="E330" s="7" t="s">
        <v>2318</v>
      </c>
      <c r="F330" s="7" t="s">
        <v>1540</v>
      </c>
      <c r="G330" s="7" t="s">
        <v>2318</v>
      </c>
      <c r="H330" s="6" t="s">
        <v>1541</v>
      </c>
      <c r="I330" s="7" t="s">
        <v>1360</v>
      </c>
      <c r="J330" s="12" t="s">
        <v>787</v>
      </c>
      <c r="K330" s="12" t="s">
        <v>788</v>
      </c>
      <c r="L330" s="1">
        <v>85</v>
      </c>
      <c r="M330" s="12" t="s">
        <v>1835</v>
      </c>
      <c r="N330" s="13" t="s">
        <v>1361</v>
      </c>
    </row>
    <row r="331" spans="1:14" ht="15.75" customHeight="1">
      <c r="A331" s="66">
        <v>328</v>
      </c>
      <c r="B331" s="6">
        <v>2000</v>
      </c>
      <c r="C331" s="323"/>
      <c r="D331" s="7" t="s">
        <v>1542</v>
      </c>
      <c r="E331" s="7" t="s">
        <v>2319</v>
      </c>
      <c r="F331" s="7" t="s">
        <v>1543</v>
      </c>
      <c r="G331" s="7" t="s">
        <v>2319</v>
      </c>
      <c r="H331" s="6" t="s">
        <v>1544</v>
      </c>
      <c r="I331" s="7" t="s">
        <v>1360</v>
      </c>
      <c r="J331" s="12" t="s">
        <v>787</v>
      </c>
      <c r="K331" s="12" t="s">
        <v>788</v>
      </c>
      <c r="L331" s="1">
        <v>85</v>
      </c>
      <c r="M331" s="12" t="s">
        <v>1835</v>
      </c>
      <c r="N331" s="13" t="s">
        <v>1361</v>
      </c>
    </row>
    <row r="332" spans="1:14" ht="15.75" customHeight="1">
      <c r="A332" s="66">
        <v>329</v>
      </c>
      <c r="B332" s="6">
        <v>2000</v>
      </c>
      <c r="C332" s="324"/>
      <c r="D332" s="7" t="s">
        <v>1545</v>
      </c>
      <c r="E332" s="7" t="s">
        <v>2320</v>
      </c>
      <c r="F332" s="7" t="s">
        <v>1546</v>
      </c>
      <c r="G332" s="7" t="s">
        <v>2320</v>
      </c>
      <c r="H332" s="6" t="s">
        <v>1547</v>
      </c>
      <c r="I332" s="7" t="s">
        <v>1360</v>
      </c>
      <c r="J332" s="12" t="s">
        <v>787</v>
      </c>
      <c r="K332" s="12" t="s">
        <v>788</v>
      </c>
      <c r="L332" s="1">
        <v>85</v>
      </c>
      <c r="M332" s="12" t="s">
        <v>1835</v>
      </c>
      <c r="N332" s="13" t="s">
        <v>1361</v>
      </c>
    </row>
    <row r="333" spans="1:14" ht="15.75" customHeight="1">
      <c r="A333" s="66">
        <v>330</v>
      </c>
      <c r="B333" s="6">
        <v>2000</v>
      </c>
      <c r="C333" s="416" t="s">
        <v>1548</v>
      </c>
      <c r="D333" s="7" t="s">
        <v>1549</v>
      </c>
      <c r="E333" s="7" t="s">
        <v>1550</v>
      </c>
      <c r="F333" s="7" t="s">
        <v>1551</v>
      </c>
      <c r="G333" s="7" t="s">
        <v>1550</v>
      </c>
      <c r="H333" s="6" t="s">
        <v>1552</v>
      </c>
      <c r="I333" s="7" t="s">
        <v>1553</v>
      </c>
      <c r="J333" s="12" t="s">
        <v>787</v>
      </c>
      <c r="K333" s="12" t="s">
        <v>2304</v>
      </c>
      <c r="L333" s="1">
        <v>85</v>
      </c>
      <c r="M333" s="12" t="s">
        <v>2305</v>
      </c>
      <c r="N333" s="13" t="s">
        <v>1554</v>
      </c>
    </row>
    <row r="334" spans="1:14" ht="15.75" customHeight="1">
      <c r="A334" s="66">
        <v>331</v>
      </c>
      <c r="B334" s="6">
        <v>2000</v>
      </c>
      <c r="C334" s="323"/>
      <c r="D334" s="7" t="s">
        <v>1555</v>
      </c>
      <c r="E334" s="7" t="s">
        <v>1556</v>
      </c>
      <c r="F334" s="7" t="s">
        <v>1557</v>
      </c>
      <c r="G334" s="7" t="s">
        <v>1556</v>
      </c>
      <c r="H334" s="6">
        <v>1112041015</v>
      </c>
      <c r="I334" s="7" t="s">
        <v>1553</v>
      </c>
      <c r="J334" s="12" t="s">
        <v>787</v>
      </c>
      <c r="K334" s="12" t="s">
        <v>2304</v>
      </c>
      <c r="L334" s="1">
        <v>85</v>
      </c>
      <c r="M334" s="12" t="s">
        <v>2305</v>
      </c>
      <c r="N334" s="13" t="s">
        <v>1554</v>
      </c>
    </row>
    <row r="335" spans="1:14" ht="15.75" customHeight="1">
      <c r="A335" s="66">
        <v>332</v>
      </c>
      <c r="B335" s="6">
        <v>2000</v>
      </c>
      <c r="C335" s="323"/>
      <c r="D335" s="7" t="s">
        <v>1558</v>
      </c>
      <c r="E335" s="7" t="s">
        <v>1559</v>
      </c>
      <c r="F335" s="7" t="s">
        <v>1560</v>
      </c>
      <c r="G335" s="7" t="s">
        <v>1559</v>
      </c>
      <c r="H335" s="6">
        <v>1112041016</v>
      </c>
      <c r="I335" s="7" t="s">
        <v>1553</v>
      </c>
      <c r="J335" s="12" t="s">
        <v>787</v>
      </c>
      <c r="K335" s="12" t="s">
        <v>2304</v>
      </c>
      <c r="L335" s="1">
        <v>85</v>
      </c>
      <c r="M335" s="12" t="s">
        <v>2305</v>
      </c>
      <c r="N335" s="13" t="s">
        <v>1554</v>
      </c>
    </row>
    <row r="336" spans="1:14" ht="15.75" customHeight="1">
      <c r="A336" s="66">
        <v>333</v>
      </c>
      <c r="B336" s="6">
        <v>2000</v>
      </c>
      <c r="C336" s="323"/>
      <c r="D336" s="7" t="s">
        <v>1561</v>
      </c>
      <c r="E336" s="7" t="s">
        <v>1562</v>
      </c>
      <c r="F336" s="7" t="s">
        <v>1563</v>
      </c>
      <c r="G336" s="7" t="s">
        <v>1564</v>
      </c>
      <c r="H336" s="6" t="s">
        <v>1565</v>
      </c>
      <c r="I336" s="7" t="s">
        <v>1553</v>
      </c>
      <c r="J336" s="12" t="s">
        <v>787</v>
      </c>
      <c r="K336" s="12" t="s">
        <v>2303</v>
      </c>
      <c r="L336" s="1">
        <v>85</v>
      </c>
      <c r="M336" s="12" t="s">
        <v>1835</v>
      </c>
      <c r="N336" s="13" t="s">
        <v>1554</v>
      </c>
    </row>
    <row r="337" spans="1:14" ht="15.75" customHeight="1">
      <c r="A337" s="66">
        <v>334</v>
      </c>
      <c r="B337" s="6">
        <v>2000</v>
      </c>
      <c r="C337" s="323"/>
      <c r="D337" s="7" t="s">
        <v>1566</v>
      </c>
      <c r="E337" s="7" t="s">
        <v>1567</v>
      </c>
      <c r="F337" s="7" t="s">
        <v>1568</v>
      </c>
      <c r="G337" s="7" t="s">
        <v>1569</v>
      </c>
      <c r="H337" s="6" t="s">
        <v>1570</v>
      </c>
      <c r="I337" s="7" t="s">
        <v>1553</v>
      </c>
      <c r="J337" s="12" t="s">
        <v>787</v>
      </c>
      <c r="K337" s="12" t="s">
        <v>2303</v>
      </c>
      <c r="L337" s="1">
        <v>85</v>
      </c>
      <c r="M337" s="12" t="s">
        <v>1835</v>
      </c>
      <c r="N337" s="13" t="s">
        <v>1554</v>
      </c>
    </row>
    <row r="338" spans="1:14" ht="15.75" customHeight="1">
      <c r="A338" s="66">
        <v>335</v>
      </c>
      <c r="B338" s="6">
        <v>2000</v>
      </c>
      <c r="C338" s="323"/>
      <c r="D338" s="7" t="s">
        <v>1571</v>
      </c>
      <c r="E338" s="7" t="s">
        <v>1572</v>
      </c>
      <c r="F338" s="7" t="s">
        <v>1035</v>
      </c>
      <c r="G338" s="7" t="s">
        <v>1573</v>
      </c>
      <c r="H338" s="6" t="s">
        <v>1574</v>
      </c>
      <c r="I338" s="7" t="s">
        <v>1553</v>
      </c>
      <c r="J338" s="12" t="s">
        <v>787</v>
      </c>
      <c r="K338" s="12" t="s">
        <v>2303</v>
      </c>
      <c r="L338" s="1">
        <v>85</v>
      </c>
      <c r="M338" s="12" t="s">
        <v>1835</v>
      </c>
      <c r="N338" s="13" t="s">
        <v>1554</v>
      </c>
    </row>
    <row r="339" spans="1:14" ht="15.75" customHeight="1">
      <c r="A339" s="66">
        <v>336</v>
      </c>
      <c r="B339" s="6">
        <v>2000</v>
      </c>
      <c r="C339" s="323"/>
      <c r="D339" s="7" t="s">
        <v>1575</v>
      </c>
      <c r="E339" s="7" t="s">
        <v>1576</v>
      </c>
      <c r="F339" s="7" t="s">
        <v>1040</v>
      </c>
      <c r="G339" s="7" t="s">
        <v>1577</v>
      </c>
      <c r="H339" s="6" t="s">
        <v>1578</v>
      </c>
      <c r="I339" s="7" t="s">
        <v>1553</v>
      </c>
      <c r="J339" s="12" t="s">
        <v>787</v>
      </c>
      <c r="K339" s="12" t="s">
        <v>2303</v>
      </c>
      <c r="L339" s="1">
        <v>85</v>
      </c>
      <c r="M339" s="12" t="s">
        <v>1835</v>
      </c>
      <c r="N339" s="13" t="s">
        <v>1554</v>
      </c>
    </row>
    <row r="340" spans="1:14" ht="15.75" customHeight="1">
      <c r="A340" s="66">
        <v>337</v>
      </c>
      <c r="B340" s="6">
        <v>2000</v>
      </c>
      <c r="C340" s="323"/>
      <c r="D340" s="7" t="s">
        <v>1579</v>
      </c>
      <c r="E340" s="7" t="s">
        <v>1580</v>
      </c>
      <c r="F340" s="7" t="s">
        <v>1045</v>
      </c>
      <c r="G340" s="7" t="s">
        <v>1581</v>
      </c>
      <c r="H340" s="6" t="s">
        <v>1582</v>
      </c>
      <c r="I340" s="7" t="s">
        <v>1553</v>
      </c>
      <c r="J340" s="12" t="s">
        <v>787</v>
      </c>
      <c r="K340" s="12" t="s">
        <v>2303</v>
      </c>
      <c r="L340" s="1">
        <v>85</v>
      </c>
      <c r="M340" s="12" t="s">
        <v>1835</v>
      </c>
      <c r="N340" s="13" t="s">
        <v>1554</v>
      </c>
    </row>
    <row r="341" spans="1:14" ht="15.75" customHeight="1">
      <c r="A341" s="66">
        <v>338</v>
      </c>
      <c r="B341" s="6">
        <v>2000</v>
      </c>
      <c r="C341" s="323"/>
      <c r="D341" s="7" t="s">
        <v>1583</v>
      </c>
      <c r="E341" s="7" t="s">
        <v>1584</v>
      </c>
      <c r="F341" s="7" t="s">
        <v>1050</v>
      </c>
      <c r="G341" s="7" t="s">
        <v>1585</v>
      </c>
      <c r="H341" s="6" t="s">
        <v>1586</v>
      </c>
      <c r="I341" s="7" t="s">
        <v>1553</v>
      </c>
      <c r="J341" s="12" t="s">
        <v>787</v>
      </c>
      <c r="K341" s="12" t="s">
        <v>2303</v>
      </c>
      <c r="L341" s="1">
        <v>85</v>
      </c>
      <c r="M341" s="12" t="s">
        <v>1835</v>
      </c>
      <c r="N341" s="13" t="s">
        <v>1554</v>
      </c>
    </row>
    <row r="342" spans="1:14" ht="15.75" customHeight="1">
      <c r="A342" s="66">
        <v>339</v>
      </c>
      <c r="B342" s="6">
        <v>2000</v>
      </c>
      <c r="C342" s="323"/>
      <c r="D342" s="7" t="s">
        <v>1587</v>
      </c>
      <c r="E342" s="7" t="s">
        <v>1588</v>
      </c>
      <c r="F342" s="7" t="s">
        <v>1055</v>
      </c>
      <c r="G342" s="7" t="s">
        <v>1589</v>
      </c>
      <c r="H342" s="6">
        <v>1112041017</v>
      </c>
      <c r="I342" s="7" t="s">
        <v>1553</v>
      </c>
      <c r="J342" s="12" t="s">
        <v>787</v>
      </c>
      <c r="K342" s="12" t="s">
        <v>2304</v>
      </c>
      <c r="L342" s="1">
        <v>85</v>
      </c>
      <c r="M342" s="12" t="s">
        <v>2305</v>
      </c>
      <c r="N342" s="13" t="s">
        <v>1554</v>
      </c>
    </row>
    <row r="343" spans="1:14" ht="15.75" customHeight="1">
      <c r="A343" s="66">
        <v>340</v>
      </c>
      <c r="B343" s="6">
        <v>2000</v>
      </c>
      <c r="C343" s="323"/>
      <c r="D343" s="7" t="s">
        <v>1590</v>
      </c>
      <c r="E343" s="7" t="s">
        <v>1591</v>
      </c>
      <c r="F343" s="7" t="s">
        <v>1060</v>
      </c>
      <c r="G343" s="7" t="s">
        <v>1592</v>
      </c>
      <c r="H343" s="6">
        <v>1112041018</v>
      </c>
      <c r="I343" s="7" t="s">
        <v>1553</v>
      </c>
      <c r="J343" s="12" t="s">
        <v>787</v>
      </c>
      <c r="K343" s="12" t="s">
        <v>2304</v>
      </c>
      <c r="L343" s="1">
        <v>85</v>
      </c>
      <c r="M343" s="12" t="s">
        <v>2305</v>
      </c>
      <c r="N343" s="13" t="s">
        <v>1554</v>
      </c>
    </row>
    <row r="344" spans="1:14" ht="15.75" customHeight="1">
      <c r="A344" s="66">
        <v>341</v>
      </c>
      <c r="B344" s="6">
        <v>2000</v>
      </c>
      <c r="C344" s="323"/>
      <c r="D344" s="7" t="s">
        <v>1593</v>
      </c>
      <c r="E344" s="7" t="s">
        <v>1594</v>
      </c>
      <c r="F344" s="7" t="s">
        <v>1065</v>
      </c>
      <c r="G344" s="7" t="s">
        <v>1595</v>
      </c>
      <c r="H344" s="6">
        <v>1112041019</v>
      </c>
      <c r="I344" s="7" t="s">
        <v>1553</v>
      </c>
      <c r="J344" s="12" t="s">
        <v>787</v>
      </c>
      <c r="K344" s="12" t="s">
        <v>2304</v>
      </c>
      <c r="L344" s="1">
        <v>85</v>
      </c>
      <c r="M344" s="12" t="s">
        <v>2305</v>
      </c>
      <c r="N344" s="13" t="s">
        <v>1554</v>
      </c>
    </row>
    <row r="345" spans="1:14" ht="15.75" customHeight="1">
      <c r="A345" s="66">
        <v>342</v>
      </c>
      <c r="B345" s="6">
        <v>2000</v>
      </c>
      <c r="C345" s="323"/>
      <c r="D345" s="7" t="s">
        <v>1596</v>
      </c>
      <c r="E345" s="7" t="s">
        <v>1597</v>
      </c>
      <c r="F345" s="7" t="s">
        <v>1070</v>
      </c>
      <c r="G345" s="7" t="s">
        <v>2321</v>
      </c>
      <c r="H345" s="6" t="s">
        <v>1598</v>
      </c>
      <c r="I345" s="7" t="s">
        <v>1553</v>
      </c>
      <c r="J345" s="12" t="s">
        <v>787</v>
      </c>
      <c r="K345" s="12" t="s">
        <v>2303</v>
      </c>
      <c r="L345" s="1">
        <v>85</v>
      </c>
      <c r="M345" s="12" t="s">
        <v>1835</v>
      </c>
      <c r="N345" s="13" t="s">
        <v>1554</v>
      </c>
    </row>
    <row r="346" spans="1:14" ht="15.75" customHeight="1">
      <c r="A346" s="66">
        <v>343</v>
      </c>
      <c r="B346" s="6">
        <v>2000</v>
      </c>
      <c r="C346" s="323"/>
      <c r="D346" s="7" t="s">
        <v>1599</v>
      </c>
      <c r="E346" s="7" t="s">
        <v>1600</v>
      </c>
      <c r="F346" s="7" t="s">
        <v>1075</v>
      </c>
      <c r="G346" s="7" t="s">
        <v>1601</v>
      </c>
      <c r="H346" s="6" t="s">
        <v>1598</v>
      </c>
      <c r="I346" s="7" t="s">
        <v>1553</v>
      </c>
      <c r="J346" s="12" t="s">
        <v>787</v>
      </c>
      <c r="K346" s="12" t="s">
        <v>2303</v>
      </c>
      <c r="L346" s="1">
        <v>85</v>
      </c>
      <c r="M346" s="12" t="s">
        <v>1835</v>
      </c>
      <c r="N346" s="13" t="s">
        <v>1554</v>
      </c>
    </row>
    <row r="347" spans="1:14" ht="15.75" customHeight="1">
      <c r="A347" s="66">
        <v>344</v>
      </c>
      <c r="B347" s="6">
        <v>2000</v>
      </c>
      <c r="C347" s="323"/>
      <c r="D347" s="7" t="s">
        <v>1602</v>
      </c>
      <c r="E347" s="7" t="s">
        <v>1603</v>
      </c>
      <c r="F347" s="7" t="s">
        <v>1080</v>
      </c>
      <c r="G347" s="7" t="s">
        <v>1604</v>
      </c>
      <c r="H347" s="6" t="s">
        <v>1598</v>
      </c>
      <c r="I347" s="7" t="s">
        <v>1553</v>
      </c>
      <c r="J347" s="12" t="s">
        <v>787</v>
      </c>
      <c r="K347" s="12" t="s">
        <v>2303</v>
      </c>
      <c r="L347" s="1">
        <v>85</v>
      </c>
      <c r="M347" s="12" t="s">
        <v>1835</v>
      </c>
      <c r="N347" s="13" t="s">
        <v>1554</v>
      </c>
    </row>
    <row r="348" spans="1:14" ht="15.75" customHeight="1">
      <c r="A348" s="66">
        <v>345</v>
      </c>
      <c r="B348" s="6">
        <v>2000</v>
      </c>
      <c r="C348" s="323"/>
      <c r="D348" s="7" t="s">
        <v>1605</v>
      </c>
      <c r="E348" s="7" t="s">
        <v>1606</v>
      </c>
      <c r="F348" s="7" t="s">
        <v>1085</v>
      </c>
      <c r="G348" s="7" t="s">
        <v>1607</v>
      </c>
      <c r="H348" s="6" t="s">
        <v>1608</v>
      </c>
      <c r="I348" s="7" t="s">
        <v>1553</v>
      </c>
      <c r="J348" s="12" t="s">
        <v>787</v>
      </c>
      <c r="K348" s="12" t="s">
        <v>2303</v>
      </c>
      <c r="L348" s="1">
        <v>85</v>
      </c>
      <c r="M348" s="12" t="s">
        <v>1835</v>
      </c>
      <c r="N348" s="13" t="s">
        <v>1554</v>
      </c>
    </row>
    <row r="349" spans="1:14" ht="15.75" customHeight="1">
      <c r="A349" s="66">
        <v>346</v>
      </c>
      <c r="B349" s="6">
        <v>2000</v>
      </c>
      <c r="C349" s="323"/>
      <c r="D349" s="7" t="s">
        <v>1609</v>
      </c>
      <c r="E349" s="7" t="s">
        <v>1610</v>
      </c>
      <c r="F349" s="7" t="s">
        <v>1090</v>
      </c>
      <c r="G349" s="7" t="s">
        <v>1611</v>
      </c>
      <c r="H349" s="6" t="s">
        <v>1612</v>
      </c>
      <c r="I349" s="7" t="s">
        <v>1553</v>
      </c>
      <c r="J349" s="12" t="s">
        <v>787</v>
      </c>
      <c r="K349" s="12" t="s">
        <v>2304</v>
      </c>
      <c r="L349" s="1">
        <v>85</v>
      </c>
      <c r="M349" s="12" t="s">
        <v>2305</v>
      </c>
      <c r="N349" s="13" t="s">
        <v>1554</v>
      </c>
    </row>
    <row r="350" spans="1:14" ht="15.75" customHeight="1">
      <c r="A350" s="66">
        <v>347</v>
      </c>
      <c r="B350" s="6">
        <v>2000</v>
      </c>
      <c r="C350" s="323"/>
      <c r="D350" s="7" t="s">
        <v>1613</v>
      </c>
      <c r="E350" s="7" t="s">
        <v>1614</v>
      </c>
      <c r="F350" s="7" t="s">
        <v>1095</v>
      </c>
      <c r="G350" s="7" t="s">
        <v>1615</v>
      </c>
      <c r="H350" s="6">
        <v>1112041013</v>
      </c>
      <c r="I350" s="7" t="s">
        <v>1553</v>
      </c>
      <c r="J350" s="12" t="s">
        <v>787</v>
      </c>
      <c r="K350" s="12" t="s">
        <v>2304</v>
      </c>
      <c r="L350" s="1">
        <v>85</v>
      </c>
      <c r="M350" s="12" t="s">
        <v>2305</v>
      </c>
      <c r="N350" s="13" t="s">
        <v>1554</v>
      </c>
    </row>
    <row r="351" spans="1:14" ht="15.75" customHeight="1">
      <c r="A351" s="66">
        <v>348</v>
      </c>
      <c r="B351" s="6">
        <v>2000</v>
      </c>
      <c r="C351" s="324"/>
      <c r="D351" s="7" t="s">
        <v>1616</v>
      </c>
      <c r="E351" s="7" t="s">
        <v>1617</v>
      </c>
      <c r="F351" s="7" t="s">
        <v>1100</v>
      </c>
      <c r="G351" s="7" t="s">
        <v>1618</v>
      </c>
      <c r="H351" s="6">
        <v>1112041013</v>
      </c>
      <c r="I351" s="7" t="s">
        <v>1553</v>
      </c>
      <c r="J351" s="12" t="s">
        <v>787</v>
      </c>
      <c r="K351" s="12" t="s">
        <v>2304</v>
      </c>
      <c r="L351" s="1">
        <v>85</v>
      </c>
      <c r="M351" s="12" t="s">
        <v>2305</v>
      </c>
      <c r="N351" s="13" t="s">
        <v>1554</v>
      </c>
    </row>
    <row r="352" spans="1:14" ht="15.75" customHeight="1">
      <c r="A352" s="66">
        <v>349</v>
      </c>
      <c r="B352" s="6">
        <v>2000</v>
      </c>
      <c r="C352" s="416" t="s">
        <v>1621</v>
      </c>
      <c r="D352" s="7" t="s">
        <v>1622</v>
      </c>
      <c r="E352" s="7" t="s">
        <v>1623</v>
      </c>
      <c r="F352" s="7" t="s">
        <v>1104</v>
      </c>
      <c r="G352" s="7" t="s">
        <v>1624</v>
      </c>
      <c r="H352" s="6" t="s">
        <v>1625</v>
      </c>
      <c r="I352" s="7" t="s">
        <v>1553</v>
      </c>
      <c r="J352" s="12" t="s">
        <v>787</v>
      </c>
      <c r="K352" s="12" t="s">
        <v>788</v>
      </c>
      <c r="L352" s="1">
        <v>85</v>
      </c>
      <c r="M352" s="12" t="s">
        <v>1835</v>
      </c>
      <c r="N352" s="13" t="s">
        <v>1554</v>
      </c>
    </row>
    <row r="353" spans="1:14" ht="15.75" customHeight="1">
      <c r="A353" s="66">
        <v>350</v>
      </c>
      <c r="B353" s="6">
        <v>2000</v>
      </c>
      <c r="C353" s="323"/>
      <c r="D353" s="7" t="s">
        <v>1626</v>
      </c>
      <c r="E353" s="7" t="s">
        <v>1627</v>
      </c>
      <c r="F353" s="7" t="s">
        <v>1107</v>
      </c>
      <c r="G353" s="7" t="s">
        <v>1628</v>
      </c>
      <c r="H353" s="6">
        <v>1112042004</v>
      </c>
      <c r="I353" s="7" t="s">
        <v>1553</v>
      </c>
      <c r="J353" s="12" t="s">
        <v>787</v>
      </c>
      <c r="K353" s="12" t="s">
        <v>788</v>
      </c>
      <c r="L353" s="1">
        <v>85</v>
      </c>
      <c r="M353" s="12" t="s">
        <v>1835</v>
      </c>
      <c r="N353" s="13" t="s">
        <v>1554</v>
      </c>
    </row>
    <row r="354" spans="1:14" ht="15.75" customHeight="1">
      <c r="A354" s="66">
        <v>351</v>
      </c>
      <c r="B354" s="6">
        <v>2000</v>
      </c>
      <c r="C354" s="323"/>
      <c r="D354" s="7" t="s">
        <v>1629</v>
      </c>
      <c r="E354" s="7" t="s">
        <v>1630</v>
      </c>
      <c r="F354" s="7" t="s">
        <v>1109</v>
      </c>
      <c r="G354" s="7" t="s">
        <v>1631</v>
      </c>
      <c r="H354" s="6">
        <v>1112042005</v>
      </c>
      <c r="I354" s="7" t="s">
        <v>1553</v>
      </c>
      <c r="J354" s="12" t="s">
        <v>787</v>
      </c>
      <c r="K354" s="12" t="s">
        <v>788</v>
      </c>
      <c r="L354" s="1">
        <v>85</v>
      </c>
      <c r="M354" s="12" t="s">
        <v>1835</v>
      </c>
      <c r="N354" s="13" t="s">
        <v>1554</v>
      </c>
    </row>
    <row r="355" spans="1:14" ht="15.75" customHeight="1">
      <c r="A355" s="66">
        <v>352</v>
      </c>
      <c r="B355" s="6">
        <v>2000</v>
      </c>
      <c r="C355" s="324"/>
      <c r="D355" s="7" t="s">
        <v>1632</v>
      </c>
      <c r="E355" s="7" t="s">
        <v>1633</v>
      </c>
      <c r="F355" s="7" t="s">
        <v>1174</v>
      </c>
      <c r="G355" s="7" t="s">
        <v>2322</v>
      </c>
      <c r="H355" s="6">
        <v>1112042006</v>
      </c>
      <c r="I355" s="7" t="s">
        <v>1553</v>
      </c>
      <c r="J355" s="12" t="s">
        <v>787</v>
      </c>
      <c r="K355" s="12" t="s">
        <v>788</v>
      </c>
      <c r="L355" s="1">
        <v>85</v>
      </c>
      <c r="M355" s="12" t="s">
        <v>1835</v>
      </c>
      <c r="N355" s="13" t="s">
        <v>1554</v>
      </c>
    </row>
    <row r="356" spans="1:14" ht="15.75" customHeight="1">
      <c r="A356" s="66">
        <v>353</v>
      </c>
      <c r="B356" s="6">
        <v>2000</v>
      </c>
      <c r="C356" s="56" t="s">
        <v>1635</v>
      </c>
      <c r="D356" s="24" t="s">
        <v>1636</v>
      </c>
      <c r="E356" s="24" t="s">
        <v>1637</v>
      </c>
      <c r="F356" s="7" t="s">
        <v>1179</v>
      </c>
      <c r="G356" s="24" t="s">
        <v>1637</v>
      </c>
      <c r="H356" s="6" t="s">
        <v>1638</v>
      </c>
      <c r="I356" s="7" t="s">
        <v>1553</v>
      </c>
      <c r="J356" s="12" t="s">
        <v>787</v>
      </c>
      <c r="K356" s="12" t="s">
        <v>2304</v>
      </c>
      <c r="L356" s="1">
        <v>85</v>
      </c>
      <c r="M356" s="12" t="s">
        <v>2305</v>
      </c>
      <c r="N356" s="13" t="s">
        <v>1554</v>
      </c>
    </row>
    <row r="357" spans="1:14" ht="15.75" customHeight="1">
      <c r="A357" s="66">
        <v>354</v>
      </c>
      <c r="B357" s="6">
        <v>2000</v>
      </c>
      <c r="C357" s="416" t="s">
        <v>1456</v>
      </c>
      <c r="D357" s="7" t="s">
        <v>1640</v>
      </c>
      <c r="E357" s="7" t="s">
        <v>1641</v>
      </c>
      <c r="F357" s="7" t="s">
        <v>1183</v>
      </c>
      <c r="G357" s="7" t="s">
        <v>1641</v>
      </c>
      <c r="H357" s="6">
        <v>1112042011</v>
      </c>
      <c r="I357" s="7" t="s">
        <v>1553</v>
      </c>
      <c r="J357" s="12" t="s">
        <v>787</v>
      </c>
      <c r="K357" s="12" t="s">
        <v>2303</v>
      </c>
      <c r="L357" s="1">
        <v>85</v>
      </c>
      <c r="M357" s="12" t="s">
        <v>1835</v>
      </c>
      <c r="N357" s="13" t="s">
        <v>1554</v>
      </c>
    </row>
    <row r="358" spans="1:14" ht="15.75" customHeight="1">
      <c r="A358" s="66">
        <v>355</v>
      </c>
      <c r="B358" s="6">
        <v>2000</v>
      </c>
      <c r="C358" s="323"/>
      <c r="D358" s="7" t="s">
        <v>1644</v>
      </c>
      <c r="E358" s="7" t="s">
        <v>1645</v>
      </c>
      <c r="F358" s="7" t="s">
        <v>1187</v>
      </c>
      <c r="G358" s="7" t="s">
        <v>1645</v>
      </c>
      <c r="H358" s="6">
        <v>1112042007</v>
      </c>
      <c r="I358" s="7" t="s">
        <v>1553</v>
      </c>
      <c r="J358" s="12" t="s">
        <v>787</v>
      </c>
      <c r="K358" s="12" t="s">
        <v>2323</v>
      </c>
      <c r="L358" s="1">
        <v>85</v>
      </c>
      <c r="M358" s="12" t="s">
        <v>1835</v>
      </c>
      <c r="N358" s="13" t="s">
        <v>1554</v>
      </c>
    </row>
    <row r="359" spans="1:14" ht="15.75" customHeight="1">
      <c r="A359" s="66">
        <v>356</v>
      </c>
      <c r="B359" s="6">
        <v>2000</v>
      </c>
      <c r="C359" s="323"/>
      <c r="D359" s="7" t="s">
        <v>1651</v>
      </c>
      <c r="E359" s="7" t="s">
        <v>1652</v>
      </c>
      <c r="F359" s="7" t="s">
        <v>1191</v>
      </c>
      <c r="G359" s="7" t="s">
        <v>1652</v>
      </c>
      <c r="H359" s="6">
        <v>1112042008</v>
      </c>
      <c r="I359" s="7" t="s">
        <v>1553</v>
      </c>
      <c r="J359" s="12" t="s">
        <v>787</v>
      </c>
      <c r="K359" s="12" t="s">
        <v>2323</v>
      </c>
      <c r="L359" s="1">
        <v>85</v>
      </c>
      <c r="M359" s="12" t="s">
        <v>1835</v>
      </c>
      <c r="N359" s="13" t="s">
        <v>1554</v>
      </c>
    </row>
    <row r="360" spans="1:14" ht="15.75" customHeight="1">
      <c r="A360" s="66">
        <v>357</v>
      </c>
      <c r="B360" s="6">
        <v>2000</v>
      </c>
      <c r="C360" s="324"/>
      <c r="D360" s="7" t="s">
        <v>1659</v>
      </c>
      <c r="E360" s="7" t="s">
        <v>1660</v>
      </c>
      <c r="F360" s="7" t="s">
        <v>1195</v>
      </c>
      <c r="G360" s="7" t="s">
        <v>1660</v>
      </c>
      <c r="H360" s="6">
        <v>1112042009</v>
      </c>
      <c r="I360" s="7" t="s">
        <v>1553</v>
      </c>
      <c r="J360" s="12" t="s">
        <v>787</v>
      </c>
      <c r="K360" s="12" t="s">
        <v>2323</v>
      </c>
      <c r="L360" s="1">
        <v>85</v>
      </c>
      <c r="M360" s="12" t="s">
        <v>1835</v>
      </c>
      <c r="N360" s="13" t="s">
        <v>1554</v>
      </c>
    </row>
    <row r="361" spans="1:14" ht="15.75" customHeight="1">
      <c r="A361" s="66">
        <v>358</v>
      </c>
      <c r="B361" s="6">
        <v>2000</v>
      </c>
      <c r="C361" s="419" t="s">
        <v>1514</v>
      </c>
      <c r="D361" s="7" t="s">
        <v>1667</v>
      </c>
      <c r="E361" s="7" t="s">
        <v>1668</v>
      </c>
      <c r="F361" s="7" t="s">
        <v>1221</v>
      </c>
      <c r="G361" s="7" t="s">
        <v>1668</v>
      </c>
      <c r="H361" s="6">
        <v>1112044003</v>
      </c>
      <c r="I361" s="7" t="s">
        <v>1553</v>
      </c>
      <c r="J361" s="12" t="s">
        <v>787</v>
      </c>
      <c r="K361" s="12" t="s">
        <v>2323</v>
      </c>
      <c r="L361" s="1">
        <v>85</v>
      </c>
      <c r="M361" s="12" t="s">
        <v>1835</v>
      </c>
      <c r="N361" s="13" t="s">
        <v>1554</v>
      </c>
    </row>
    <row r="362" spans="1:14" ht="15.75" customHeight="1">
      <c r="A362" s="66">
        <v>359</v>
      </c>
      <c r="B362" s="6">
        <v>2000</v>
      </c>
      <c r="C362" s="323"/>
      <c r="D362" s="7" t="s">
        <v>1671</v>
      </c>
      <c r="E362" s="7" t="s">
        <v>1672</v>
      </c>
      <c r="F362" s="7" t="s">
        <v>1229</v>
      </c>
      <c r="G362" s="7" t="s">
        <v>1672</v>
      </c>
      <c r="H362" s="6">
        <v>1112044004</v>
      </c>
      <c r="I362" s="7" t="s">
        <v>1553</v>
      </c>
      <c r="J362" s="12" t="s">
        <v>787</v>
      </c>
      <c r="K362" s="12" t="s">
        <v>2323</v>
      </c>
      <c r="L362" s="1">
        <v>85</v>
      </c>
      <c r="M362" s="12" t="s">
        <v>1835</v>
      </c>
      <c r="N362" s="13" t="s">
        <v>1554</v>
      </c>
    </row>
    <row r="363" spans="1:14" ht="15.75" customHeight="1">
      <c r="A363" s="66">
        <v>360</v>
      </c>
      <c r="B363" s="6">
        <v>2000</v>
      </c>
      <c r="C363" s="324"/>
      <c r="D363" s="7" t="s">
        <v>1673</v>
      </c>
      <c r="E363" s="7" t="s">
        <v>1674</v>
      </c>
      <c r="F363" s="7" t="s">
        <v>1233</v>
      </c>
      <c r="G363" s="7" t="s">
        <v>1674</v>
      </c>
      <c r="H363" s="6">
        <v>1112044005</v>
      </c>
      <c r="I363" s="7" t="s">
        <v>1553</v>
      </c>
      <c r="J363" s="12" t="s">
        <v>787</v>
      </c>
      <c r="K363" s="12" t="s">
        <v>2323</v>
      </c>
      <c r="L363" s="1">
        <v>85</v>
      </c>
      <c r="M363" s="12" t="s">
        <v>1835</v>
      </c>
      <c r="N363" s="13" t="s">
        <v>1554</v>
      </c>
    </row>
    <row r="364" spans="1:14" ht="15.75" customHeight="1">
      <c r="A364" s="66">
        <v>361</v>
      </c>
      <c r="B364" s="6">
        <v>2000</v>
      </c>
      <c r="C364" s="416" t="s">
        <v>1675</v>
      </c>
      <c r="D364" s="7" t="s">
        <v>1676</v>
      </c>
      <c r="E364" s="7" t="s">
        <v>1677</v>
      </c>
      <c r="F364" s="7" t="s">
        <v>1237</v>
      </c>
      <c r="G364" s="7" t="s">
        <v>1677</v>
      </c>
      <c r="H364" s="6" t="s">
        <v>1678</v>
      </c>
      <c r="I364" s="7" t="s">
        <v>1679</v>
      </c>
      <c r="J364" s="58">
        <v>0.3125</v>
      </c>
      <c r="K364" s="58">
        <v>0.64583333333333337</v>
      </c>
      <c r="L364" s="1">
        <v>85</v>
      </c>
      <c r="M364" s="58">
        <v>4.1666666666666664E-2</v>
      </c>
      <c r="N364" s="13" t="s">
        <v>1680</v>
      </c>
    </row>
    <row r="365" spans="1:14" ht="15.75" customHeight="1">
      <c r="A365" s="66">
        <v>362</v>
      </c>
      <c r="B365" s="6">
        <v>2000</v>
      </c>
      <c r="C365" s="323"/>
      <c r="D365" s="7" t="s">
        <v>1681</v>
      </c>
      <c r="E365" s="7" t="s">
        <v>1682</v>
      </c>
      <c r="F365" s="7" t="s">
        <v>1241</v>
      </c>
      <c r="G365" s="7" t="s">
        <v>1682</v>
      </c>
      <c r="H365" s="6" t="s">
        <v>1683</v>
      </c>
      <c r="I365" s="7" t="s">
        <v>1679</v>
      </c>
      <c r="J365" s="58">
        <v>0.3125</v>
      </c>
      <c r="K365" s="58">
        <v>0.64583333333333337</v>
      </c>
      <c r="L365" s="1">
        <v>85</v>
      </c>
      <c r="M365" s="58">
        <v>4.1666666666666664E-2</v>
      </c>
      <c r="N365" s="13" t="s">
        <v>1680</v>
      </c>
    </row>
    <row r="366" spans="1:14" ht="15.75" customHeight="1">
      <c r="A366" s="66">
        <v>363</v>
      </c>
      <c r="B366" s="6">
        <v>2000</v>
      </c>
      <c r="C366" s="323"/>
      <c r="D366" s="7" t="s">
        <v>1684</v>
      </c>
      <c r="E366" s="7" t="s">
        <v>1685</v>
      </c>
      <c r="F366" s="7" t="s">
        <v>1245</v>
      </c>
      <c r="G366" s="7" t="s">
        <v>1685</v>
      </c>
      <c r="H366" s="6" t="s">
        <v>1686</v>
      </c>
      <c r="I366" s="7" t="s">
        <v>1679</v>
      </c>
      <c r="J366" s="58">
        <v>0.3125</v>
      </c>
      <c r="K366" s="58">
        <v>0.64583333333333337</v>
      </c>
      <c r="L366" s="1">
        <v>85</v>
      </c>
      <c r="M366" s="58">
        <v>4.1666666666666664E-2</v>
      </c>
      <c r="N366" s="13" t="s">
        <v>1680</v>
      </c>
    </row>
    <row r="367" spans="1:14" ht="15.75" customHeight="1">
      <c r="A367" s="66">
        <v>364</v>
      </c>
      <c r="B367" s="6">
        <v>2000</v>
      </c>
      <c r="C367" s="324"/>
      <c r="D367" s="7" t="s">
        <v>1687</v>
      </c>
      <c r="E367" s="7" t="s">
        <v>1688</v>
      </c>
      <c r="F367" s="7" t="s">
        <v>1280</v>
      </c>
      <c r="G367" s="7" t="s">
        <v>1688</v>
      </c>
      <c r="H367" s="6" t="s">
        <v>2324</v>
      </c>
      <c r="I367" s="7" t="s">
        <v>1679</v>
      </c>
      <c r="J367" s="58">
        <v>0.3125</v>
      </c>
      <c r="K367" s="58">
        <v>0.64583333333333337</v>
      </c>
      <c r="L367" s="1">
        <v>85</v>
      </c>
      <c r="M367" s="58">
        <v>4.1666666666666664E-2</v>
      </c>
      <c r="N367" s="13" t="s">
        <v>1680</v>
      </c>
    </row>
    <row r="368" spans="1:14" ht="15.75" customHeight="1">
      <c r="A368" s="66">
        <v>365</v>
      </c>
      <c r="B368" s="6">
        <v>2000</v>
      </c>
      <c r="C368" s="416" t="s">
        <v>1690</v>
      </c>
      <c r="D368" s="7" t="s">
        <v>1691</v>
      </c>
      <c r="E368" s="7" t="s">
        <v>1692</v>
      </c>
      <c r="F368" s="7" t="s">
        <v>1285</v>
      </c>
      <c r="G368" s="7" t="s">
        <v>1692</v>
      </c>
      <c r="H368" s="6" t="s">
        <v>1693</v>
      </c>
      <c r="I368" s="7" t="s">
        <v>1679</v>
      </c>
      <c r="J368" s="58">
        <v>0.3125</v>
      </c>
      <c r="K368" s="58">
        <v>0.3125</v>
      </c>
      <c r="L368" s="1">
        <v>85</v>
      </c>
      <c r="M368" s="58">
        <v>0.16666666666666666</v>
      </c>
      <c r="N368" s="13" t="s">
        <v>1680</v>
      </c>
    </row>
    <row r="369" spans="1:14" ht="15.75" customHeight="1">
      <c r="A369" s="66">
        <v>366</v>
      </c>
      <c r="B369" s="6">
        <v>2000</v>
      </c>
      <c r="C369" s="323"/>
      <c r="D369" s="7" t="s">
        <v>1694</v>
      </c>
      <c r="E369" s="7" t="s">
        <v>1695</v>
      </c>
      <c r="F369" s="7" t="s">
        <v>1290</v>
      </c>
      <c r="G369" s="7" t="s">
        <v>1695</v>
      </c>
      <c r="H369" s="6" t="s">
        <v>1696</v>
      </c>
      <c r="I369" s="7" t="s">
        <v>1679</v>
      </c>
      <c r="J369" s="58">
        <v>0.3125</v>
      </c>
      <c r="K369" s="58">
        <v>0.64583333333333337</v>
      </c>
      <c r="L369" s="1">
        <v>85</v>
      </c>
      <c r="M369" s="58">
        <v>4.1666666666666664E-2</v>
      </c>
      <c r="N369" s="13" t="s">
        <v>1680</v>
      </c>
    </row>
    <row r="370" spans="1:14" ht="15.75" customHeight="1">
      <c r="A370" s="66">
        <v>367</v>
      </c>
      <c r="B370" s="6">
        <v>2000</v>
      </c>
      <c r="C370" s="323"/>
      <c r="D370" s="7" t="s">
        <v>1697</v>
      </c>
      <c r="E370" s="7" t="s">
        <v>1698</v>
      </c>
      <c r="F370" s="7" t="s">
        <v>1295</v>
      </c>
      <c r="G370" s="7" t="s">
        <v>1698</v>
      </c>
      <c r="H370" s="6" t="s">
        <v>1699</v>
      </c>
      <c r="I370" s="7" t="s">
        <v>1679</v>
      </c>
      <c r="J370" s="58">
        <v>0.3125</v>
      </c>
      <c r="K370" s="58">
        <v>0.64583333333333337</v>
      </c>
      <c r="L370" s="1">
        <v>85</v>
      </c>
      <c r="M370" s="58">
        <v>4.1666666666666664E-2</v>
      </c>
      <c r="N370" s="13" t="s">
        <v>1680</v>
      </c>
    </row>
    <row r="371" spans="1:14" ht="15.75" customHeight="1">
      <c r="A371" s="66">
        <v>368</v>
      </c>
      <c r="B371" s="6">
        <v>2000</v>
      </c>
      <c r="C371" s="323"/>
      <c r="D371" s="7" t="s">
        <v>1700</v>
      </c>
      <c r="E371" s="7" t="s">
        <v>1701</v>
      </c>
      <c r="F371" s="7" t="s">
        <v>1300</v>
      </c>
      <c r="G371" s="7" t="s">
        <v>1701</v>
      </c>
      <c r="H371" s="6" t="s">
        <v>1702</v>
      </c>
      <c r="I371" s="7" t="s">
        <v>1679</v>
      </c>
      <c r="J371" s="58">
        <v>0.3125</v>
      </c>
      <c r="K371" s="58">
        <v>0.64583333333333337</v>
      </c>
      <c r="L371" s="1">
        <v>85</v>
      </c>
      <c r="M371" s="58">
        <v>4.1666666666666664E-2</v>
      </c>
      <c r="N371" s="13" t="s">
        <v>1680</v>
      </c>
    </row>
    <row r="372" spans="1:14" ht="15.75" customHeight="1">
      <c r="A372" s="66">
        <v>369</v>
      </c>
      <c r="B372" s="6">
        <v>2000</v>
      </c>
      <c r="C372" s="324"/>
      <c r="D372" s="7" t="s">
        <v>1703</v>
      </c>
      <c r="E372" s="7" t="s">
        <v>1704</v>
      </c>
      <c r="F372" s="7" t="s">
        <v>1305</v>
      </c>
      <c r="G372" s="7" t="s">
        <v>1704</v>
      </c>
      <c r="H372" s="6" t="s">
        <v>1705</v>
      </c>
      <c r="I372" s="7" t="s">
        <v>1679</v>
      </c>
      <c r="J372" s="58">
        <v>0.3125</v>
      </c>
      <c r="K372" s="58">
        <v>0.64583333333333337</v>
      </c>
      <c r="L372" s="1">
        <v>85</v>
      </c>
      <c r="M372" s="58">
        <v>4.1666666666666664E-2</v>
      </c>
      <c r="N372" s="13" t="s">
        <v>1680</v>
      </c>
    </row>
    <row r="373" spans="1:14" ht="15.75" customHeight="1">
      <c r="A373" s="66">
        <v>370</v>
      </c>
      <c r="B373" s="6">
        <v>2000</v>
      </c>
      <c r="C373" s="416" t="s">
        <v>1706</v>
      </c>
      <c r="D373" s="7" t="s">
        <v>1707</v>
      </c>
      <c r="E373" s="7" t="s">
        <v>1708</v>
      </c>
      <c r="F373" s="7" t="s">
        <v>1309</v>
      </c>
      <c r="G373" s="7" t="s">
        <v>1708</v>
      </c>
      <c r="H373" s="6" t="s">
        <v>1709</v>
      </c>
      <c r="I373" s="7" t="s">
        <v>1679</v>
      </c>
      <c r="J373" s="58">
        <v>0.3125</v>
      </c>
      <c r="K373" s="58">
        <v>0.97916666666666663</v>
      </c>
      <c r="L373" s="1">
        <v>85</v>
      </c>
      <c r="M373" s="58">
        <v>8.3333333333333329E-2</v>
      </c>
      <c r="N373" s="13" t="s">
        <v>1680</v>
      </c>
    </row>
    <row r="374" spans="1:14" ht="15.75" customHeight="1">
      <c r="A374" s="66">
        <v>371</v>
      </c>
      <c r="B374" s="6">
        <v>2000</v>
      </c>
      <c r="C374" s="323"/>
      <c r="D374" s="7" t="s">
        <v>1710</v>
      </c>
      <c r="E374" s="7" t="s">
        <v>1711</v>
      </c>
      <c r="F374" s="7" t="s">
        <v>1313</v>
      </c>
      <c r="G374" s="7" t="s">
        <v>1711</v>
      </c>
      <c r="H374" s="6" t="s">
        <v>1712</v>
      </c>
      <c r="I374" s="7" t="s">
        <v>1679</v>
      </c>
      <c r="J374" s="58">
        <v>0.3125</v>
      </c>
      <c r="K374" s="58">
        <v>0.64583333333333337</v>
      </c>
      <c r="L374" s="1">
        <v>85</v>
      </c>
      <c r="M374" s="58">
        <v>4.1666666666666664E-2</v>
      </c>
      <c r="N374" s="13" t="s">
        <v>1680</v>
      </c>
    </row>
    <row r="375" spans="1:14" ht="15.75" customHeight="1">
      <c r="A375" s="66">
        <v>372</v>
      </c>
      <c r="B375" s="6">
        <v>2000</v>
      </c>
      <c r="C375" s="323"/>
      <c r="D375" s="7" t="s">
        <v>1713</v>
      </c>
      <c r="E375" s="7" t="s">
        <v>1714</v>
      </c>
      <c r="F375" s="7" t="s">
        <v>1317</v>
      </c>
      <c r="G375" s="7" t="s">
        <v>1715</v>
      </c>
      <c r="H375" s="6" t="s">
        <v>1716</v>
      </c>
      <c r="I375" s="7" t="s">
        <v>1679</v>
      </c>
      <c r="J375" s="58">
        <v>0.3125</v>
      </c>
      <c r="K375" s="58">
        <v>0.64583333333333337</v>
      </c>
      <c r="L375" s="1">
        <v>85</v>
      </c>
      <c r="M375" s="58">
        <v>4.1666666666666664E-2</v>
      </c>
      <c r="N375" s="13" t="s">
        <v>1680</v>
      </c>
    </row>
    <row r="376" spans="1:14" ht="15.75" customHeight="1">
      <c r="A376" s="66">
        <v>373</v>
      </c>
      <c r="B376" s="6">
        <v>2000</v>
      </c>
      <c r="C376" s="323"/>
      <c r="D376" s="7"/>
      <c r="E376" s="7"/>
      <c r="F376" s="7" t="s">
        <v>1321</v>
      </c>
      <c r="G376" s="7" t="s">
        <v>1717</v>
      </c>
      <c r="H376" s="6" t="s">
        <v>1716</v>
      </c>
      <c r="I376" s="7" t="s">
        <v>1679</v>
      </c>
      <c r="J376" s="58">
        <v>0.3125</v>
      </c>
      <c r="K376" s="58">
        <v>0.64583333333333337</v>
      </c>
      <c r="L376" s="1">
        <v>85</v>
      </c>
      <c r="M376" s="58">
        <v>4.1666666666666664E-2</v>
      </c>
      <c r="N376" s="13" t="s">
        <v>1680</v>
      </c>
    </row>
    <row r="377" spans="1:14" ht="15.75" customHeight="1">
      <c r="A377" s="66">
        <v>374</v>
      </c>
      <c r="B377" s="6">
        <v>2000</v>
      </c>
      <c r="C377" s="323"/>
      <c r="D377" s="7"/>
      <c r="E377" s="7"/>
      <c r="F377" s="7" t="s">
        <v>1325</v>
      </c>
      <c r="G377" s="7" t="s">
        <v>1718</v>
      </c>
      <c r="H377" s="6" t="s">
        <v>1716</v>
      </c>
      <c r="I377" s="7" t="s">
        <v>1679</v>
      </c>
      <c r="J377" s="58">
        <v>0.3125</v>
      </c>
      <c r="K377" s="58">
        <v>0.64583333333333337</v>
      </c>
      <c r="L377" s="1">
        <v>85</v>
      </c>
      <c r="M377" s="58">
        <v>4.1666666666666664E-2</v>
      </c>
      <c r="N377" s="13" t="s">
        <v>1680</v>
      </c>
    </row>
    <row r="378" spans="1:14" ht="15.75" customHeight="1">
      <c r="A378" s="66">
        <v>375</v>
      </c>
      <c r="B378" s="6">
        <v>2000</v>
      </c>
      <c r="C378" s="324"/>
      <c r="D378" s="7"/>
      <c r="E378" s="7"/>
      <c r="F378" s="7" t="s">
        <v>1329</v>
      </c>
      <c r="G378" s="7" t="s">
        <v>1719</v>
      </c>
      <c r="H378" s="6" t="s">
        <v>1716</v>
      </c>
      <c r="I378" s="7" t="s">
        <v>1679</v>
      </c>
      <c r="J378" s="58">
        <v>0.3125</v>
      </c>
      <c r="K378" s="58">
        <v>0.64583333333333337</v>
      </c>
      <c r="L378" s="1">
        <v>85</v>
      </c>
      <c r="M378" s="58">
        <v>4.1666666666666664E-2</v>
      </c>
      <c r="N378" s="13" t="s">
        <v>1680</v>
      </c>
    </row>
    <row r="379" spans="1:14" ht="15.75" customHeight="1">
      <c r="A379" s="66">
        <v>376</v>
      </c>
      <c r="B379" s="6">
        <v>2000</v>
      </c>
      <c r="C379" s="416" t="s">
        <v>1720</v>
      </c>
      <c r="D379" s="7" t="s">
        <v>1721</v>
      </c>
      <c r="E379" s="7" t="s">
        <v>1722</v>
      </c>
      <c r="F379" s="7" t="s">
        <v>1333</v>
      </c>
      <c r="G379" s="7" t="s">
        <v>1722</v>
      </c>
      <c r="H379" s="6" t="s">
        <v>1724</v>
      </c>
      <c r="I379" s="7" t="s">
        <v>1679</v>
      </c>
      <c r="J379" s="58">
        <v>0.3125</v>
      </c>
      <c r="K379" s="58">
        <v>0.64583333333333337</v>
      </c>
      <c r="L379" s="1">
        <v>85</v>
      </c>
      <c r="M379" s="58">
        <v>4.1666666666666664E-2</v>
      </c>
      <c r="N379" s="13" t="s">
        <v>1680</v>
      </c>
    </row>
    <row r="380" spans="1:14" ht="15.75" customHeight="1">
      <c r="A380" s="66">
        <v>377</v>
      </c>
      <c r="B380" s="6">
        <v>2000</v>
      </c>
      <c r="C380" s="323"/>
      <c r="D380" s="7" t="s">
        <v>1725</v>
      </c>
      <c r="E380" s="7" t="s">
        <v>1726</v>
      </c>
      <c r="F380" s="7" t="s">
        <v>1337</v>
      </c>
      <c r="G380" s="7" t="s">
        <v>1726</v>
      </c>
      <c r="H380" s="6" t="s">
        <v>1727</v>
      </c>
      <c r="I380" s="7" t="s">
        <v>1679</v>
      </c>
      <c r="J380" s="58">
        <v>0.3125</v>
      </c>
      <c r="K380" s="58">
        <v>0.64583333333333337</v>
      </c>
      <c r="L380" s="1">
        <v>85</v>
      </c>
      <c r="M380" s="58">
        <v>4.1666666666666664E-2</v>
      </c>
      <c r="N380" s="13" t="s">
        <v>1680</v>
      </c>
    </row>
    <row r="381" spans="1:14" ht="15.75" customHeight="1">
      <c r="A381" s="66">
        <v>378</v>
      </c>
      <c r="B381" s="6">
        <v>2000</v>
      </c>
      <c r="C381" s="323"/>
      <c r="D381" s="7" t="s">
        <v>1728</v>
      </c>
      <c r="E381" s="7" t="s">
        <v>1729</v>
      </c>
      <c r="F381" s="7" t="s">
        <v>1341</v>
      </c>
      <c r="G381" s="7" t="s">
        <v>1729</v>
      </c>
      <c r="H381" s="6" t="s">
        <v>1730</v>
      </c>
      <c r="I381" s="7" t="s">
        <v>1679</v>
      </c>
      <c r="J381" s="58">
        <v>0.3125</v>
      </c>
      <c r="K381" s="58">
        <v>0.64583333333333337</v>
      </c>
      <c r="L381" s="1">
        <v>85</v>
      </c>
      <c r="M381" s="58">
        <v>4.1666666666666664E-2</v>
      </c>
      <c r="N381" s="13" t="s">
        <v>1680</v>
      </c>
    </row>
    <row r="382" spans="1:14" ht="15.75" customHeight="1">
      <c r="A382" s="66">
        <v>379</v>
      </c>
      <c r="B382" s="6">
        <v>2000</v>
      </c>
      <c r="C382" s="324"/>
      <c r="D382" s="7" t="s">
        <v>1731</v>
      </c>
      <c r="E382" s="7" t="s">
        <v>1732</v>
      </c>
      <c r="F382" s="7" t="s">
        <v>1345</v>
      </c>
      <c r="G382" s="7" t="s">
        <v>1732</v>
      </c>
      <c r="H382" s="6" t="s">
        <v>1734</v>
      </c>
      <c r="I382" s="7" t="s">
        <v>1679</v>
      </c>
      <c r="J382" s="58">
        <v>0.75</v>
      </c>
      <c r="K382" s="58">
        <v>8.3333333333333329E-2</v>
      </c>
      <c r="L382" s="1">
        <v>85</v>
      </c>
      <c r="M382" s="58">
        <v>4.1666666666666664E-2</v>
      </c>
      <c r="N382" s="13" t="s">
        <v>1680</v>
      </c>
    </row>
    <row r="383" spans="1:14" ht="15.75" customHeight="1">
      <c r="A383" s="66">
        <v>380</v>
      </c>
      <c r="B383" s="6">
        <v>2000</v>
      </c>
      <c r="C383" s="55" t="s">
        <v>1739</v>
      </c>
      <c r="D383" s="7" t="s">
        <v>1740</v>
      </c>
      <c r="E383" s="7" t="s">
        <v>1741</v>
      </c>
      <c r="F383" s="7" t="s">
        <v>1349</v>
      </c>
      <c r="G383" s="7" t="s">
        <v>1741</v>
      </c>
      <c r="H383" s="6" t="s">
        <v>1742</v>
      </c>
      <c r="I383" s="7" t="s">
        <v>1679</v>
      </c>
      <c r="J383" s="58">
        <v>0.3125</v>
      </c>
      <c r="K383" s="58">
        <v>0.64583333333333337</v>
      </c>
      <c r="L383" s="1">
        <v>85</v>
      </c>
      <c r="M383" s="58">
        <v>4.1666666666666664E-2</v>
      </c>
      <c r="N383" s="13" t="s">
        <v>1680</v>
      </c>
    </row>
    <row r="384" spans="1:14" ht="15.75" customHeight="1">
      <c r="A384" s="66">
        <v>381</v>
      </c>
      <c r="B384" s="6">
        <v>2000</v>
      </c>
      <c r="C384" s="416" t="s">
        <v>1743</v>
      </c>
      <c r="D384" s="7" t="s">
        <v>1744</v>
      </c>
      <c r="E384" s="7" t="s">
        <v>1745</v>
      </c>
      <c r="F384" s="7" t="s">
        <v>1733</v>
      </c>
      <c r="G384" s="7" t="s">
        <v>1745</v>
      </c>
      <c r="H384" s="6" t="s">
        <v>1746</v>
      </c>
      <c r="I384" s="7" t="s">
        <v>1747</v>
      </c>
      <c r="J384" s="12" t="s">
        <v>787</v>
      </c>
      <c r="K384" s="12" t="s">
        <v>2325</v>
      </c>
      <c r="L384" s="1">
        <v>85</v>
      </c>
      <c r="M384" s="12" t="s">
        <v>2305</v>
      </c>
      <c r="N384" s="13" t="s">
        <v>1175</v>
      </c>
    </row>
    <row r="385" spans="1:26" ht="15.75" customHeight="1">
      <c r="A385" s="66">
        <v>382</v>
      </c>
      <c r="B385" s="6">
        <v>2000</v>
      </c>
      <c r="C385" s="324"/>
      <c r="D385" s="7" t="s">
        <v>1748</v>
      </c>
      <c r="E385" s="7" t="s">
        <v>1749</v>
      </c>
      <c r="F385" s="7" t="s">
        <v>1735</v>
      </c>
      <c r="G385" s="7" t="s">
        <v>1749</v>
      </c>
      <c r="H385" s="6" t="s">
        <v>1750</v>
      </c>
      <c r="I385" s="7" t="s">
        <v>1747</v>
      </c>
      <c r="J385" s="12" t="s">
        <v>787</v>
      </c>
      <c r="K385" s="12" t="s">
        <v>2325</v>
      </c>
      <c r="L385" s="1">
        <v>85</v>
      </c>
      <c r="M385" s="12" t="s">
        <v>2305</v>
      </c>
      <c r="N385" s="13" t="s">
        <v>1175</v>
      </c>
    </row>
    <row r="386" spans="1:26" ht="15.75" customHeight="1">
      <c r="A386" s="66">
        <v>383</v>
      </c>
      <c r="B386" s="6">
        <v>1300</v>
      </c>
      <c r="C386" s="416" t="s">
        <v>1776</v>
      </c>
      <c r="D386" s="7" t="s">
        <v>1777</v>
      </c>
      <c r="E386" s="7" t="s">
        <v>1778</v>
      </c>
      <c r="F386" s="7" t="s">
        <v>1737</v>
      </c>
      <c r="G386" s="7" t="s">
        <v>1778</v>
      </c>
      <c r="H386" s="6" t="s">
        <v>1779</v>
      </c>
      <c r="I386" s="7" t="s">
        <v>1780</v>
      </c>
      <c r="J386" s="12" t="s">
        <v>787</v>
      </c>
      <c r="K386" s="12" t="s">
        <v>788</v>
      </c>
      <c r="L386" s="1">
        <v>85</v>
      </c>
      <c r="M386" s="12" t="s">
        <v>1835</v>
      </c>
      <c r="N386" s="13" t="s">
        <v>1781</v>
      </c>
    </row>
    <row r="387" spans="1:26" ht="15.75" customHeight="1">
      <c r="A387" s="66">
        <v>384</v>
      </c>
      <c r="B387" s="6">
        <v>1300</v>
      </c>
      <c r="C387" s="324"/>
      <c r="D387" s="7" t="s">
        <v>1782</v>
      </c>
      <c r="E387" s="7" t="s">
        <v>1783</v>
      </c>
      <c r="F387" s="7" t="s">
        <v>1642</v>
      </c>
      <c r="G387" s="7" t="s">
        <v>1783</v>
      </c>
      <c r="H387" s="6" t="s">
        <v>1784</v>
      </c>
      <c r="I387" s="7" t="s">
        <v>1780</v>
      </c>
      <c r="J387" s="12" t="s">
        <v>787</v>
      </c>
      <c r="K387" s="12" t="s">
        <v>788</v>
      </c>
      <c r="L387" s="1">
        <v>85</v>
      </c>
      <c r="M387" s="12" t="s">
        <v>1835</v>
      </c>
      <c r="N387" s="13" t="s">
        <v>1781</v>
      </c>
    </row>
    <row r="388" spans="1:26" ht="15.75" customHeight="1">
      <c r="A388" s="66">
        <v>385</v>
      </c>
      <c r="B388" s="6">
        <v>1300</v>
      </c>
      <c r="C388" s="416" t="s">
        <v>1785</v>
      </c>
      <c r="D388" s="7" t="s">
        <v>1786</v>
      </c>
      <c r="E388" s="7" t="s">
        <v>1787</v>
      </c>
      <c r="F388" s="7" t="s">
        <v>1647</v>
      </c>
      <c r="G388" s="7" t="s">
        <v>1787</v>
      </c>
      <c r="H388" s="6" t="s">
        <v>1788</v>
      </c>
      <c r="I388" s="7" t="s">
        <v>1780</v>
      </c>
      <c r="J388" s="12" t="s">
        <v>787</v>
      </c>
      <c r="K388" s="12" t="s">
        <v>788</v>
      </c>
      <c r="L388" s="1">
        <v>85</v>
      </c>
      <c r="M388" s="12" t="s">
        <v>1835</v>
      </c>
      <c r="N388" s="13" t="s">
        <v>1781</v>
      </c>
    </row>
    <row r="389" spans="1:26" ht="15.75" customHeight="1">
      <c r="A389" s="66">
        <v>386</v>
      </c>
      <c r="B389" s="6">
        <v>1300</v>
      </c>
      <c r="C389" s="323"/>
      <c r="D389" s="7" t="s">
        <v>1789</v>
      </c>
      <c r="E389" s="7" t="s">
        <v>1790</v>
      </c>
      <c r="F389" s="7" t="s">
        <v>1649</v>
      </c>
      <c r="G389" s="7" t="s">
        <v>1790</v>
      </c>
      <c r="H389" s="6" t="s">
        <v>1791</v>
      </c>
      <c r="I389" s="7" t="s">
        <v>1780</v>
      </c>
      <c r="J389" s="12" t="s">
        <v>787</v>
      </c>
      <c r="K389" s="12" t="s">
        <v>788</v>
      </c>
      <c r="L389" s="1">
        <v>85</v>
      </c>
      <c r="M389" s="12" t="s">
        <v>1835</v>
      </c>
      <c r="N389" s="13" t="s">
        <v>1781</v>
      </c>
    </row>
    <row r="390" spans="1:26" ht="15.75" customHeight="1">
      <c r="A390" s="66">
        <v>387</v>
      </c>
      <c r="B390" s="6">
        <v>1300</v>
      </c>
      <c r="C390" s="323"/>
      <c r="D390" s="7" t="s">
        <v>1792</v>
      </c>
      <c r="E390" s="7" t="s">
        <v>1793</v>
      </c>
      <c r="F390" s="7" t="s">
        <v>1653</v>
      </c>
      <c r="G390" s="7" t="s">
        <v>1793</v>
      </c>
      <c r="H390" s="6" t="s">
        <v>1794</v>
      </c>
      <c r="I390" s="7" t="s">
        <v>1780</v>
      </c>
      <c r="J390" s="12" t="s">
        <v>787</v>
      </c>
      <c r="K390" s="12" t="s">
        <v>788</v>
      </c>
      <c r="L390" s="1">
        <v>85</v>
      </c>
      <c r="M390" s="12" t="s">
        <v>1835</v>
      </c>
      <c r="N390" s="13" t="s">
        <v>1781</v>
      </c>
    </row>
    <row r="391" spans="1:26" ht="15.75" customHeight="1">
      <c r="A391" s="66">
        <v>388</v>
      </c>
      <c r="B391" s="6">
        <v>1300</v>
      </c>
      <c r="C391" s="323"/>
      <c r="D391" s="7" t="s">
        <v>1795</v>
      </c>
      <c r="E391" s="7" t="s">
        <v>1796</v>
      </c>
      <c r="F391" s="7" t="s">
        <v>1655</v>
      </c>
      <c r="G391" s="7" t="s">
        <v>1796</v>
      </c>
      <c r="H391" s="6" t="s">
        <v>1797</v>
      </c>
      <c r="I391" s="7" t="s">
        <v>1780</v>
      </c>
      <c r="J391" s="12" t="s">
        <v>787</v>
      </c>
      <c r="K391" s="12" t="s">
        <v>788</v>
      </c>
      <c r="L391" s="1">
        <v>85</v>
      </c>
      <c r="M391" s="12" t="s">
        <v>1835</v>
      </c>
      <c r="N391" s="13" t="s">
        <v>1781</v>
      </c>
    </row>
    <row r="392" spans="1:26" ht="15.75" customHeight="1">
      <c r="A392" s="66">
        <v>389</v>
      </c>
      <c r="B392" s="6">
        <v>1300</v>
      </c>
      <c r="C392" s="323"/>
      <c r="D392" s="7" t="s">
        <v>1798</v>
      </c>
      <c r="E392" s="7" t="s">
        <v>1799</v>
      </c>
      <c r="F392" s="7" t="s">
        <v>1657</v>
      </c>
      <c r="G392" s="7" t="s">
        <v>1799</v>
      </c>
      <c r="H392" s="6" t="s">
        <v>1800</v>
      </c>
      <c r="I392" s="7" t="s">
        <v>1780</v>
      </c>
      <c r="J392" s="12" t="s">
        <v>787</v>
      </c>
      <c r="K392" s="12" t="s">
        <v>788</v>
      </c>
      <c r="L392" s="1">
        <v>85</v>
      </c>
      <c r="M392" s="12" t="s">
        <v>1835</v>
      </c>
      <c r="N392" s="13" t="s">
        <v>1781</v>
      </c>
    </row>
    <row r="393" spans="1:26" ht="15.75" customHeight="1">
      <c r="A393" s="66">
        <v>390</v>
      </c>
      <c r="B393" s="6">
        <v>1300</v>
      </c>
      <c r="C393" s="324"/>
      <c r="D393" s="7" t="s">
        <v>1801</v>
      </c>
      <c r="E393" s="7" t="s">
        <v>1802</v>
      </c>
      <c r="F393" s="7" t="s">
        <v>1661</v>
      </c>
      <c r="G393" s="7" t="s">
        <v>1802</v>
      </c>
      <c r="H393" s="6" t="s">
        <v>1803</v>
      </c>
      <c r="I393" s="7" t="s">
        <v>1780</v>
      </c>
      <c r="J393" s="12" t="s">
        <v>787</v>
      </c>
      <c r="K393" s="12" t="s">
        <v>788</v>
      </c>
      <c r="L393" s="1">
        <v>85</v>
      </c>
      <c r="M393" s="12" t="s">
        <v>1835</v>
      </c>
      <c r="N393" s="13" t="s">
        <v>1781</v>
      </c>
    </row>
    <row r="394" spans="1:26" ht="15.75" customHeight="1">
      <c r="A394" s="191">
        <v>391</v>
      </c>
      <c r="B394" s="33">
        <v>1300</v>
      </c>
      <c r="C394" s="416" t="s">
        <v>1804</v>
      </c>
      <c r="D394" s="32" t="s">
        <v>1805</v>
      </c>
      <c r="E394" s="32" t="s">
        <v>1806</v>
      </c>
      <c r="F394" s="32" t="s">
        <v>1663</v>
      </c>
      <c r="G394" s="32" t="s">
        <v>1806</v>
      </c>
      <c r="H394" s="33" t="s">
        <v>1807</v>
      </c>
      <c r="I394" s="32" t="s">
        <v>1780</v>
      </c>
      <c r="J394" s="34" t="s">
        <v>787</v>
      </c>
      <c r="K394" s="192">
        <v>0.64583333333333337</v>
      </c>
      <c r="L394" s="35">
        <v>85</v>
      </c>
      <c r="M394" s="34" t="s">
        <v>2305</v>
      </c>
      <c r="N394" s="36" t="s">
        <v>1781</v>
      </c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</row>
    <row r="395" spans="1:26" ht="15.75" customHeight="1">
      <c r="A395" s="66">
        <v>392</v>
      </c>
      <c r="B395" s="6">
        <v>1300</v>
      </c>
      <c r="C395" s="323"/>
      <c r="D395" s="7" t="s">
        <v>1808</v>
      </c>
      <c r="E395" s="7" t="s">
        <v>1809</v>
      </c>
      <c r="F395" s="7" t="s">
        <v>1665</v>
      </c>
      <c r="G395" s="7" t="s">
        <v>1809</v>
      </c>
      <c r="H395" s="6" t="s">
        <v>1811</v>
      </c>
      <c r="I395" s="7" t="s">
        <v>1780</v>
      </c>
      <c r="J395" s="12" t="s">
        <v>787</v>
      </c>
      <c r="K395" s="190">
        <v>0.64583333333333337</v>
      </c>
      <c r="L395" s="1">
        <v>85</v>
      </c>
      <c r="M395" s="12" t="s">
        <v>2305</v>
      </c>
      <c r="N395" s="13" t="s">
        <v>1781</v>
      </c>
    </row>
    <row r="396" spans="1:26" ht="15.75" customHeight="1">
      <c r="A396" s="191">
        <v>393</v>
      </c>
      <c r="B396" s="33">
        <v>1300</v>
      </c>
      <c r="C396" s="323"/>
      <c r="D396" s="32" t="s">
        <v>1812</v>
      </c>
      <c r="E396" s="32" t="s">
        <v>1813</v>
      </c>
      <c r="F396" s="32" t="s">
        <v>1814</v>
      </c>
      <c r="G396" s="32" t="s">
        <v>1813</v>
      </c>
      <c r="H396" s="33" t="s">
        <v>1811</v>
      </c>
      <c r="I396" s="32" t="s">
        <v>1780</v>
      </c>
      <c r="J396" s="34" t="s">
        <v>787</v>
      </c>
      <c r="K396" s="192">
        <v>0.64583333333333337</v>
      </c>
      <c r="L396" s="35">
        <v>85</v>
      </c>
      <c r="M396" s="34" t="s">
        <v>2305</v>
      </c>
      <c r="N396" s="36" t="s">
        <v>1781</v>
      </c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</row>
    <row r="397" spans="1:26" ht="15.75" customHeight="1">
      <c r="A397" s="191">
        <v>394</v>
      </c>
      <c r="B397" s="33">
        <v>1300</v>
      </c>
      <c r="C397" s="323"/>
      <c r="D397" s="32" t="s">
        <v>1815</v>
      </c>
      <c r="E397" s="32" t="s">
        <v>1816</v>
      </c>
      <c r="F397" s="32" t="s">
        <v>1817</v>
      </c>
      <c r="G397" s="32" t="s">
        <v>1816</v>
      </c>
      <c r="H397" s="33" t="s">
        <v>1811</v>
      </c>
      <c r="I397" s="32" t="s">
        <v>1780</v>
      </c>
      <c r="J397" s="34" t="s">
        <v>787</v>
      </c>
      <c r="K397" s="192">
        <v>0.64583333333333337</v>
      </c>
      <c r="L397" s="35">
        <v>85</v>
      </c>
      <c r="M397" s="34" t="s">
        <v>2305</v>
      </c>
      <c r="N397" s="36" t="s">
        <v>1781</v>
      </c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</row>
    <row r="398" spans="1:26" ht="15.75" customHeight="1">
      <c r="A398" s="191">
        <v>395</v>
      </c>
      <c r="B398" s="33">
        <v>1300</v>
      </c>
      <c r="C398" s="324"/>
      <c r="D398" s="32" t="s">
        <v>1818</v>
      </c>
      <c r="E398" s="32" t="s">
        <v>1819</v>
      </c>
      <c r="F398" s="32" t="s">
        <v>1820</v>
      </c>
      <c r="G398" s="32" t="s">
        <v>1819</v>
      </c>
      <c r="H398" s="33" t="s">
        <v>1811</v>
      </c>
      <c r="I398" s="32" t="s">
        <v>1780</v>
      </c>
      <c r="J398" s="34" t="s">
        <v>787</v>
      </c>
      <c r="K398" s="192">
        <v>0.64583333333333337</v>
      </c>
      <c r="L398" s="35">
        <v>85</v>
      </c>
      <c r="M398" s="34" t="s">
        <v>2305</v>
      </c>
      <c r="N398" s="36" t="s">
        <v>1781</v>
      </c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</row>
    <row r="399" spans="1:26" ht="15.75" customHeight="1">
      <c r="A399" s="66">
        <v>396</v>
      </c>
      <c r="B399" s="6">
        <v>1300</v>
      </c>
      <c r="C399" s="416" t="s">
        <v>1821</v>
      </c>
      <c r="D399" s="6" t="s">
        <v>1822</v>
      </c>
      <c r="E399" s="6" t="s">
        <v>1823</v>
      </c>
      <c r="F399" s="7" t="s">
        <v>1824</v>
      </c>
      <c r="G399" s="6" t="s">
        <v>1823</v>
      </c>
      <c r="H399" s="6">
        <v>1112053001</v>
      </c>
      <c r="I399" s="7" t="s">
        <v>1825</v>
      </c>
      <c r="J399" s="12" t="s">
        <v>787</v>
      </c>
      <c r="K399" s="12" t="s">
        <v>788</v>
      </c>
      <c r="L399" s="1">
        <v>85</v>
      </c>
      <c r="M399" s="12" t="s">
        <v>1835</v>
      </c>
      <c r="N399" s="13" t="s">
        <v>1781</v>
      </c>
    </row>
    <row r="400" spans="1:26" ht="15.75" customHeight="1">
      <c r="A400" s="66">
        <v>397</v>
      </c>
      <c r="B400" s="6">
        <v>1300</v>
      </c>
      <c r="C400" s="323"/>
      <c r="D400" s="7" t="s">
        <v>1826</v>
      </c>
      <c r="E400" s="7" t="s">
        <v>1827</v>
      </c>
      <c r="F400" s="7" t="s">
        <v>1828</v>
      </c>
      <c r="G400" s="7" t="s">
        <v>1827</v>
      </c>
      <c r="H400" s="6" t="s">
        <v>1829</v>
      </c>
      <c r="I400" s="7" t="s">
        <v>1825</v>
      </c>
      <c r="J400" s="12" t="s">
        <v>787</v>
      </c>
      <c r="K400" s="190">
        <v>0.83333333333333337</v>
      </c>
      <c r="L400" s="1">
        <v>85</v>
      </c>
      <c r="M400" s="53" t="s">
        <v>1835</v>
      </c>
      <c r="N400" s="13" t="s">
        <v>1781</v>
      </c>
    </row>
    <row r="401" spans="1:14" ht="15.75" customHeight="1">
      <c r="A401" s="66">
        <v>398</v>
      </c>
      <c r="B401" s="6">
        <v>1300</v>
      </c>
      <c r="C401" s="324"/>
      <c r="D401" s="7" t="s">
        <v>1830</v>
      </c>
      <c r="E401" s="7" t="s">
        <v>1831</v>
      </c>
      <c r="F401" s="7" t="s">
        <v>1832</v>
      </c>
      <c r="G401" s="7" t="s">
        <v>1831</v>
      </c>
      <c r="H401" s="6">
        <v>1112033101</v>
      </c>
      <c r="I401" s="7" t="s">
        <v>1825</v>
      </c>
      <c r="J401" s="12" t="s">
        <v>787</v>
      </c>
      <c r="K401" s="12" t="s">
        <v>788</v>
      </c>
      <c r="L401" s="1">
        <v>85</v>
      </c>
      <c r="M401" s="12" t="s">
        <v>1835</v>
      </c>
      <c r="N401" s="13" t="s">
        <v>1781</v>
      </c>
    </row>
    <row r="402" spans="1:14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6"/>
      <c r="K402" s="6"/>
      <c r="L402" s="6"/>
      <c r="M402" s="6"/>
    </row>
    <row r="403" spans="1:14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6"/>
      <c r="K403" s="6"/>
      <c r="L403" s="6"/>
      <c r="M403" s="6"/>
    </row>
    <row r="404" spans="1:1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6"/>
      <c r="K404" s="6"/>
      <c r="L404" s="6"/>
      <c r="M404" s="6"/>
    </row>
    <row r="405" spans="1:14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6"/>
      <c r="K405" s="6"/>
      <c r="L405" s="6"/>
      <c r="M405" s="6"/>
    </row>
    <row r="406" spans="1:14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6"/>
      <c r="K406" s="6"/>
      <c r="L406" s="6"/>
      <c r="M406" s="6"/>
    </row>
    <row r="407" spans="1:14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6"/>
      <c r="K407" s="6"/>
      <c r="L407" s="6"/>
      <c r="M407" s="6"/>
    </row>
    <row r="408" spans="1:14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6"/>
      <c r="K408" s="6"/>
      <c r="L408" s="6"/>
      <c r="M408" s="6"/>
    </row>
    <row r="409" spans="1:14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6"/>
      <c r="K409" s="6"/>
      <c r="L409" s="6"/>
      <c r="M409" s="6"/>
    </row>
    <row r="410" spans="1:14" ht="15.75" customHeight="1">
      <c r="J410" s="1"/>
      <c r="K410" s="1"/>
      <c r="L410" s="1"/>
      <c r="M410" s="1"/>
    </row>
    <row r="411" spans="1:14" ht="15.75" customHeight="1">
      <c r="J411" s="1"/>
      <c r="K411" s="1"/>
      <c r="L411" s="1"/>
      <c r="M411" s="1"/>
    </row>
    <row r="412" spans="1:14" ht="15.75" customHeight="1">
      <c r="J412" s="1"/>
      <c r="K412" s="1"/>
      <c r="L412" s="1"/>
      <c r="M412" s="1"/>
    </row>
    <row r="413" spans="1:14" ht="15.75" customHeight="1">
      <c r="J413" s="1"/>
      <c r="K413" s="1"/>
      <c r="L413" s="1"/>
      <c r="M413" s="1"/>
    </row>
    <row r="414" spans="1:14" ht="15.75" customHeight="1">
      <c r="J414" s="1"/>
      <c r="K414" s="1"/>
      <c r="L414" s="1"/>
      <c r="M414" s="1"/>
    </row>
    <row r="415" spans="1:14" ht="15.75" customHeight="1">
      <c r="J415" s="1"/>
      <c r="K415" s="1"/>
      <c r="L415" s="1"/>
      <c r="M415" s="1"/>
    </row>
    <row r="416" spans="1:14" ht="15.75" customHeight="1">
      <c r="J416" s="1"/>
      <c r="K416" s="1"/>
      <c r="L416" s="1"/>
      <c r="M416" s="1"/>
    </row>
    <row r="417" spans="10:13" ht="15.75" customHeight="1">
      <c r="J417" s="1"/>
      <c r="K417" s="1"/>
      <c r="L417" s="1"/>
      <c r="M417" s="1"/>
    </row>
    <row r="418" spans="10:13" ht="15.75" customHeight="1">
      <c r="J418" s="1"/>
      <c r="K418" s="1"/>
      <c r="L418" s="1"/>
      <c r="M418" s="1"/>
    </row>
    <row r="419" spans="10:13" ht="15.75" customHeight="1">
      <c r="J419" s="1"/>
      <c r="K419" s="1"/>
      <c r="L419" s="1"/>
      <c r="M419" s="1"/>
    </row>
    <row r="420" spans="10:13" ht="15.75" customHeight="1">
      <c r="J420" s="1"/>
      <c r="K420" s="1"/>
      <c r="L420" s="1"/>
      <c r="M420" s="1"/>
    </row>
    <row r="421" spans="10:13" ht="15.75" customHeight="1">
      <c r="J421" s="1"/>
      <c r="K421" s="1"/>
      <c r="L421" s="1"/>
      <c r="M421" s="1"/>
    </row>
    <row r="422" spans="10:13" ht="15.75" customHeight="1">
      <c r="J422" s="1"/>
      <c r="K422" s="1"/>
      <c r="L422" s="1"/>
      <c r="M422" s="1"/>
    </row>
    <row r="423" spans="10:13" ht="15.75" customHeight="1">
      <c r="J423" s="1"/>
      <c r="K423" s="1"/>
      <c r="L423" s="1"/>
      <c r="M423" s="1"/>
    </row>
    <row r="424" spans="10:13" ht="15.75" customHeight="1">
      <c r="J424" s="1"/>
      <c r="K424" s="1"/>
      <c r="L424" s="1"/>
      <c r="M424" s="1"/>
    </row>
    <row r="425" spans="10:13" ht="15.75" customHeight="1">
      <c r="J425" s="1"/>
      <c r="K425" s="1"/>
      <c r="L425" s="1"/>
      <c r="M425" s="1"/>
    </row>
    <row r="426" spans="10:13" ht="15.75" customHeight="1">
      <c r="J426" s="1"/>
      <c r="K426" s="1"/>
      <c r="L426" s="1"/>
      <c r="M426" s="1"/>
    </row>
    <row r="427" spans="10:13" ht="15.75" customHeight="1">
      <c r="J427" s="1"/>
      <c r="K427" s="1"/>
      <c r="L427" s="1"/>
      <c r="M427" s="1"/>
    </row>
    <row r="428" spans="10:13" ht="15.75" customHeight="1">
      <c r="J428" s="1"/>
      <c r="K428" s="1"/>
      <c r="L428" s="1"/>
      <c r="M428" s="1"/>
    </row>
    <row r="429" spans="10:13" ht="15.75" customHeight="1">
      <c r="J429" s="1"/>
      <c r="K429" s="1"/>
      <c r="L429" s="1"/>
      <c r="M429" s="1"/>
    </row>
    <row r="430" spans="10:13" ht="15.75" customHeight="1">
      <c r="J430" s="1"/>
      <c r="K430" s="1"/>
      <c r="L430" s="1"/>
      <c r="M430" s="1"/>
    </row>
    <row r="431" spans="10:13" ht="15.75" customHeight="1">
      <c r="J431" s="1"/>
      <c r="K431" s="1"/>
      <c r="L431" s="1"/>
      <c r="M431" s="1"/>
    </row>
    <row r="432" spans="10:13" ht="15.75" customHeight="1">
      <c r="J432" s="1"/>
      <c r="K432" s="1"/>
      <c r="L432" s="1"/>
      <c r="M432" s="1"/>
    </row>
    <row r="433" spans="10:13" ht="15.75" customHeight="1">
      <c r="J433" s="1"/>
      <c r="K433" s="1"/>
      <c r="L433" s="1"/>
      <c r="M433" s="1"/>
    </row>
    <row r="434" spans="10:13" ht="15.75" customHeight="1">
      <c r="J434" s="1"/>
      <c r="K434" s="1"/>
      <c r="L434" s="1"/>
      <c r="M434" s="1"/>
    </row>
    <row r="435" spans="10:13" ht="15.75" customHeight="1">
      <c r="J435" s="1"/>
      <c r="K435" s="1"/>
      <c r="L435" s="1"/>
      <c r="M435" s="1"/>
    </row>
    <row r="436" spans="10:13" ht="15.75" customHeight="1">
      <c r="J436" s="1"/>
      <c r="K436" s="1"/>
      <c r="L436" s="1"/>
      <c r="M436" s="1"/>
    </row>
    <row r="437" spans="10:13" ht="15.75" customHeight="1">
      <c r="J437" s="1"/>
      <c r="K437" s="1"/>
      <c r="L437" s="1"/>
      <c r="M437" s="1"/>
    </row>
    <row r="438" spans="10:13" ht="15.75" customHeight="1">
      <c r="J438" s="1"/>
      <c r="K438" s="1"/>
      <c r="L438" s="1"/>
      <c r="M438" s="1"/>
    </row>
    <row r="439" spans="10:13" ht="15.75" customHeight="1">
      <c r="J439" s="1"/>
      <c r="K439" s="1"/>
      <c r="L439" s="1"/>
      <c r="M439" s="1"/>
    </row>
    <row r="440" spans="10:13" ht="15.75" customHeight="1">
      <c r="J440" s="1"/>
      <c r="K440" s="1"/>
      <c r="L440" s="1"/>
      <c r="M440" s="1"/>
    </row>
    <row r="441" spans="10:13" ht="15.75" customHeight="1">
      <c r="J441" s="1"/>
      <c r="K441" s="1"/>
      <c r="L441" s="1"/>
      <c r="M441" s="1"/>
    </row>
    <row r="442" spans="10:13" ht="15.75" customHeight="1">
      <c r="J442" s="1"/>
      <c r="K442" s="1"/>
      <c r="L442" s="1"/>
      <c r="M442" s="1"/>
    </row>
    <row r="443" spans="10:13" ht="15.75" customHeight="1">
      <c r="J443" s="1"/>
      <c r="K443" s="1"/>
      <c r="L443" s="1"/>
      <c r="M443" s="1"/>
    </row>
    <row r="444" spans="10:13" ht="15.75" customHeight="1">
      <c r="J444" s="1"/>
      <c r="K444" s="1"/>
      <c r="L444" s="1"/>
      <c r="M444" s="1"/>
    </row>
    <row r="445" spans="10:13" ht="15.75" customHeight="1">
      <c r="J445" s="1"/>
      <c r="K445" s="1"/>
      <c r="L445" s="1"/>
      <c r="M445" s="1"/>
    </row>
    <row r="446" spans="10:13" ht="15.75" customHeight="1">
      <c r="J446" s="1"/>
      <c r="K446" s="1"/>
      <c r="L446" s="1"/>
      <c r="M446" s="1"/>
    </row>
    <row r="447" spans="10:13" ht="15.75" customHeight="1">
      <c r="J447" s="1"/>
      <c r="K447" s="1"/>
      <c r="L447" s="1"/>
      <c r="M447" s="1"/>
    </row>
    <row r="448" spans="10:13" ht="15.75" customHeight="1">
      <c r="J448" s="1"/>
      <c r="K448" s="1"/>
      <c r="L448" s="1"/>
      <c r="M448" s="1"/>
    </row>
    <row r="449" spans="10:13" ht="15.75" customHeight="1">
      <c r="J449" s="1"/>
      <c r="K449" s="1"/>
      <c r="L449" s="1"/>
      <c r="M449" s="1"/>
    </row>
    <row r="450" spans="10:13" ht="15.75" customHeight="1">
      <c r="J450" s="1"/>
      <c r="K450" s="1"/>
      <c r="L450" s="1"/>
      <c r="M450" s="1"/>
    </row>
    <row r="451" spans="10:13" ht="15.75" customHeight="1">
      <c r="J451" s="1"/>
      <c r="K451" s="1"/>
      <c r="L451" s="1"/>
      <c r="M451" s="1"/>
    </row>
    <row r="452" spans="10:13" ht="15.75" customHeight="1">
      <c r="J452" s="1"/>
      <c r="K452" s="1"/>
      <c r="L452" s="1"/>
      <c r="M452" s="1"/>
    </row>
    <row r="453" spans="10:13" ht="15.75" customHeight="1">
      <c r="J453" s="1"/>
      <c r="K453" s="1"/>
      <c r="L453" s="1"/>
      <c r="M453" s="1"/>
    </row>
    <row r="454" spans="10:13" ht="15.75" customHeight="1">
      <c r="J454" s="1"/>
      <c r="K454" s="1"/>
      <c r="L454" s="1"/>
      <c r="M454" s="1"/>
    </row>
    <row r="455" spans="10:13" ht="15.75" customHeight="1">
      <c r="J455" s="1"/>
      <c r="K455" s="1"/>
      <c r="L455" s="1"/>
      <c r="M455" s="1"/>
    </row>
    <row r="456" spans="10:13" ht="15.75" customHeight="1">
      <c r="J456" s="1"/>
      <c r="K456" s="1"/>
      <c r="L456" s="1"/>
      <c r="M456" s="1"/>
    </row>
    <row r="457" spans="10:13" ht="15.75" customHeight="1">
      <c r="J457" s="1"/>
      <c r="K457" s="1"/>
      <c r="L457" s="1"/>
      <c r="M457" s="1"/>
    </row>
    <row r="458" spans="10:13" ht="15.75" customHeight="1">
      <c r="J458" s="1"/>
      <c r="K458" s="1"/>
      <c r="L458" s="1"/>
      <c r="M458" s="1"/>
    </row>
    <row r="459" spans="10:13" ht="15.75" customHeight="1">
      <c r="J459" s="1"/>
      <c r="K459" s="1"/>
      <c r="L459" s="1"/>
      <c r="M459" s="1"/>
    </row>
    <row r="460" spans="10:13" ht="15.75" customHeight="1">
      <c r="J460" s="1"/>
      <c r="K460" s="1"/>
      <c r="L460" s="1"/>
      <c r="M460" s="1"/>
    </row>
    <row r="461" spans="10:13" ht="15.75" customHeight="1">
      <c r="J461" s="1"/>
      <c r="K461" s="1"/>
      <c r="L461" s="1"/>
      <c r="M461" s="1"/>
    </row>
    <row r="462" spans="10:13" ht="15.75" customHeight="1">
      <c r="J462" s="1"/>
      <c r="K462" s="1"/>
      <c r="L462" s="1"/>
      <c r="M462" s="1"/>
    </row>
    <row r="463" spans="10:13" ht="15.75" customHeight="1">
      <c r="J463" s="1"/>
      <c r="K463" s="1"/>
      <c r="L463" s="1"/>
      <c r="M463" s="1"/>
    </row>
    <row r="464" spans="10:13" ht="15.75" customHeight="1">
      <c r="J464" s="1"/>
      <c r="K464" s="1"/>
      <c r="L464" s="1"/>
      <c r="M464" s="1"/>
    </row>
    <row r="465" spans="10:13" ht="15.75" customHeight="1">
      <c r="J465" s="1"/>
      <c r="K465" s="1"/>
      <c r="L465" s="1"/>
      <c r="M465" s="1"/>
    </row>
    <row r="466" spans="10:13" ht="15.75" customHeight="1">
      <c r="J466" s="1"/>
      <c r="K466" s="1"/>
      <c r="L466" s="1"/>
      <c r="M466" s="1"/>
    </row>
    <row r="467" spans="10:13" ht="15.75" customHeight="1">
      <c r="J467" s="1"/>
      <c r="K467" s="1"/>
      <c r="L467" s="1"/>
      <c r="M467" s="1"/>
    </row>
    <row r="468" spans="10:13" ht="15.75" customHeight="1">
      <c r="J468" s="1"/>
      <c r="K468" s="1"/>
      <c r="L468" s="1"/>
      <c r="M468" s="1"/>
    </row>
    <row r="469" spans="10:13" ht="15.75" customHeight="1">
      <c r="J469" s="1"/>
      <c r="K469" s="1"/>
      <c r="L469" s="1"/>
      <c r="M469" s="1"/>
    </row>
    <row r="470" spans="10:13" ht="15.75" customHeight="1">
      <c r="J470" s="1"/>
      <c r="K470" s="1"/>
      <c r="L470" s="1"/>
      <c r="M470" s="1"/>
    </row>
    <row r="471" spans="10:13" ht="15.75" customHeight="1">
      <c r="J471" s="1"/>
      <c r="K471" s="1"/>
      <c r="L471" s="1"/>
      <c r="M471" s="1"/>
    </row>
    <row r="472" spans="10:13" ht="15.75" customHeight="1">
      <c r="J472" s="1"/>
      <c r="K472" s="1"/>
      <c r="L472" s="1"/>
      <c r="M472" s="1"/>
    </row>
    <row r="473" spans="10:13" ht="15.75" customHeight="1">
      <c r="J473" s="1"/>
      <c r="K473" s="1"/>
      <c r="L473" s="1"/>
      <c r="M473" s="1"/>
    </row>
    <row r="474" spans="10:13" ht="15.75" customHeight="1">
      <c r="J474" s="1"/>
      <c r="K474" s="1"/>
      <c r="L474" s="1"/>
      <c r="M474" s="1"/>
    </row>
    <row r="475" spans="10:13" ht="15.75" customHeight="1">
      <c r="J475" s="1"/>
      <c r="K475" s="1"/>
      <c r="L475" s="1"/>
      <c r="M475" s="1"/>
    </row>
    <row r="476" spans="10:13" ht="15.75" customHeight="1">
      <c r="J476" s="1"/>
      <c r="K476" s="1"/>
      <c r="L476" s="1"/>
      <c r="M476" s="1"/>
    </row>
    <row r="477" spans="10:13" ht="15.75" customHeight="1">
      <c r="J477" s="1"/>
      <c r="K477" s="1"/>
      <c r="L477" s="1"/>
      <c r="M477" s="1"/>
    </row>
    <row r="478" spans="10:13" ht="15.75" customHeight="1">
      <c r="J478" s="1"/>
      <c r="K478" s="1"/>
      <c r="L478" s="1"/>
      <c r="M478" s="1"/>
    </row>
    <row r="479" spans="10:13" ht="15.75" customHeight="1">
      <c r="J479" s="1"/>
      <c r="K479" s="1"/>
      <c r="L479" s="1"/>
      <c r="M479" s="1"/>
    </row>
    <row r="480" spans="10:13" ht="15.75" customHeight="1">
      <c r="J480" s="1"/>
      <c r="K480" s="1"/>
      <c r="L480" s="1"/>
      <c r="M480" s="1"/>
    </row>
    <row r="481" spans="10:13" ht="15.75" customHeight="1">
      <c r="J481" s="1"/>
      <c r="K481" s="1"/>
      <c r="L481" s="1"/>
      <c r="M481" s="1"/>
    </row>
    <row r="482" spans="10:13" ht="15.75" customHeight="1">
      <c r="J482" s="1"/>
      <c r="K482" s="1"/>
      <c r="L482" s="1"/>
      <c r="M482" s="1"/>
    </row>
    <row r="483" spans="10:13" ht="15.75" customHeight="1">
      <c r="J483" s="1"/>
      <c r="K483" s="1"/>
      <c r="L483" s="1"/>
      <c r="M483" s="1"/>
    </row>
    <row r="484" spans="10:13" ht="15.75" customHeight="1">
      <c r="J484" s="1"/>
      <c r="K484" s="1"/>
      <c r="L484" s="1"/>
      <c r="M484" s="1"/>
    </row>
    <row r="485" spans="10:13" ht="15.75" customHeight="1">
      <c r="J485" s="1"/>
      <c r="K485" s="1"/>
      <c r="L485" s="1"/>
      <c r="M485" s="1"/>
    </row>
    <row r="486" spans="10:13" ht="15.75" customHeight="1">
      <c r="J486" s="1"/>
      <c r="K486" s="1"/>
      <c r="L486" s="1"/>
      <c r="M486" s="1"/>
    </row>
    <row r="487" spans="10:13" ht="15.75" customHeight="1">
      <c r="J487" s="1"/>
      <c r="K487" s="1"/>
      <c r="L487" s="1"/>
      <c r="M487" s="1"/>
    </row>
    <row r="488" spans="10:13" ht="15.75" customHeight="1">
      <c r="J488" s="1"/>
      <c r="K488" s="1"/>
      <c r="L488" s="1"/>
      <c r="M488" s="1"/>
    </row>
    <row r="489" spans="10:13" ht="15.75" customHeight="1">
      <c r="J489" s="1"/>
      <c r="K489" s="1"/>
      <c r="L489" s="1"/>
      <c r="M489" s="1"/>
    </row>
    <row r="490" spans="10:13" ht="15.75" customHeight="1">
      <c r="J490" s="1"/>
      <c r="K490" s="1"/>
      <c r="L490" s="1"/>
      <c r="M490" s="1"/>
    </row>
    <row r="491" spans="10:13" ht="15.75" customHeight="1">
      <c r="J491" s="1"/>
      <c r="K491" s="1"/>
      <c r="L491" s="1"/>
      <c r="M491" s="1"/>
    </row>
    <row r="492" spans="10:13" ht="15.75" customHeight="1">
      <c r="J492" s="1"/>
      <c r="K492" s="1"/>
      <c r="L492" s="1"/>
      <c r="M492" s="1"/>
    </row>
    <row r="493" spans="10:13" ht="15.75" customHeight="1">
      <c r="J493" s="1"/>
      <c r="K493" s="1"/>
      <c r="L493" s="1"/>
      <c r="M493" s="1"/>
    </row>
    <row r="494" spans="10:13" ht="15.75" customHeight="1">
      <c r="J494" s="1"/>
      <c r="K494" s="1"/>
      <c r="L494" s="1"/>
      <c r="M494" s="1"/>
    </row>
    <row r="495" spans="10:13" ht="15.75" customHeight="1">
      <c r="J495" s="1"/>
      <c r="K495" s="1"/>
      <c r="L495" s="1"/>
      <c r="M495" s="1"/>
    </row>
    <row r="496" spans="10:13" ht="15.75" customHeight="1">
      <c r="J496" s="1"/>
      <c r="K496" s="1"/>
      <c r="L496" s="1"/>
      <c r="M496" s="1"/>
    </row>
    <row r="497" spans="10:13" ht="15.75" customHeight="1">
      <c r="J497" s="1"/>
      <c r="K497" s="1"/>
      <c r="L497" s="1"/>
      <c r="M497" s="1"/>
    </row>
    <row r="498" spans="10:13" ht="15.75" customHeight="1">
      <c r="J498" s="1"/>
      <c r="K498" s="1"/>
      <c r="L498" s="1"/>
      <c r="M498" s="1"/>
    </row>
    <row r="499" spans="10:13" ht="15.75" customHeight="1">
      <c r="J499" s="1"/>
      <c r="K499" s="1"/>
      <c r="L499" s="1"/>
      <c r="M499" s="1"/>
    </row>
    <row r="500" spans="10:13" ht="15.75" customHeight="1">
      <c r="J500" s="1"/>
      <c r="K500" s="1"/>
      <c r="L500" s="1"/>
      <c r="M500" s="1"/>
    </row>
    <row r="501" spans="10:13" ht="15.75" customHeight="1">
      <c r="J501" s="1"/>
      <c r="K501" s="1"/>
      <c r="L501" s="1"/>
      <c r="M501" s="1"/>
    </row>
    <row r="502" spans="10:13" ht="15.75" customHeight="1">
      <c r="J502" s="1"/>
      <c r="K502" s="1"/>
      <c r="L502" s="1"/>
      <c r="M502" s="1"/>
    </row>
    <row r="503" spans="10:13" ht="15.75" customHeight="1">
      <c r="J503" s="1"/>
      <c r="K503" s="1"/>
      <c r="L503" s="1"/>
      <c r="M503" s="1"/>
    </row>
    <row r="504" spans="10:13" ht="15.75" customHeight="1">
      <c r="J504" s="1"/>
      <c r="K504" s="1"/>
      <c r="L504" s="1"/>
      <c r="M504" s="1"/>
    </row>
    <row r="505" spans="10:13" ht="15.75" customHeight="1">
      <c r="J505" s="1"/>
      <c r="K505" s="1"/>
      <c r="L505" s="1"/>
      <c r="M505" s="1"/>
    </row>
    <row r="506" spans="10:13" ht="15.75" customHeight="1">
      <c r="J506" s="1"/>
      <c r="K506" s="1"/>
      <c r="L506" s="1"/>
      <c r="M506" s="1"/>
    </row>
    <row r="507" spans="10:13" ht="15.75" customHeight="1">
      <c r="J507" s="1"/>
      <c r="K507" s="1"/>
      <c r="L507" s="1"/>
      <c r="M507" s="1"/>
    </row>
    <row r="508" spans="10:13" ht="15.75" customHeight="1">
      <c r="J508" s="1"/>
      <c r="K508" s="1"/>
      <c r="L508" s="1"/>
      <c r="M508" s="1"/>
    </row>
    <row r="509" spans="10:13" ht="15.75" customHeight="1">
      <c r="J509" s="1"/>
      <c r="K509" s="1"/>
      <c r="L509" s="1"/>
      <c r="M509" s="1"/>
    </row>
    <row r="510" spans="10:13" ht="15.75" customHeight="1">
      <c r="J510" s="1"/>
      <c r="K510" s="1"/>
      <c r="L510" s="1"/>
      <c r="M510" s="1"/>
    </row>
    <row r="511" spans="10:13" ht="15.75" customHeight="1">
      <c r="J511" s="1"/>
      <c r="K511" s="1"/>
      <c r="L511" s="1"/>
      <c r="M511" s="1"/>
    </row>
    <row r="512" spans="10:13" ht="15.75" customHeight="1">
      <c r="J512" s="1"/>
      <c r="K512" s="1"/>
      <c r="L512" s="1"/>
      <c r="M512" s="1"/>
    </row>
    <row r="513" spans="10:13" ht="15.75" customHeight="1">
      <c r="J513" s="1"/>
      <c r="K513" s="1"/>
      <c r="L513" s="1"/>
      <c r="M513" s="1"/>
    </row>
    <row r="514" spans="10:13" ht="15.75" customHeight="1">
      <c r="J514" s="1"/>
      <c r="K514" s="1"/>
      <c r="L514" s="1"/>
      <c r="M514" s="1"/>
    </row>
    <row r="515" spans="10:13" ht="15.75" customHeight="1">
      <c r="J515" s="1"/>
      <c r="K515" s="1"/>
      <c r="L515" s="1"/>
      <c r="M515" s="1"/>
    </row>
    <row r="516" spans="10:13" ht="15.75" customHeight="1">
      <c r="J516" s="1"/>
      <c r="K516" s="1"/>
      <c r="L516" s="1"/>
      <c r="M516" s="1"/>
    </row>
    <row r="517" spans="10:13" ht="15.75" customHeight="1">
      <c r="J517" s="1"/>
      <c r="K517" s="1"/>
      <c r="L517" s="1"/>
      <c r="M517" s="1"/>
    </row>
    <row r="518" spans="10:13" ht="15.75" customHeight="1">
      <c r="J518" s="1"/>
      <c r="K518" s="1"/>
      <c r="L518" s="1"/>
      <c r="M518" s="1"/>
    </row>
    <row r="519" spans="10:13" ht="15.75" customHeight="1">
      <c r="J519" s="1"/>
      <c r="K519" s="1"/>
      <c r="L519" s="1"/>
      <c r="M519" s="1"/>
    </row>
    <row r="520" spans="10:13" ht="15.75" customHeight="1">
      <c r="J520" s="1"/>
      <c r="K520" s="1"/>
      <c r="L520" s="1"/>
      <c r="M520" s="1"/>
    </row>
    <row r="521" spans="10:13" ht="15.75" customHeight="1">
      <c r="J521" s="1"/>
      <c r="K521" s="1"/>
      <c r="L521" s="1"/>
      <c r="M521" s="1"/>
    </row>
    <row r="522" spans="10:13" ht="15.75" customHeight="1">
      <c r="J522" s="1"/>
      <c r="K522" s="1"/>
      <c r="L522" s="1"/>
      <c r="M522" s="1"/>
    </row>
    <row r="523" spans="10:13" ht="15.75" customHeight="1">
      <c r="J523" s="1"/>
      <c r="K523" s="1"/>
      <c r="L523" s="1"/>
      <c r="M523" s="1"/>
    </row>
    <row r="524" spans="10:13" ht="15.75" customHeight="1">
      <c r="J524" s="1"/>
      <c r="K524" s="1"/>
      <c r="L524" s="1"/>
      <c r="M524" s="1"/>
    </row>
    <row r="525" spans="10:13" ht="15.75" customHeight="1">
      <c r="J525" s="1"/>
      <c r="K525" s="1"/>
      <c r="L525" s="1"/>
      <c r="M525" s="1"/>
    </row>
    <row r="526" spans="10:13" ht="15.75" customHeight="1">
      <c r="J526" s="1"/>
      <c r="K526" s="1"/>
      <c r="L526" s="1"/>
      <c r="M526" s="1"/>
    </row>
    <row r="527" spans="10:13" ht="15.75" customHeight="1">
      <c r="J527" s="1"/>
      <c r="K527" s="1"/>
      <c r="L527" s="1"/>
      <c r="M527" s="1"/>
    </row>
    <row r="528" spans="10:13" ht="15.75" customHeight="1">
      <c r="J528" s="1"/>
      <c r="K528" s="1"/>
      <c r="L528" s="1"/>
      <c r="M528" s="1"/>
    </row>
    <row r="529" spans="10:13" ht="15.75" customHeight="1">
      <c r="J529" s="1"/>
      <c r="K529" s="1"/>
      <c r="L529" s="1"/>
      <c r="M529" s="1"/>
    </row>
    <row r="530" spans="10:13" ht="15.75" customHeight="1">
      <c r="J530" s="1"/>
      <c r="K530" s="1"/>
      <c r="L530" s="1"/>
      <c r="M530" s="1"/>
    </row>
    <row r="531" spans="10:13" ht="15.75" customHeight="1">
      <c r="J531" s="1"/>
      <c r="K531" s="1"/>
      <c r="L531" s="1"/>
      <c r="M531" s="1"/>
    </row>
    <row r="532" spans="10:13" ht="15.75" customHeight="1">
      <c r="J532" s="1"/>
      <c r="K532" s="1"/>
      <c r="L532" s="1"/>
      <c r="M532" s="1"/>
    </row>
    <row r="533" spans="10:13" ht="15.75" customHeight="1">
      <c r="J533" s="1"/>
      <c r="K533" s="1"/>
      <c r="L533" s="1"/>
      <c r="M533" s="1"/>
    </row>
    <row r="534" spans="10:13" ht="15.75" customHeight="1">
      <c r="J534" s="1"/>
      <c r="K534" s="1"/>
      <c r="L534" s="1"/>
      <c r="M534" s="1"/>
    </row>
    <row r="535" spans="10:13" ht="15.75" customHeight="1">
      <c r="J535" s="1"/>
      <c r="K535" s="1"/>
      <c r="L535" s="1"/>
      <c r="M535" s="1"/>
    </row>
    <row r="536" spans="10:13" ht="15.75" customHeight="1">
      <c r="J536" s="1"/>
      <c r="K536" s="1"/>
      <c r="L536" s="1"/>
      <c r="M536" s="1"/>
    </row>
    <row r="537" spans="10:13" ht="15.75" customHeight="1">
      <c r="J537" s="1"/>
      <c r="K537" s="1"/>
      <c r="L537" s="1"/>
      <c r="M537" s="1"/>
    </row>
    <row r="538" spans="10:13" ht="15.75" customHeight="1">
      <c r="J538" s="1"/>
      <c r="K538" s="1"/>
      <c r="L538" s="1"/>
      <c r="M538" s="1"/>
    </row>
    <row r="539" spans="10:13" ht="15.75" customHeight="1">
      <c r="J539" s="1"/>
      <c r="K539" s="1"/>
      <c r="L539" s="1"/>
      <c r="M539" s="1"/>
    </row>
    <row r="540" spans="10:13" ht="15.75" customHeight="1">
      <c r="J540" s="1"/>
      <c r="K540" s="1"/>
      <c r="L540" s="1"/>
      <c r="M540" s="1"/>
    </row>
    <row r="541" spans="10:13" ht="15.75" customHeight="1">
      <c r="J541" s="1"/>
      <c r="K541" s="1"/>
      <c r="L541" s="1"/>
      <c r="M541" s="1"/>
    </row>
    <row r="542" spans="10:13" ht="15.75" customHeight="1">
      <c r="J542" s="1"/>
      <c r="K542" s="1"/>
      <c r="L542" s="1"/>
      <c r="M542" s="1"/>
    </row>
    <row r="543" spans="10:13" ht="15.75" customHeight="1">
      <c r="J543" s="1"/>
      <c r="K543" s="1"/>
      <c r="L543" s="1"/>
      <c r="M543" s="1"/>
    </row>
    <row r="544" spans="10:13" ht="15.75" customHeight="1">
      <c r="J544" s="1"/>
      <c r="K544" s="1"/>
      <c r="L544" s="1"/>
      <c r="M544" s="1"/>
    </row>
    <row r="545" spans="10:13" ht="15.75" customHeight="1">
      <c r="J545" s="1"/>
      <c r="K545" s="1"/>
      <c r="L545" s="1"/>
      <c r="M545" s="1"/>
    </row>
    <row r="546" spans="10:13" ht="15.75" customHeight="1">
      <c r="J546" s="1"/>
      <c r="K546" s="1"/>
      <c r="L546" s="1"/>
      <c r="M546" s="1"/>
    </row>
    <row r="547" spans="10:13" ht="15.75" customHeight="1">
      <c r="J547" s="1"/>
      <c r="K547" s="1"/>
      <c r="L547" s="1"/>
      <c r="M547" s="1"/>
    </row>
    <row r="548" spans="10:13" ht="15.75" customHeight="1">
      <c r="J548" s="1"/>
      <c r="K548" s="1"/>
      <c r="L548" s="1"/>
      <c r="M548" s="1"/>
    </row>
    <row r="549" spans="10:13" ht="15.75" customHeight="1">
      <c r="J549" s="1"/>
      <c r="K549" s="1"/>
      <c r="L549" s="1"/>
      <c r="M549" s="1"/>
    </row>
    <row r="550" spans="10:13" ht="15.75" customHeight="1">
      <c r="J550" s="1"/>
      <c r="K550" s="1"/>
      <c r="L550" s="1"/>
      <c r="M550" s="1"/>
    </row>
    <row r="551" spans="10:13" ht="15.75" customHeight="1">
      <c r="J551" s="1"/>
      <c r="K551" s="1"/>
      <c r="L551" s="1"/>
      <c r="M551" s="1"/>
    </row>
    <row r="552" spans="10:13" ht="15.75" customHeight="1">
      <c r="J552" s="1"/>
      <c r="K552" s="1"/>
      <c r="L552" s="1"/>
      <c r="M552" s="1"/>
    </row>
    <row r="553" spans="10:13" ht="15.75" customHeight="1">
      <c r="J553" s="1"/>
      <c r="K553" s="1"/>
      <c r="L553" s="1"/>
      <c r="M553" s="1"/>
    </row>
    <row r="554" spans="10:13" ht="15.75" customHeight="1">
      <c r="J554" s="1"/>
      <c r="K554" s="1"/>
      <c r="L554" s="1"/>
      <c r="M554" s="1"/>
    </row>
    <row r="555" spans="10:13" ht="15.75" customHeight="1">
      <c r="J555" s="1"/>
      <c r="K555" s="1"/>
      <c r="L555" s="1"/>
      <c r="M555" s="1"/>
    </row>
    <row r="556" spans="10:13" ht="15.75" customHeight="1">
      <c r="J556" s="1"/>
      <c r="K556" s="1"/>
      <c r="L556" s="1"/>
      <c r="M556" s="1"/>
    </row>
    <row r="557" spans="10:13" ht="15.75" customHeight="1">
      <c r="J557" s="1"/>
      <c r="K557" s="1"/>
      <c r="L557" s="1"/>
      <c r="M557" s="1"/>
    </row>
    <row r="558" spans="10:13" ht="15.75" customHeight="1">
      <c r="J558" s="1"/>
      <c r="K558" s="1"/>
      <c r="L558" s="1"/>
      <c r="M558" s="1"/>
    </row>
    <row r="559" spans="10:13" ht="15.75" customHeight="1">
      <c r="J559" s="1"/>
      <c r="K559" s="1"/>
      <c r="L559" s="1"/>
      <c r="M559" s="1"/>
    </row>
    <row r="560" spans="10:13" ht="15.75" customHeight="1">
      <c r="J560" s="1"/>
      <c r="K560" s="1"/>
      <c r="L560" s="1"/>
      <c r="M560" s="1"/>
    </row>
    <row r="561" spans="10:13" ht="15.75" customHeight="1">
      <c r="J561" s="1"/>
      <c r="K561" s="1"/>
      <c r="L561" s="1"/>
      <c r="M561" s="1"/>
    </row>
    <row r="562" spans="10:13" ht="15.75" customHeight="1">
      <c r="J562" s="1"/>
      <c r="K562" s="1"/>
      <c r="L562" s="1"/>
      <c r="M562" s="1"/>
    </row>
    <row r="563" spans="10:13" ht="15.75" customHeight="1">
      <c r="J563" s="1"/>
      <c r="K563" s="1"/>
      <c r="L563" s="1"/>
      <c r="M563" s="1"/>
    </row>
    <row r="564" spans="10:13" ht="15.75" customHeight="1">
      <c r="J564" s="1"/>
      <c r="K564" s="1"/>
      <c r="L564" s="1"/>
      <c r="M564" s="1"/>
    </row>
    <row r="565" spans="10:13" ht="15.75" customHeight="1">
      <c r="J565" s="1"/>
      <c r="K565" s="1"/>
      <c r="L565" s="1"/>
      <c r="M565" s="1"/>
    </row>
    <row r="566" spans="10:13" ht="15.75" customHeight="1">
      <c r="J566" s="1"/>
      <c r="K566" s="1"/>
      <c r="L566" s="1"/>
      <c r="M566" s="1"/>
    </row>
    <row r="567" spans="10:13" ht="15.75" customHeight="1">
      <c r="J567" s="1"/>
      <c r="K567" s="1"/>
      <c r="L567" s="1"/>
      <c r="M567" s="1"/>
    </row>
    <row r="568" spans="10:13" ht="15.75" customHeight="1">
      <c r="J568" s="1"/>
      <c r="K568" s="1"/>
      <c r="L568" s="1"/>
      <c r="M568" s="1"/>
    </row>
    <row r="569" spans="10:13" ht="15.75" customHeight="1">
      <c r="J569" s="1"/>
      <c r="K569" s="1"/>
      <c r="L569" s="1"/>
      <c r="M569" s="1"/>
    </row>
    <row r="570" spans="10:13" ht="15.75" customHeight="1">
      <c r="J570" s="1"/>
      <c r="K570" s="1"/>
      <c r="L570" s="1"/>
      <c r="M570" s="1"/>
    </row>
    <row r="571" spans="10:13" ht="15.75" customHeight="1">
      <c r="J571" s="1"/>
      <c r="K571" s="1"/>
      <c r="L571" s="1"/>
      <c r="M571" s="1"/>
    </row>
    <row r="572" spans="10:13" ht="15.75" customHeight="1">
      <c r="J572" s="1"/>
      <c r="K572" s="1"/>
      <c r="L572" s="1"/>
      <c r="M572" s="1"/>
    </row>
    <row r="573" spans="10:13" ht="15.75" customHeight="1">
      <c r="J573" s="1"/>
      <c r="K573" s="1"/>
      <c r="L573" s="1"/>
      <c r="M573" s="1"/>
    </row>
    <row r="574" spans="10:13" ht="15.75" customHeight="1">
      <c r="J574" s="1"/>
      <c r="K574" s="1"/>
      <c r="L574" s="1"/>
      <c r="M574" s="1"/>
    </row>
    <row r="575" spans="10:13" ht="15.75" customHeight="1">
      <c r="J575" s="1"/>
      <c r="K575" s="1"/>
      <c r="L575" s="1"/>
      <c r="M575" s="1"/>
    </row>
    <row r="576" spans="10:13" ht="15.75" customHeight="1">
      <c r="J576" s="1"/>
      <c r="K576" s="1"/>
      <c r="L576" s="1"/>
      <c r="M576" s="1"/>
    </row>
    <row r="577" spans="10:13" ht="15.75" customHeight="1">
      <c r="J577" s="1"/>
      <c r="K577" s="1"/>
      <c r="L577" s="1"/>
      <c r="M577" s="1"/>
    </row>
    <row r="578" spans="10:13" ht="15.75" customHeight="1">
      <c r="J578" s="1"/>
      <c r="K578" s="1"/>
      <c r="L578" s="1"/>
      <c r="M578" s="1"/>
    </row>
    <row r="579" spans="10:13" ht="15.75" customHeight="1">
      <c r="J579" s="1"/>
      <c r="K579" s="1"/>
      <c r="L579" s="1"/>
      <c r="M579" s="1"/>
    </row>
    <row r="580" spans="10:13" ht="15.75" customHeight="1">
      <c r="J580" s="1"/>
      <c r="K580" s="1"/>
      <c r="L580" s="1"/>
      <c r="M580" s="1"/>
    </row>
    <row r="581" spans="10:13" ht="15.75" customHeight="1">
      <c r="J581" s="1"/>
      <c r="K581" s="1"/>
      <c r="L581" s="1"/>
      <c r="M581" s="1"/>
    </row>
    <row r="582" spans="10:13" ht="15.75" customHeight="1">
      <c r="J582" s="1"/>
      <c r="K582" s="1"/>
      <c r="L582" s="1"/>
      <c r="M582" s="1"/>
    </row>
    <row r="583" spans="10:13" ht="15.75" customHeight="1">
      <c r="J583" s="1"/>
      <c r="K583" s="1"/>
      <c r="L583" s="1"/>
      <c r="M583" s="1"/>
    </row>
    <row r="584" spans="10:13" ht="15.75" customHeight="1">
      <c r="J584" s="1"/>
      <c r="K584" s="1"/>
      <c r="L584" s="1"/>
      <c r="M584" s="1"/>
    </row>
    <row r="585" spans="10:13" ht="15.75" customHeight="1">
      <c r="J585" s="1"/>
      <c r="K585" s="1"/>
      <c r="L585" s="1"/>
      <c r="M585" s="1"/>
    </row>
    <row r="586" spans="10:13" ht="15.75" customHeight="1">
      <c r="J586" s="1"/>
      <c r="K586" s="1"/>
      <c r="L586" s="1"/>
      <c r="M586" s="1"/>
    </row>
    <row r="587" spans="10:13" ht="15.75" customHeight="1">
      <c r="J587" s="1"/>
      <c r="K587" s="1"/>
      <c r="L587" s="1"/>
      <c r="M587" s="1"/>
    </row>
    <row r="588" spans="10:13" ht="15.75" customHeight="1">
      <c r="J588" s="1"/>
      <c r="K588" s="1"/>
      <c r="L588" s="1"/>
      <c r="M588" s="1"/>
    </row>
    <row r="589" spans="10:13" ht="15.75" customHeight="1">
      <c r="J589" s="1"/>
      <c r="K589" s="1"/>
      <c r="L589" s="1"/>
      <c r="M589" s="1"/>
    </row>
    <row r="590" spans="10:13" ht="15.75" customHeight="1">
      <c r="J590" s="1"/>
      <c r="K590" s="1"/>
      <c r="L590" s="1"/>
      <c r="M590" s="1"/>
    </row>
    <row r="591" spans="10:13" ht="15.75" customHeight="1">
      <c r="J591" s="1"/>
      <c r="K591" s="1"/>
      <c r="L591" s="1"/>
      <c r="M591" s="1"/>
    </row>
    <row r="592" spans="10:13" ht="15.75" customHeight="1">
      <c r="J592" s="1"/>
      <c r="K592" s="1"/>
      <c r="L592" s="1"/>
      <c r="M592" s="1"/>
    </row>
    <row r="593" spans="10:13" ht="15.75" customHeight="1">
      <c r="J593" s="1"/>
      <c r="K593" s="1"/>
      <c r="L593" s="1"/>
      <c r="M593" s="1"/>
    </row>
    <row r="594" spans="10:13" ht="15.75" customHeight="1">
      <c r="J594" s="1"/>
      <c r="K594" s="1"/>
      <c r="L594" s="1"/>
      <c r="M594" s="1"/>
    </row>
    <row r="595" spans="10:13" ht="15.75" customHeight="1">
      <c r="J595" s="1"/>
      <c r="K595" s="1"/>
      <c r="L595" s="1"/>
      <c r="M595" s="1"/>
    </row>
    <row r="596" spans="10:13" ht="15.75" customHeight="1">
      <c r="J596" s="1"/>
      <c r="K596" s="1"/>
      <c r="L596" s="1"/>
      <c r="M596" s="1"/>
    </row>
    <row r="597" spans="10:13" ht="15.75" customHeight="1">
      <c r="J597" s="1"/>
      <c r="K597" s="1"/>
      <c r="L597" s="1"/>
      <c r="M597" s="1"/>
    </row>
    <row r="598" spans="10:13" ht="15.75" customHeight="1">
      <c r="J598" s="1"/>
      <c r="K598" s="1"/>
      <c r="L598" s="1"/>
      <c r="M598" s="1"/>
    </row>
    <row r="599" spans="10:13" ht="15.75" customHeight="1">
      <c r="J599" s="1"/>
      <c r="K599" s="1"/>
      <c r="L599" s="1"/>
      <c r="M599" s="1"/>
    </row>
    <row r="600" spans="10:13" ht="15.75" customHeight="1">
      <c r="J600" s="1"/>
      <c r="K600" s="1"/>
      <c r="L600" s="1"/>
      <c r="M600" s="1"/>
    </row>
    <row r="601" spans="10:13" ht="15.75" customHeight="1">
      <c r="J601" s="1"/>
      <c r="K601" s="1"/>
      <c r="L601" s="1"/>
      <c r="M601" s="1"/>
    </row>
    <row r="602" spans="10:13" ht="15.75" customHeight="1">
      <c r="J602" s="1"/>
      <c r="K602" s="1"/>
      <c r="L602" s="1"/>
      <c r="M602" s="1"/>
    </row>
    <row r="603" spans="10:13" ht="15.75" customHeight="1">
      <c r="J603" s="1"/>
      <c r="K603" s="1"/>
      <c r="L603" s="1"/>
      <c r="M603" s="1"/>
    </row>
    <row r="604" spans="10:13" ht="15.75" customHeight="1">
      <c r="J604" s="1"/>
      <c r="K604" s="1"/>
      <c r="L604" s="1"/>
      <c r="M604" s="1"/>
    </row>
    <row r="605" spans="10:13" ht="15.75" customHeight="1">
      <c r="J605" s="1"/>
      <c r="K605" s="1"/>
      <c r="L605" s="1"/>
      <c r="M605" s="1"/>
    </row>
    <row r="606" spans="10:13" ht="15.75" customHeight="1">
      <c r="J606" s="1"/>
      <c r="K606" s="1"/>
      <c r="L606" s="1"/>
      <c r="M606" s="1"/>
    </row>
    <row r="607" spans="10:13" ht="15.75" customHeight="1">
      <c r="J607" s="1"/>
      <c r="K607" s="1"/>
      <c r="L607" s="1"/>
      <c r="M607" s="1"/>
    </row>
    <row r="608" spans="10:13" ht="15.75" customHeight="1">
      <c r="J608" s="1"/>
      <c r="K608" s="1"/>
      <c r="L608" s="1"/>
      <c r="M608" s="1"/>
    </row>
    <row r="609" spans="10:13" ht="15.75" customHeight="1">
      <c r="J609" s="1"/>
      <c r="K609" s="1"/>
      <c r="L609" s="1"/>
      <c r="M609" s="1"/>
    </row>
    <row r="610" spans="10:13" ht="15.75" customHeight="1">
      <c r="J610" s="1"/>
      <c r="K610" s="1"/>
      <c r="L610" s="1"/>
      <c r="M610" s="1"/>
    </row>
    <row r="611" spans="10:13" ht="15.75" customHeight="1">
      <c r="J611" s="1"/>
      <c r="K611" s="1"/>
      <c r="L611" s="1"/>
      <c r="M611" s="1"/>
    </row>
    <row r="612" spans="10:13" ht="15.75" customHeight="1">
      <c r="J612" s="1"/>
      <c r="K612" s="1"/>
      <c r="L612" s="1"/>
      <c r="M612" s="1"/>
    </row>
    <row r="613" spans="10:13" ht="15.75" customHeight="1">
      <c r="J613" s="1"/>
      <c r="K613" s="1"/>
      <c r="L613" s="1"/>
      <c r="M613" s="1"/>
    </row>
    <row r="614" spans="10:13" ht="15.75" customHeight="1">
      <c r="J614" s="1"/>
      <c r="K614" s="1"/>
      <c r="L614" s="1"/>
      <c r="M614" s="1"/>
    </row>
    <row r="615" spans="10:13" ht="15.75" customHeight="1">
      <c r="J615" s="1"/>
      <c r="K615" s="1"/>
      <c r="L615" s="1"/>
      <c r="M615" s="1"/>
    </row>
    <row r="616" spans="10:13" ht="15.75" customHeight="1">
      <c r="J616" s="1"/>
      <c r="K616" s="1"/>
      <c r="L616" s="1"/>
      <c r="M616" s="1"/>
    </row>
    <row r="617" spans="10:13" ht="15.75" customHeight="1">
      <c r="J617" s="1"/>
      <c r="K617" s="1"/>
      <c r="L617" s="1"/>
      <c r="M617" s="1"/>
    </row>
    <row r="618" spans="10:13" ht="15.75" customHeight="1">
      <c r="J618" s="1"/>
      <c r="K618" s="1"/>
      <c r="L618" s="1"/>
      <c r="M618" s="1"/>
    </row>
    <row r="619" spans="10:13" ht="15.75" customHeight="1">
      <c r="J619" s="1"/>
      <c r="K619" s="1"/>
      <c r="L619" s="1"/>
      <c r="M619" s="1"/>
    </row>
    <row r="620" spans="10:13" ht="15.75" customHeight="1">
      <c r="J620" s="1"/>
      <c r="K620" s="1"/>
      <c r="L620" s="1"/>
      <c r="M620" s="1"/>
    </row>
    <row r="621" spans="10:13" ht="15.75" customHeight="1">
      <c r="J621" s="1"/>
      <c r="K621" s="1"/>
      <c r="L621" s="1"/>
      <c r="M621" s="1"/>
    </row>
    <row r="622" spans="10:13" ht="15.75" customHeight="1">
      <c r="J622" s="1"/>
      <c r="K622" s="1"/>
      <c r="L622" s="1"/>
      <c r="M622" s="1"/>
    </row>
    <row r="623" spans="10:13" ht="15.75" customHeight="1">
      <c r="J623" s="1"/>
      <c r="K623" s="1"/>
      <c r="L623" s="1"/>
      <c r="M623" s="1"/>
    </row>
    <row r="624" spans="10:13" ht="15.75" customHeight="1">
      <c r="J624" s="1"/>
      <c r="K624" s="1"/>
      <c r="L624" s="1"/>
      <c r="M624" s="1"/>
    </row>
    <row r="625" spans="10:13" ht="15.75" customHeight="1">
      <c r="J625" s="1"/>
      <c r="K625" s="1"/>
      <c r="L625" s="1"/>
      <c r="M625" s="1"/>
    </row>
    <row r="626" spans="10:13" ht="15.75" customHeight="1">
      <c r="J626" s="1"/>
      <c r="K626" s="1"/>
      <c r="L626" s="1"/>
      <c r="M626" s="1"/>
    </row>
    <row r="627" spans="10:13" ht="15.75" customHeight="1">
      <c r="J627" s="1"/>
      <c r="K627" s="1"/>
      <c r="L627" s="1"/>
      <c r="M627" s="1"/>
    </row>
    <row r="628" spans="10:13" ht="15.75" customHeight="1">
      <c r="J628" s="1"/>
      <c r="K628" s="1"/>
      <c r="L628" s="1"/>
      <c r="M628" s="1"/>
    </row>
    <row r="629" spans="10:13" ht="15.75" customHeight="1">
      <c r="J629" s="1"/>
      <c r="K629" s="1"/>
      <c r="L629" s="1"/>
      <c r="M629" s="1"/>
    </row>
    <row r="630" spans="10:13" ht="15.75" customHeight="1">
      <c r="J630" s="1"/>
      <c r="K630" s="1"/>
      <c r="L630" s="1"/>
      <c r="M630" s="1"/>
    </row>
    <row r="631" spans="10:13" ht="15.75" customHeight="1">
      <c r="J631" s="1"/>
      <c r="K631" s="1"/>
      <c r="L631" s="1"/>
      <c r="M631" s="1"/>
    </row>
    <row r="632" spans="10:13" ht="15.75" customHeight="1">
      <c r="J632" s="1"/>
      <c r="K632" s="1"/>
      <c r="L632" s="1"/>
      <c r="M632" s="1"/>
    </row>
    <row r="633" spans="10:13" ht="15.75" customHeight="1">
      <c r="J633" s="1"/>
      <c r="K633" s="1"/>
      <c r="L633" s="1"/>
      <c r="M633" s="1"/>
    </row>
    <row r="634" spans="10:13" ht="15.75" customHeight="1">
      <c r="J634" s="1"/>
      <c r="K634" s="1"/>
      <c r="L634" s="1"/>
      <c r="M634" s="1"/>
    </row>
    <row r="635" spans="10:13" ht="15.75" customHeight="1">
      <c r="J635" s="1"/>
      <c r="K635" s="1"/>
      <c r="L635" s="1"/>
      <c r="M635" s="1"/>
    </row>
    <row r="636" spans="10:13" ht="15.75" customHeight="1">
      <c r="J636" s="1"/>
      <c r="K636" s="1"/>
      <c r="L636" s="1"/>
      <c r="M636" s="1"/>
    </row>
    <row r="637" spans="10:13" ht="15.75" customHeight="1">
      <c r="J637" s="1"/>
      <c r="K637" s="1"/>
      <c r="L637" s="1"/>
      <c r="M637" s="1"/>
    </row>
    <row r="638" spans="10:13" ht="15.75" customHeight="1">
      <c r="J638" s="1"/>
      <c r="K638" s="1"/>
      <c r="L638" s="1"/>
      <c r="M638" s="1"/>
    </row>
    <row r="639" spans="10:13" ht="15.75" customHeight="1">
      <c r="J639" s="1"/>
      <c r="K639" s="1"/>
      <c r="L639" s="1"/>
      <c r="M639" s="1"/>
    </row>
    <row r="640" spans="10:13" ht="15.75" customHeight="1">
      <c r="J640" s="1"/>
      <c r="K640" s="1"/>
      <c r="L640" s="1"/>
      <c r="M640" s="1"/>
    </row>
    <row r="641" spans="10:13" ht="15.75" customHeight="1">
      <c r="J641" s="1"/>
      <c r="K641" s="1"/>
      <c r="L641" s="1"/>
      <c r="M641" s="1"/>
    </row>
    <row r="642" spans="10:13" ht="15.75" customHeight="1">
      <c r="J642" s="1"/>
      <c r="K642" s="1"/>
      <c r="L642" s="1"/>
      <c r="M642" s="1"/>
    </row>
    <row r="643" spans="10:13" ht="15.75" customHeight="1">
      <c r="J643" s="1"/>
      <c r="K643" s="1"/>
      <c r="L643" s="1"/>
      <c r="M643" s="1"/>
    </row>
    <row r="644" spans="10:13" ht="15.75" customHeight="1">
      <c r="J644" s="1"/>
      <c r="K644" s="1"/>
      <c r="L644" s="1"/>
      <c r="M644" s="1"/>
    </row>
    <row r="645" spans="10:13" ht="15.75" customHeight="1">
      <c r="J645" s="1"/>
      <c r="K645" s="1"/>
      <c r="L645" s="1"/>
      <c r="M645" s="1"/>
    </row>
    <row r="646" spans="10:13" ht="15.75" customHeight="1">
      <c r="J646" s="1"/>
      <c r="K646" s="1"/>
      <c r="L646" s="1"/>
      <c r="M646" s="1"/>
    </row>
    <row r="647" spans="10:13" ht="15.75" customHeight="1">
      <c r="J647" s="1"/>
      <c r="K647" s="1"/>
      <c r="L647" s="1"/>
      <c r="M647" s="1"/>
    </row>
    <row r="648" spans="10:13" ht="15.75" customHeight="1">
      <c r="J648" s="1"/>
      <c r="K648" s="1"/>
      <c r="L648" s="1"/>
      <c r="M648" s="1"/>
    </row>
    <row r="649" spans="10:13" ht="15.75" customHeight="1">
      <c r="J649" s="1"/>
      <c r="K649" s="1"/>
      <c r="L649" s="1"/>
      <c r="M649" s="1"/>
    </row>
    <row r="650" spans="10:13" ht="15.75" customHeight="1">
      <c r="J650" s="1"/>
      <c r="K650" s="1"/>
      <c r="L650" s="1"/>
      <c r="M650" s="1"/>
    </row>
    <row r="651" spans="10:13" ht="15.75" customHeight="1">
      <c r="J651" s="1"/>
      <c r="K651" s="1"/>
      <c r="L651" s="1"/>
      <c r="M651" s="1"/>
    </row>
    <row r="652" spans="10:13" ht="15.75" customHeight="1">
      <c r="J652" s="1"/>
      <c r="K652" s="1"/>
      <c r="L652" s="1"/>
      <c r="M652" s="1"/>
    </row>
    <row r="653" spans="10:13" ht="15.75" customHeight="1">
      <c r="J653" s="1"/>
      <c r="K653" s="1"/>
      <c r="L653" s="1"/>
      <c r="M653" s="1"/>
    </row>
    <row r="654" spans="10:13" ht="15.75" customHeight="1">
      <c r="J654" s="1"/>
      <c r="K654" s="1"/>
      <c r="L654" s="1"/>
      <c r="M654" s="1"/>
    </row>
    <row r="655" spans="10:13" ht="15.75" customHeight="1">
      <c r="J655" s="1"/>
      <c r="K655" s="1"/>
      <c r="L655" s="1"/>
      <c r="M655" s="1"/>
    </row>
    <row r="656" spans="10:13" ht="15.75" customHeight="1">
      <c r="J656" s="1"/>
      <c r="K656" s="1"/>
      <c r="L656" s="1"/>
      <c r="M656" s="1"/>
    </row>
    <row r="657" spans="10:13" ht="15.75" customHeight="1">
      <c r="J657" s="1"/>
      <c r="K657" s="1"/>
      <c r="L657" s="1"/>
      <c r="M657" s="1"/>
    </row>
    <row r="658" spans="10:13" ht="15.75" customHeight="1">
      <c r="J658" s="1"/>
      <c r="K658" s="1"/>
      <c r="L658" s="1"/>
      <c r="M658" s="1"/>
    </row>
    <row r="659" spans="10:13" ht="15.75" customHeight="1">
      <c r="J659" s="1"/>
      <c r="K659" s="1"/>
      <c r="L659" s="1"/>
      <c r="M659" s="1"/>
    </row>
    <row r="660" spans="10:13" ht="15.75" customHeight="1">
      <c r="J660" s="1"/>
      <c r="K660" s="1"/>
      <c r="L660" s="1"/>
      <c r="M660" s="1"/>
    </row>
    <row r="661" spans="10:13" ht="15.75" customHeight="1">
      <c r="J661" s="1"/>
      <c r="K661" s="1"/>
      <c r="L661" s="1"/>
      <c r="M661" s="1"/>
    </row>
    <row r="662" spans="10:13" ht="15.75" customHeight="1">
      <c r="J662" s="1"/>
      <c r="K662" s="1"/>
      <c r="L662" s="1"/>
      <c r="M662" s="1"/>
    </row>
    <row r="663" spans="10:13" ht="15.75" customHeight="1">
      <c r="J663" s="1"/>
      <c r="K663" s="1"/>
      <c r="L663" s="1"/>
      <c r="M663" s="1"/>
    </row>
    <row r="664" spans="10:13" ht="15.75" customHeight="1">
      <c r="J664" s="1"/>
      <c r="K664" s="1"/>
      <c r="L664" s="1"/>
      <c r="M664" s="1"/>
    </row>
    <row r="665" spans="10:13" ht="15.75" customHeight="1">
      <c r="J665" s="1"/>
      <c r="K665" s="1"/>
      <c r="L665" s="1"/>
      <c r="M665" s="1"/>
    </row>
    <row r="666" spans="10:13" ht="15.75" customHeight="1">
      <c r="J666" s="1"/>
      <c r="K666" s="1"/>
      <c r="L666" s="1"/>
      <c r="M666" s="1"/>
    </row>
    <row r="667" spans="10:13" ht="15.75" customHeight="1">
      <c r="J667" s="1"/>
      <c r="K667" s="1"/>
      <c r="L667" s="1"/>
      <c r="M667" s="1"/>
    </row>
    <row r="668" spans="10:13" ht="15.75" customHeight="1">
      <c r="J668" s="1"/>
      <c r="K668" s="1"/>
      <c r="L668" s="1"/>
      <c r="M668" s="1"/>
    </row>
    <row r="669" spans="10:13" ht="15.75" customHeight="1">
      <c r="J669" s="1"/>
      <c r="K669" s="1"/>
      <c r="L669" s="1"/>
      <c r="M669" s="1"/>
    </row>
    <row r="670" spans="10:13" ht="15.75" customHeight="1">
      <c r="J670" s="1"/>
      <c r="K670" s="1"/>
      <c r="L670" s="1"/>
      <c r="M670" s="1"/>
    </row>
    <row r="671" spans="10:13" ht="15.75" customHeight="1">
      <c r="J671" s="1"/>
      <c r="K671" s="1"/>
      <c r="L671" s="1"/>
      <c r="M671" s="1"/>
    </row>
    <row r="672" spans="10:13" ht="15.75" customHeight="1">
      <c r="J672" s="1"/>
      <c r="K672" s="1"/>
      <c r="L672" s="1"/>
      <c r="M672" s="1"/>
    </row>
    <row r="673" spans="10:13" ht="15.75" customHeight="1">
      <c r="J673" s="1"/>
      <c r="K673" s="1"/>
      <c r="L673" s="1"/>
      <c r="M673" s="1"/>
    </row>
    <row r="674" spans="10:13" ht="15.75" customHeight="1">
      <c r="J674" s="1"/>
      <c r="K674" s="1"/>
      <c r="L674" s="1"/>
      <c r="M674" s="1"/>
    </row>
    <row r="675" spans="10:13" ht="15.75" customHeight="1">
      <c r="J675" s="1"/>
      <c r="K675" s="1"/>
      <c r="L675" s="1"/>
      <c r="M675" s="1"/>
    </row>
    <row r="676" spans="10:13" ht="15.75" customHeight="1">
      <c r="J676" s="1"/>
      <c r="K676" s="1"/>
      <c r="L676" s="1"/>
      <c r="M676" s="1"/>
    </row>
    <row r="677" spans="10:13" ht="15.75" customHeight="1">
      <c r="J677" s="1"/>
      <c r="K677" s="1"/>
      <c r="L677" s="1"/>
      <c r="M677" s="1"/>
    </row>
    <row r="678" spans="10:13" ht="15.75" customHeight="1">
      <c r="J678" s="1"/>
      <c r="K678" s="1"/>
      <c r="L678" s="1"/>
      <c r="M678" s="1"/>
    </row>
    <row r="679" spans="10:13" ht="15.75" customHeight="1">
      <c r="J679" s="1"/>
      <c r="K679" s="1"/>
      <c r="L679" s="1"/>
      <c r="M679" s="1"/>
    </row>
    <row r="680" spans="10:13" ht="15.75" customHeight="1">
      <c r="J680" s="1"/>
      <c r="K680" s="1"/>
      <c r="L680" s="1"/>
      <c r="M680" s="1"/>
    </row>
    <row r="681" spans="10:13" ht="15.75" customHeight="1">
      <c r="J681" s="1"/>
      <c r="K681" s="1"/>
      <c r="L681" s="1"/>
      <c r="M681" s="1"/>
    </row>
    <row r="682" spans="10:13" ht="15.75" customHeight="1">
      <c r="J682" s="1"/>
      <c r="K682" s="1"/>
      <c r="L682" s="1"/>
      <c r="M682" s="1"/>
    </row>
    <row r="683" spans="10:13" ht="15.75" customHeight="1">
      <c r="J683" s="1"/>
      <c r="K683" s="1"/>
      <c r="L683" s="1"/>
      <c r="M683" s="1"/>
    </row>
    <row r="684" spans="10:13" ht="15.75" customHeight="1">
      <c r="J684" s="1"/>
      <c r="K684" s="1"/>
      <c r="L684" s="1"/>
      <c r="M684" s="1"/>
    </row>
    <row r="685" spans="10:13" ht="15.75" customHeight="1">
      <c r="J685" s="1"/>
      <c r="K685" s="1"/>
      <c r="L685" s="1"/>
      <c r="M685" s="1"/>
    </row>
    <row r="686" spans="10:13" ht="15.75" customHeight="1">
      <c r="J686" s="1"/>
      <c r="K686" s="1"/>
      <c r="L686" s="1"/>
      <c r="M686" s="1"/>
    </row>
    <row r="687" spans="10:13" ht="15.75" customHeight="1">
      <c r="J687" s="1"/>
      <c r="K687" s="1"/>
      <c r="L687" s="1"/>
      <c r="M687" s="1"/>
    </row>
    <row r="688" spans="10:13" ht="15.75" customHeight="1">
      <c r="J688" s="1"/>
      <c r="K688" s="1"/>
      <c r="L688" s="1"/>
      <c r="M688" s="1"/>
    </row>
    <row r="689" spans="10:13" ht="15.75" customHeight="1">
      <c r="J689" s="1"/>
      <c r="K689" s="1"/>
      <c r="L689" s="1"/>
      <c r="M689" s="1"/>
    </row>
    <row r="690" spans="10:13" ht="15.75" customHeight="1">
      <c r="J690" s="1"/>
      <c r="K690" s="1"/>
      <c r="L690" s="1"/>
      <c r="M690" s="1"/>
    </row>
    <row r="691" spans="10:13" ht="15.75" customHeight="1">
      <c r="J691" s="1"/>
      <c r="K691" s="1"/>
      <c r="L691" s="1"/>
      <c r="M691" s="1"/>
    </row>
    <row r="692" spans="10:13" ht="15.75" customHeight="1">
      <c r="J692" s="1"/>
      <c r="K692" s="1"/>
      <c r="L692" s="1"/>
      <c r="M692" s="1"/>
    </row>
    <row r="693" spans="10:13" ht="15.75" customHeight="1">
      <c r="J693" s="1"/>
      <c r="K693" s="1"/>
      <c r="L693" s="1"/>
      <c r="M693" s="1"/>
    </row>
    <row r="694" spans="10:13" ht="15.75" customHeight="1">
      <c r="J694" s="1"/>
      <c r="K694" s="1"/>
      <c r="L694" s="1"/>
      <c r="M694" s="1"/>
    </row>
    <row r="695" spans="10:13" ht="15.75" customHeight="1">
      <c r="J695" s="1"/>
      <c r="K695" s="1"/>
      <c r="L695" s="1"/>
      <c r="M695" s="1"/>
    </row>
    <row r="696" spans="10:13" ht="15.75" customHeight="1">
      <c r="J696" s="1"/>
      <c r="K696" s="1"/>
      <c r="L696" s="1"/>
      <c r="M696" s="1"/>
    </row>
    <row r="697" spans="10:13" ht="15.75" customHeight="1">
      <c r="J697" s="1"/>
      <c r="K697" s="1"/>
      <c r="L697" s="1"/>
      <c r="M697" s="1"/>
    </row>
    <row r="698" spans="10:13" ht="15.75" customHeight="1">
      <c r="J698" s="1"/>
      <c r="K698" s="1"/>
      <c r="L698" s="1"/>
      <c r="M698" s="1"/>
    </row>
    <row r="699" spans="10:13" ht="15.75" customHeight="1">
      <c r="J699" s="1"/>
      <c r="K699" s="1"/>
      <c r="L699" s="1"/>
      <c r="M699" s="1"/>
    </row>
    <row r="700" spans="10:13" ht="15.75" customHeight="1">
      <c r="J700" s="1"/>
      <c r="K700" s="1"/>
      <c r="L700" s="1"/>
      <c r="M700" s="1"/>
    </row>
    <row r="701" spans="10:13" ht="15.75" customHeight="1">
      <c r="J701" s="1"/>
      <c r="K701" s="1"/>
      <c r="L701" s="1"/>
      <c r="M701" s="1"/>
    </row>
    <row r="702" spans="10:13" ht="15.75" customHeight="1">
      <c r="J702" s="1"/>
      <c r="K702" s="1"/>
      <c r="L702" s="1"/>
      <c r="M702" s="1"/>
    </row>
    <row r="703" spans="10:13" ht="15.75" customHeight="1">
      <c r="J703" s="1"/>
      <c r="K703" s="1"/>
      <c r="L703" s="1"/>
      <c r="M703" s="1"/>
    </row>
    <row r="704" spans="10:13" ht="15.75" customHeight="1">
      <c r="J704" s="1"/>
      <c r="K704" s="1"/>
      <c r="L704" s="1"/>
      <c r="M704" s="1"/>
    </row>
    <row r="705" spans="10:13" ht="15.75" customHeight="1">
      <c r="J705" s="1"/>
      <c r="K705" s="1"/>
      <c r="L705" s="1"/>
      <c r="M705" s="1"/>
    </row>
    <row r="706" spans="10:13" ht="15.75" customHeight="1">
      <c r="J706" s="1"/>
      <c r="K706" s="1"/>
      <c r="L706" s="1"/>
      <c r="M706" s="1"/>
    </row>
    <row r="707" spans="10:13" ht="15.75" customHeight="1">
      <c r="J707" s="1"/>
      <c r="K707" s="1"/>
      <c r="L707" s="1"/>
      <c r="M707" s="1"/>
    </row>
    <row r="708" spans="10:13" ht="15.75" customHeight="1">
      <c r="J708" s="1"/>
      <c r="K708" s="1"/>
      <c r="L708" s="1"/>
      <c r="M708" s="1"/>
    </row>
    <row r="709" spans="10:13" ht="15.75" customHeight="1">
      <c r="J709" s="1"/>
      <c r="K709" s="1"/>
      <c r="L709" s="1"/>
      <c r="M709" s="1"/>
    </row>
    <row r="710" spans="10:13" ht="15.75" customHeight="1">
      <c r="J710" s="1"/>
      <c r="K710" s="1"/>
      <c r="L710" s="1"/>
      <c r="M710" s="1"/>
    </row>
    <row r="711" spans="10:13" ht="15.75" customHeight="1">
      <c r="J711" s="1"/>
      <c r="K711" s="1"/>
      <c r="L711" s="1"/>
      <c r="M711" s="1"/>
    </row>
    <row r="712" spans="10:13" ht="15.75" customHeight="1">
      <c r="J712" s="1"/>
      <c r="K712" s="1"/>
      <c r="L712" s="1"/>
      <c r="M712" s="1"/>
    </row>
    <row r="713" spans="10:13" ht="15.75" customHeight="1">
      <c r="J713" s="1"/>
      <c r="K713" s="1"/>
      <c r="L713" s="1"/>
      <c r="M713" s="1"/>
    </row>
    <row r="714" spans="10:13" ht="15.75" customHeight="1">
      <c r="J714" s="1"/>
      <c r="K714" s="1"/>
      <c r="L714" s="1"/>
      <c r="M714" s="1"/>
    </row>
    <row r="715" spans="10:13" ht="15.75" customHeight="1">
      <c r="J715" s="1"/>
      <c r="K715" s="1"/>
      <c r="L715" s="1"/>
      <c r="M715" s="1"/>
    </row>
    <row r="716" spans="10:13" ht="15.75" customHeight="1">
      <c r="J716" s="1"/>
      <c r="K716" s="1"/>
      <c r="L716" s="1"/>
      <c r="M716" s="1"/>
    </row>
    <row r="717" spans="10:13" ht="15.75" customHeight="1">
      <c r="J717" s="1"/>
      <c r="K717" s="1"/>
      <c r="L717" s="1"/>
      <c r="M717" s="1"/>
    </row>
    <row r="718" spans="10:13" ht="15.75" customHeight="1">
      <c r="J718" s="1"/>
      <c r="K718" s="1"/>
      <c r="L718" s="1"/>
      <c r="M718" s="1"/>
    </row>
    <row r="719" spans="10:13" ht="15.75" customHeight="1">
      <c r="J719" s="1"/>
      <c r="K719" s="1"/>
      <c r="L719" s="1"/>
      <c r="M719" s="1"/>
    </row>
    <row r="720" spans="10:13" ht="15.75" customHeight="1">
      <c r="J720" s="1"/>
      <c r="K720" s="1"/>
      <c r="L720" s="1"/>
      <c r="M720" s="1"/>
    </row>
    <row r="721" spans="10:13" ht="15.75" customHeight="1">
      <c r="J721" s="1"/>
      <c r="K721" s="1"/>
      <c r="L721" s="1"/>
      <c r="M721" s="1"/>
    </row>
    <row r="722" spans="10:13" ht="15.75" customHeight="1">
      <c r="J722" s="1"/>
      <c r="K722" s="1"/>
      <c r="L722" s="1"/>
      <c r="M722" s="1"/>
    </row>
    <row r="723" spans="10:13" ht="15.75" customHeight="1">
      <c r="J723" s="1"/>
      <c r="K723" s="1"/>
      <c r="L723" s="1"/>
      <c r="M723" s="1"/>
    </row>
    <row r="724" spans="10:13" ht="15.75" customHeight="1">
      <c r="J724" s="1"/>
      <c r="K724" s="1"/>
      <c r="L724" s="1"/>
      <c r="M724" s="1"/>
    </row>
    <row r="725" spans="10:13" ht="15.75" customHeight="1">
      <c r="J725" s="1"/>
      <c r="K725" s="1"/>
      <c r="L725" s="1"/>
      <c r="M725" s="1"/>
    </row>
    <row r="726" spans="10:13" ht="15.75" customHeight="1">
      <c r="J726" s="1"/>
      <c r="K726" s="1"/>
      <c r="L726" s="1"/>
      <c r="M726" s="1"/>
    </row>
    <row r="727" spans="10:13" ht="15.75" customHeight="1">
      <c r="J727" s="1"/>
      <c r="K727" s="1"/>
      <c r="L727" s="1"/>
      <c r="M727" s="1"/>
    </row>
    <row r="728" spans="10:13" ht="15.75" customHeight="1">
      <c r="J728" s="1"/>
      <c r="K728" s="1"/>
      <c r="L728" s="1"/>
      <c r="M728" s="1"/>
    </row>
    <row r="729" spans="10:13" ht="15.75" customHeight="1">
      <c r="J729" s="1"/>
      <c r="K729" s="1"/>
      <c r="L729" s="1"/>
      <c r="M729" s="1"/>
    </row>
    <row r="730" spans="10:13" ht="15.75" customHeight="1">
      <c r="J730" s="1"/>
      <c r="K730" s="1"/>
      <c r="L730" s="1"/>
      <c r="M730" s="1"/>
    </row>
    <row r="731" spans="10:13" ht="15.75" customHeight="1">
      <c r="J731" s="1"/>
      <c r="K731" s="1"/>
      <c r="L731" s="1"/>
      <c r="M731" s="1"/>
    </row>
    <row r="732" spans="10:13" ht="15.75" customHeight="1">
      <c r="J732" s="1"/>
      <c r="K732" s="1"/>
      <c r="L732" s="1"/>
      <c r="M732" s="1"/>
    </row>
    <row r="733" spans="10:13" ht="15.75" customHeight="1">
      <c r="J733" s="1"/>
      <c r="K733" s="1"/>
      <c r="L733" s="1"/>
      <c r="M733" s="1"/>
    </row>
    <row r="734" spans="10:13" ht="15.75" customHeight="1">
      <c r="J734" s="1"/>
      <c r="K734" s="1"/>
      <c r="L734" s="1"/>
      <c r="M734" s="1"/>
    </row>
    <row r="735" spans="10:13" ht="15.75" customHeight="1">
      <c r="J735" s="1"/>
      <c r="K735" s="1"/>
      <c r="L735" s="1"/>
      <c r="M735" s="1"/>
    </row>
    <row r="736" spans="10:13" ht="15.75" customHeight="1">
      <c r="J736" s="1"/>
      <c r="K736" s="1"/>
      <c r="L736" s="1"/>
      <c r="M736" s="1"/>
    </row>
    <row r="737" spans="10:13" ht="15.75" customHeight="1">
      <c r="J737" s="1"/>
      <c r="K737" s="1"/>
      <c r="L737" s="1"/>
      <c r="M737" s="1"/>
    </row>
    <row r="738" spans="10:13" ht="15.75" customHeight="1">
      <c r="J738" s="1"/>
      <c r="K738" s="1"/>
      <c r="L738" s="1"/>
      <c r="M738" s="1"/>
    </row>
    <row r="739" spans="10:13" ht="15.75" customHeight="1">
      <c r="J739" s="1"/>
      <c r="K739" s="1"/>
      <c r="L739" s="1"/>
      <c r="M739" s="1"/>
    </row>
    <row r="740" spans="10:13" ht="15.75" customHeight="1">
      <c r="J740" s="1"/>
      <c r="K740" s="1"/>
      <c r="L740" s="1"/>
      <c r="M740" s="1"/>
    </row>
    <row r="741" spans="10:13" ht="15.75" customHeight="1">
      <c r="J741" s="1"/>
      <c r="K741" s="1"/>
      <c r="L741" s="1"/>
      <c r="M741" s="1"/>
    </row>
    <row r="742" spans="10:13" ht="15.75" customHeight="1">
      <c r="J742" s="1"/>
      <c r="K742" s="1"/>
      <c r="L742" s="1"/>
      <c r="M742" s="1"/>
    </row>
    <row r="743" spans="10:13" ht="15.75" customHeight="1">
      <c r="J743" s="1"/>
      <c r="K743" s="1"/>
      <c r="L743" s="1"/>
      <c r="M743" s="1"/>
    </row>
    <row r="744" spans="10:13" ht="15.75" customHeight="1">
      <c r="J744" s="1"/>
      <c r="K744" s="1"/>
      <c r="L744" s="1"/>
      <c r="M744" s="1"/>
    </row>
    <row r="745" spans="10:13" ht="15.75" customHeight="1">
      <c r="J745" s="1"/>
      <c r="K745" s="1"/>
      <c r="L745" s="1"/>
      <c r="M745" s="1"/>
    </row>
    <row r="746" spans="10:13" ht="15.75" customHeight="1">
      <c r="J746" s="1"/>
      <c r="K746" s="1"/>
      <c r="L746" s="1"/>
      <c r="M746" s="1"/>
    </row>
    <row r="747" spans="10:13" ht="15.75" customHeight="1">
      <c r="J747" s="1"/>
      <c r="K747" s="1"/>
      <c r="L747" s="1"/>
      <c r="M747" s="1"/>
    </row>
    <row r="748" spans="10:13" ht="15.75" customHeight="1">
      <c r="J748" s="1"/>
      <c r="K748" s="1"/>
      <c r="L748" s="1"/>
      <c r="M748" s="1"/>
    </row>
    <row r="749" spans="10:13" ht="15.75" customHeight="1">
      <c r="J749" s="1"/>
      <c r="K749" s="1"/>
      <c r="L749" s="1"/>
      <c r="M749" s="1"/>
    </row>
    <row r="750" spans="10:13" ht="15.75" customHeight="1">
      <c r="J750" s="1"/>
      <c r="K750" s="1"/>
      <c r="L750" s="1"/>
      <c r="M750" s="1"/>
    </row>
    <row r="751" spans="10:13" ht="15.75" customHeight="1">
      <c r="J751" s="1"/>
      <c r="K751" s="1"/>
      <c r="L751" s="1"/>
      <c r="M751" s="1"/>
    </row>
    <row r="752" spans="10:13" ht="15.75" customHeight="1">
      <c r="J752" s="1"/>
      <c r="K752" s="1"/>
      <c r="L752" s="1"/>
      <c r="M752" s="1"/>
    </row>
    <row r="753" spans="10:13" ht="15.75" customHeight="1">
      <c r="J753" s="1"/>
      <c r="K753" s="1"/>
      <c r="L753" s="1"/>
      <c r="M753" s="1"/>
    </row>
    <row r="754" spans="10:13" ht="15.75" customHeight="1">
      <c r="J754" s="1"/>
      <c r="K754" s="1"/>
      <c r="L754" s="1"/>
      <c r="M754" s="1"/>
    </row>
    <row r="755" spans="10:13" ht="15.75" customHeight="1">
      <c r="J755" s="1"/>
      <c r="K755" s="1"/>
      <c r="L755" s="1"/>
      <c r="M755" s="1"/>
    </row>
    <row r="756" spans="10:13" ht="15.75" customHeight="1">
      <c r="J756" s="1"/>
      <c r="K756" s="1"/>
      <c r="L756" s="1"/>
      <c r="M756" s="1"/>
    </row>
    <row r="757" spans="10:13" ht="15.75" customHeight="1">
      <c r="J757" s="1"/>
      <c r="K757" s="1"/>
      <c r="L757" s="1"/>
      <c r="M757" s="1"/>
    </row>
    <row r="758" spans="10:13" ht="15.75" customHeight="1">
      <c r="J758" s="1"/>
      <c r="K758" s="1"/>
      <c r="L758" s="1"/>
      <c r="M758" s="1"/>
    </row>
    <row r="759" spans="10:13" ht="15.75" customHeight="1">
      <c r="J759" s="1"/>
      <c r="K759" s="1"/>
      <c r="L759" s="1"/>
      <c r="M759" s="1"/>
    </row>
    <row r="760" spans="10:13" ht="15.75" customHeight="1">
      <c r="J760" s="1"/>
      <c r="K760" s="1"/>
      <c r="L760" s="1"/>
      <c r="M760" s="1"/>
    </row>
    <row r="761" spans="10:13" ht="15.75" customHeight="1">
      <c r="J761" s="1"/>
      <c r="K761" s="1"/>
      <c r="L761" s="1"/>
      <c r="M761" s="1"/>
    </row>
    <row r="762" spans="10:13" ht="15.75" customHeight="1">
      <c r="J762" s="1"/>
      <c r="K762" s="1"/>
      <c r="L762" s="1"/>
      <c r="M762" s="1"/>
    </row>
    <row r="763" spans="10:13" ht="15.75" customHeight="1">
      <c r="J763" s="1"/>
      <c r="K763" s="1"/>
      <c r="L763" s="1"/>
      <c r="M763" s="1"/>
    </row>
    <row r="764" spans="10:13" ht="15.75" customHeight="1">
      <c r="J764" s="1"/>
      <c r="K764" s="1"/>
      <c r="L764" s="1"/>
      <c r="M764" s="1"/>
    </row>
    <row r="765" spans="10:13" ht="15.75" customHeight="1">
      <c r="J765" s="1"/>
      <c r="K765" s="1"/>
      <c r="L765" s="1"/>
      <c r="M765" s="1"/>
    </row>
    <row r="766" spans="10:13" ht="15.75" customHeight="1">
      <c r="J766" s="1"/>
      <c r="K766" s="1"/>
      <c r="L766" s="1"/>
      <c r="M766" s="1"/>
    </row>
    <row r="767" spans="10:13" ht="15.75" customHeight="1">
      <c r="J767" s="1"/>
      <c r="K767" s="1"/>
      <c r="L767" s="1"/>
      <c r="M767" s="1"/>
    </row>
    <row r="768" spans="10:13" ht="15.75" customHeight="1">
      <c r="J768" s="1"/>
      <c r="K768" s="1"/>
      <c r="L768" s="1"/>
      <c r="M768" s="1"/>
    </row>
    <row r="769" spans="10:13" ht="15.75" customHeight="1">
      <c r="J769" s="1"/>
      <c r="K769" s="1"/>
      <c r="L769" s="1"/>
      <c r="M769" s="1"/>
    </row>
    <row r="770" spans="10:13" ht="15.75" customHeight="1">
      <c r="J770" s="1"/>
      <c r="K770" s="1"/>
      <c r="L770" s="1"/>
      <c r="M770" s="1"/>
    </row>
    <row r="771" spans="10:13" ht="15.75" customHeight="1">
      <c r="J771" s="1"/>
      <c r="K771" s="1"/>
      <c r="L771" s="1"/>
      <c r="M771" s="1"/>
    </row>
    <row r="772" spans="10:13" ht="15.75" customHeight="1">
      <c r="J772" s="1"/>
      <c r="K772" s="1"/>
      <c r="L772" s="1"/>
      <c r="M772" s="1"/>
    </row>
    <row r="773" spans="10:13" ht="15.75" customHeight="1">
      <c r="J773" s="1"/>
      <c r="K773" s="1"/>
      <c r="L773" s="1"/>
      <c r="M773" s="1"/>
    </row>
    <row r="774" spans="10:13" ht="15.75" customHeight="1">
      <c r="J774" s="1"/>
      <c r="K774" s="1"/>
      <c r="L774" s="1"/>
      <c r="M774" s="1"/>
    </row>
    <row r="775" spans="10:13" ht="15.75" customHeight="1">
      <c r="J775" s="1"/>
      <c r="K775" s="1"/>
      <c r="L775" s="1"/>
      <c r="M775" s="1"/>
    </row>
    <row r="776" spans="10:13" ht="15.75" customHeight="1">
      <c r="J776" s="1"/>
      <c r="K776" s="1"/>
      <c r="L776" s="1"/>
      <c r="M776" s="1"/>
    </row>
    <row r="777" spans="10:13" ht="15.75" customHeight="1">
      <c r="J777" s="1"/>
      <c r="K777" s="1"/>
      <c r="L777" s="1"/>
      <c r="M777" s="1"/>
    </row>
    <row r="778" spans="10:13" ht="15.75" customHeight="1">
      <c r="J778" s="1"/>
      <c r="K778" s="1"/>
      <c r="L778" s="1"/>
      <c r="M778" s="1"/>
    </row>
    <row r="779" spans="10:13" ht="15.75" customHeight="1">
      <c r="J779" s="1"/>
      <c r="K779" s="1"/>
      <c r="L779" s="1"/>
      <c r="M779" s="1"/>
    </row>
    <row r="780" spans="10:13" ht="15.75" customHeight="1">
      <c r="J780" s="1"/>
      <c r="K780" s="1"/>
      <c r="L780" s="1"/>
      <c r="M780" s="1"/>
    </row>
    <row r="781" spans="10:13" ht="15.75" customHeight="1">
      <c r="J781" s="1"/>
      <c r="K781" s="1"/>
      <c r="L781" s="1"/>
      <c r="M781" s="1"/>
    </row>
    <row r="782" spans="10:13" ht="15.75" customHeight="1">
      <c r="J782" s="1"/>
      <c r="K782" s="1"/>
      <c r="L782" s="1"/>
      <c r="M782" s="1"/>
    </row>
    <row r="783" spans="10:13" ht="15.75" customHeight="1">
      <c r="J783" s="1"/>
      <c r="K783" s="1"/>
      <c r="L783" s="1"/>
      <c r="M783" s="1"/>
    </row>
    <row r="784" spans="10:13" ht="15.75" customHeight="1">
      <c r="J784" s="1"/>
      <c r="K784" s="1"/>
      <c r="L784" s="1"/>
      <c r="M784" s="1"/>
    </row>
    <row r="785" spans="10:13" ht="15.75" customHeight="1">
      <c r="J785" s="1"/>
      <c r="K785" s="1"/>
      <c r="L785" s="1"/>
      <c r="M785" s="1"/>
    </row>
    <row r="786" spans="10:13" ht="15.75" customHeight="1">
      <c r="J786" s="1"/>
      <c r="K786" s="1"/>
      <c r="L786" s="1"/>
      <c r="M786" s="1"/>
    </row>
    <row r="787" spans="10:13" ht="15.75" customHeight="1">
      <c r="J787" s="1"/>
      <c r="K787" s="1"/>
      <c r="L787" s="1"/>
      <c r="M787" s="1"/>
    </row>
    <row r="788" spans="10:13" ht="15.75" customHeight="1">
      <c r="J788" s="1"/>
      <c r="K788" s="1"/>
      <c r="L788" s="1"/>
      <c r="M788" s="1"/>
    </row>
    <row r="789" spans="10:13" ht="15.75" customHeight="1">
      <c r="J789" s="1"/>
      <c r="K789" s="1"/>
      <c r="L789" s="1"/>
      <c r="M789" s="1"/>
    </row>
    <row r="790" spans="10:13" ht="15.75" customHeight="1">
      <c r="J790" s="1"/>
      <c r="K790" s="1"/>
      <c r="L790" s="1"/>
      <c r="M790" s="1"/>
    </row>
    <row r="791" spans="10:13" ht="15.75" customHeight="1">
      <c r="J791" s="1"/>
      <c r="K791" s="1"/>
      <c r="L791" s="1"/>
      <c r="M791" s="1"/>
    </row>
    <row r="792" spans="10:13" ht="15.75" customHeight="1">
      <c r="J792" s="1"/>
      <c r="K792" s="1"/>
      <c r="L792" s="1"/>
      <c r="M792" s="1"/>
    </row>
    <row r="793" spans="10:13" ht="15.75" customHeight="1">
      <c r="J793" s="1"/>
      <c r="K793" s="1"/>
      <c r="L793" s="1"/>
      <c r="M793" s="1"/>
    </row>
    <row r="794" spans="10:13" ht="15.75" customHeight="1">
      <c r="J794" s="1"/>
      <c r="K794" s="1"/>
      <c r="L794" s="1"/>
      <c r="M794" s="1"/>
    </row>
    <row r="795" spans="10:13" ht="15.75" customHeight="1">
      <c r="J795" s="1"/>
      <c r="K795" s="1"/>
      <c r="L795" s="1"/>
      <c r="M795" s="1"/>
    </row>
    <row r="796" spans="10:13" ht="15.75" customHeight="1">
      <c r="J796" s="1"/>
      <c r="K796" s="1"/>
      <c r="L796" s="1"/>
      <c r="M796" s="1"/>
    </row>
    <row r="797" spans="10:13" ht="15.75" customHeight="1">
      <c r="J797" s="1"/>
      <c r="K797" s="1"/>
      <c r="L797" s="1"/>
      <c r="M797" s="1"/>
    </row>
    <row r="798" spans="10:13" ht="15.75" customHeight="1">
      <c r="J798" s="1"/>
      <c r="K798" s="1"/>
      <c r="L798" s="1"/>
      <c r="M798" s="1"/>
    </row>
    <row r="799" spans="10:13" ht="15.75" customHeight="1">
      <c r="J799" s="1"/>
      <c r="K799" s="1"/>
      <c r="L799" s="1"/>
      <c r="M799" s="1"/>
    </row>
    <row r="800" spans="10:13" ht="15.75" customHeight="1">
      <c r="J800" s="1"/>
      <c r="K800" s="1"/>
      <c r="L800" s="1"/>
      <c r="M800" s="1"/>
    </row>
    <row r="801" spans="10:13" ht="15.75" customHeight="1">
      <c r="J801" s="1"/>
      <c r="K801" s="1"/>
      <c r="L801" s="1"/>
      <c r="M801" s="1"/>
    </row>
    <row r="802" spans="10:13" ht="15.75" customHeight="1">
      <c r="J802" s="1"/>
      <c r="K802" s="1"/>
      <c r="L802" s="1"/>
      <c r="M802" s="1"/>
    </row>
    <row r="803" spans="10:13" ht="15.75" customHeight="1">
      <c r="J803" s="1"/>
      <c r="K803" s="1"/>
      <c r="L803" s="1"/>
      <c r="M803" s="1"/>
    </row>
    <row r="804" spans="10:13" ht="15.75" customHeight="1">
      <c r="J804" s="1"/>
      <c r="K804" s="1"/>
      <c r="L804" s="1"/>
      <c r="M804" s="1"/>
    </row>
    <row r="805" spans="10:13" ht="15.75" customHeight="1">
      <c r="J805" s="1"/>
      <c r="K805" s="1"/>
      <c r="L805" s="1"/>
      <c r="M805" s="1"/>
    </row>
    <row r="806" spans="10:13" ht="15.75" customHeight="1">
      <c r="J806" s="1"/>
      <c r="K806" s="1"/>
      <c r="L806" s="1"/>
      <c r="M806" s="1"/>
    </row>
    <row r="807" spans="10:13" ht="15.75" customHeight="1">
      <c r="J807" s="1"/>
      <c r="K807" s="1"/>
      <c r="L807" s="1"/>
      <c r="M807" s="1"/>
    </row>
    <row r="808" spans="10:13" ht="15.75" customHeight="1">
      <c r="J808" s="1"/>
      <c r="K808" s="1"/>
      <c r="L808" s="1"/>
      <c r="M808" s="1"/>
    </row>
    <row r="809" spans="10:13" ht="15.75" customHeight="1">
      <c r="J809" s="1"/>
      <c r="K809" s="1"/>
      <c r="L809" s="1"/>
      <c r="M809" s="1"/>
    </row>
    <row r="810" spans="10:13" ht="15.75" customHeight="1">
      <c r="J810" s="1"/>
      <c r="K810" s="1"/>
      <c r="L810" s="1"/>
      <c r="M810" s="1"/>
    </row>
    <row r="811" spans="10:13" ht="15.75" customHeight="1">
      <c r="J811" s="1"/>
      <c r="K811" s="1"/>
      <c r="L811" s="1"/>
      <c r="M811" s="1"/>
    </row>
    <row r="812" spans="10:13" ht="15.75" customHeight="1">
      <c r="J812" s="1"/>
      <c r="K812" s="1"/>
      <c r="L812" s="1"/>
      <c r="M812" s="1"/>
    </row>
    <row r="813" spans="10:13" ht="15.75" customHeight="1">
      <c r="J813" s="1"/>
      <c r="K813" s="1"/>
      <c r="L813" s="1"/>
      <c r="M813" s="1"/>
    </row>
    <row r="814" spans="10:13" ht="15.75" customHeight="1">
      <c r="J814" s="1"/>
      <c r="K814" s="1"/>
      <c r="L814" s="1"/>
      <c r="M814" s="1"/>
    </row>
    <row r="815" spans="10:13" ht="15.75" customHeight="1">
      <c r="J815" s="1"/>
      <c r="K815" s="1"/>
      <c r="L815" s="1"/>
      <c r="M815" s="1"/>
    </row>
    <row r="816" spans="10:13" ht="15.75" customHeight="1">
      <c r="J816" s="1"/>
      <c r="K816" s="1"/>
      <c r="L816" s="1"/>
      <c r="M816" s="1"/>
    </row>
    <row r="817" spans="10:13" ht="15.75" customHeight="1">
      <c r="J817" s="1"/>
      <c r="K817" s="1"/>
      <c r="L817" s="1"/>
      <c r="M817" s="1"/>
    </row>
    <row r="818" spans="10:13" ht="15.75" customHeight="1">
      <c r="J818" s="1"/>
      <c r="K818" s="1"/>
      <c r="L818" s="1"/>
      <c r="M818" s="1"/>
    </row>
    <row r="819" spans="10:13" ht="15.75" customHeight="1">
      <c r="J819" s="1"/>
      <c r="K819" s="1"/>
      <c r="L819" s="1"/>
      <c r="M819" s="1"/>
    </row>
    <row r="820" spans="10:13" ht="15.75" customHeight="1">
      <c r="J820" s="1"/>
      <c r="K820" s="1"/>
      <c r="L820" s="1"/>
      <c r="M820" s="1"/>
    </row>
    <row r="821" spans="10:13" ht="15.75" customHeight="1">
      <c r="J821" s="1"/>
      <c r="K821" s="1"/>
      <c r="L821" s="1"/>
      <c r="M821" s="1"/>
    </row>
    <row r="822" spans="10:13" ht="15.75" customHeight="1">
      <c r="J822" s="1"/>
      <c r="K822" s="1"/>
      <c r="L822" s="1"/>
      <c r="M822" s="1"/>
    </row>
    <row r="823" spans="10:13" ht="15.75" customHeight="1">
      <c r="J823" s="1"/>
      <c r="K823" s="1"/>
      <c r="L823" s="1"/>
      <c r="M823" s="1"/>
    </row>
    <row r="824" spans="10:13" ht="15.75" customHeight="1">
      <c r="J824" s="1"/>
      <c r="K824" s="1"/>
      <c r="L824" s="1"/>
      <c r="M824" s="1"/>
    </row>
    <row r="825" spans="10:13" ht="15.75" customHeight="1">
      <c r="J825" s="1"/>
      <c r="K825" s="1"/>
      <c r="L825" s="1"/>
      <c r="M825" s="1"/>
    </row>
    <row r="826" spans="10:13" ht="15.75" customHeight="1">
      <c r="J826" s="1"/>
      <c r="K826" s="1"/>
      <c r="L826" s="1"/>
      <c r="M826" s="1"/>
    </row>
    <row r="827" spans="10:13" ht="15.75" customHeight="1">
      <c r="J827" s="1"/>
      <c r="K827" s="1"/>
      <c r="L827" s="1"/>
      <c r="M827" s="1"/>
    </row>
    <row r="828" spans="10:13" ht="15.75" customHeight="1">
      <c r="J828" s="1"/>
      <c r="K828" s="1"/>
      <c r="L828" s="1"/>
      <c r="M828" s="1"/>
    </row>
    <row r="829" spans="10:13" ht="15.75" customHeight="1">
      <c r="J829" s="1"/>
      <c r="K829" s="1"/>
      <c r="L829" s="1"/>
      <c r="M829" s="1"/>
    </row>
    <row r="830" spans="10:13" ht="15.75" customHeight="1">
      <c r="J830" s="1"/>
      <c r="K830" s="1"/>
      <c r="L830" s="1"/>
      <c r="M830" s="1"/>
    </row>
    <row r="831" spans="10:13" ht="15.75" customHeight="1">
      <c r="J831" s="1"/>
      <c r="K831" s="1"/>
      <c r="L831" s="1"/>
      <c r="M831" s="1"/>
    </row>
    <row r="832" spans="10:13" ht="15.75" customHeight="1">
      <c r="J832" s="1"/>
      <c r="K832" s="1"/>
      <c r="L832" s="1"/>
      <c r="M832" s="1"/>
    </row>
    <row r="833" spans="10:13" ht="15.75" customHeight="1">
      <c r="J833" s="1"/>
      <c r="K833" s="1"/>
      <c r="L833" s="1"/>
      <c r="M833" s="1"/>
    </row>
    <row r="834" spans="10:13" ht="15.75" customHeight="1">
      <c r="J834" s="1"/>
      <c r="K834" s="1"/>
      <c r="L834" s="1"/>
      <c r="M834" s="1"/>
    </row>
    <row r="835" spans="10:13" ht="15.75" customHeight="1">
      <c r="J835" s="1"/>
      <c r="K835" s="1"/>
      <c r="L835" s="1"/>
      <c r="M835" s="1"/>
    </row>
    <row r="836" spans="10:13" ht="15.75" customHeight="1">
      <c r="J836" s="1"/>
      <c r="K836" s="1"/>
      <c r="L836" s="1"/>
      <c r="M836" s="1"/>
    </row>
    <row r="837" spans="10:13" ht="15.75" customHeight="1">
      <c r="J837" s="1"/>
      <c r="K837" s="1"/>
      <c r="L837" s="1"/>
      <c r="M837" s="1"/>
    </row>
    <row r="838" spans="10:13" ht="15.75" customHeight="1">
      <c r="J838" s="1"/>
      <c r="K838" s="1"/>
      <c r="L838" s="1"/>
      <c r="M838" s="1"/>
    </row>
    <row r="839" spans="10:13" ht="15.75" customHeight="1">
      <c r="J839" s="1"/>
      <c r="K839" s="1"/>
      <c r="L839" s="1"/>
      <c r="M839" s="1"/>
    </row>
    <row r="840" spans="10:13" ht="15.75" customHeight="1">
      <c r="J840" s="1"/>
      <c r="K840" s="1"/>
      <c r="L840" s="1"/>
      <c r="M840" s="1"/>
    </row>
    <row r="841" spans="10:13" ht="15.75" customHeight="1">
      <c r="J841" s="1"/>
      <c r="K841" s="1"/>
      <c r="L841" s="1"/>
      <c r="M841" s="1"/>
    </row>
    <row r="842" spans="10:13" ht="15.75" customHeight="1">
      <c r="J842" s="1"/>
      <c r="K842" s="1"/>
      <c r="L842" s="1"/>
      <c r="M842" s="1"/>
    </row>
    <row r="843" spans="10:13" ht="15.75" customHeight="1">
      <c r="J843" s="1"/>
      <c r="K843" s="1"/>
      <c r="L843" s="1"/>
      <c r="M843" s="1"/>
    </row>
    <row r="844" spans="10:13" ht="15.75" customHeight="1">
      <c r="J844" s="1"/>
      <c r="K844" s="1"/>
      <c r="L844" s="1"/>
      <c r="M844" s="1"/>
    </row>
    <row r="845" spans="10:13" ht="15.75" customHeight="1">
      <c r="J845" s="1"/>
      <c r="K845" s="1"/>
      <c r="L845" s="1"/>
      <c r="M845" s="1"/>
    </row>
    <row r="846" spans="10:13" ht="15.75" customHeight="1">
      <c r="J846" s="1"/>
      <c r="K846" s="1"/>
      <c r="L846" s="1"/>
      <c r="M846" s="1"/>
    </row>
    <row r="847" spans="10:13" ht="15.75" customHeight="1">
      <c r="J847" s="1"/>
      <c r="K847" s="1"/>
      <c r="L847" s="1"/>
      <c r="M847" s="1"/>
    </row>
    <row r="848" spans="10:13" ht="15.75" customHeight="1">
      <c r="J848" s="1"/>
      <c r="K848" s="1"/>
      <c r="L848" s="1"/>
      <c r="M848" s="1"/>
    </row>
    <row r="849" spans="10:13" ht="15.75" customHeight="1">
      <c r="J849" s="1"/>
      <c r="K849" s="1"/>
      <c r="L849" s="1"/>
      <c r="M849" s="1"/>
    </row>
    <row r="850" spans="10:13" ht="15.75" customHeight="1">
      <c r="J850" s="1"/>
      <c r="K850" s="1"/>
      <c r="L850" s="1"/>
      <c r="M850" s="1"/>
    </row>
    <row r="851" spans="10:13" ht="15.75" customHeight="1">
      <c r="J851" s="1"/>
      <c r="K851" s="1"/>
      <c r="L851" s="1"/>
      <c r="M851" s="1"/>
    </row>
    <row r="852" spans="10:13" ht="15.75" customHeight="1">
      <c r="J852" s="1"/>
      <c r="K852" s="1"/>
      <c r="L852" s="1"/>
      <c r="M852" s="1"/>
    </row>
    <row r="853" spans="10:13" ht="15.75" customHeight="1">
      <c r="J853" s="1"/>
      <c r="K853" s="1"/>
      <c r="L853" s="1"/>
      <c r="M853" s="1"/>
    </row>
    <row r="854" spans="10:13" ht="15.75" customHeight="1">
      <c r="J854" s="1"/>
      <c r="K854" s="1"/>
      <c r="L854" s="1"/>
      <c r="M854" s="1"/>
    </row>
    <row r="855" spans="10:13" ht="15.75" customHeight="1">
      <c r="J855" s="1"/>
      <c r="K855" s="1"/>
      <c r="L855" s="1"/>
      <c r="M855" s="1"/>
    </row>
    <row r="856" spans="10:13" ht="15.75" customHeight="1">
      <c r="J856" s="1"/>
      <c r="K856" s="1"/>
      <c r="L856" s="1"/>
      <c r="M856" s="1"/>
    </row>
    <row r="857" spans="10:13" ht="15.75" customHeight="1">
      <c r="J857" s="1"/>
      <c r="K857" s="1"/>
      <c r="L857" s="1"/>
      <c r="M857" s="1"/>
    </row>
    <row r="858" spans="10:13" ht="15.75" customHeight="1">
      <c r="J858" s="1"/>
      <c r="K858" s="1"/>
      <c r="L858" s="1"/>
      <c r="M858" s="1"/>
    </row>
    <row r="859" spans="10:13" ht="15.75" customHeight="1">
      <c r="J859" s="1"/>
      <c r="K859" s="1"/>
      <c r="L859" s="1"/>
      <c r="M859" s="1"/>
    </row>
    <row r="860" spans="10:13" ht="15.75" customHeight="1">
      <c r="J860" s="1"/>
      <c r="K860" s="1"/>
      <c r="L860" s="1"/>
      <c r="M860" s="1"/>
    </row>
    <row r="861" spans="10:13" ht="15.75" customHeight="1">
      <c r="J861" s="1"/>
      <c r="K861" s="1"/>
      <c r="L861" s="1"/>
      <c r="M861" s="1"/>
    </row>
    <row r="862" spans="10:13" ht="15.75" customHeight="1">
      <c r="J862" s="1"/>
      <c r="K862" s="1"/>
      <c r="L862" s="1"/>
      <c r="M862" s="1"/>
    </row>
    <row r="863" spans="10:13" ht="15.75" customHeight="1">
      <c r="J863" s="1"/>
      <c r="K863" s="1"/>
      <c r="L863" s="1"/>
      <c r="M863" s="1"/>
    </row>
    <row r="864" spans="10:13" ht="15.75" customHeight="1">
      <c r="J864" s="1"/>
      <c r="K864" s="1"/>
      <c r="L864" s="1"/>
      <c r="M864" s="1"/>
    </row>
    <row r="865" spans="10:13" ht="15.75" customHeight="1">
      <c r="J865" s="1"/>
      <c r="K865" s="1"/>
      <c r="L865" s="1"/>
      <c r="M865" s="1"/>
    </row>
    <row r="866" spans="10:13" ht="15.75" customHeight="1">
      <c r="J866" s="1"/>
      <c r="K866" s="1"/>
      <c r="L866" s="1"/>
      <c r="M866" s="1"/>
    </row>
    <row r="867" spans="10:13" ht="15.75" customHeight="1">
      <c r="J867" s="1"/>
      <c r="K867" s="1"/>
      <c r="L867" s="1"/>
      <c r="M867" s="1"/>
    </row>
    <row r="868" spans="10:13" ht="15.75" customHeight="1">
      <c r="J868" s="1"/>
      <c r="K868" s="1"/>
      <c r="L868" s="1"/>
      <c r="M868" s="1"/>
    </row>
    <row r="869" spans="10:13" ht="15.75" customHeight="1">
      <c r="J869" s="1"/>
      <c r="K869" s="1"/>
      <c r="L869" s="1"/>
      <c r="M869" s="1"/>
    </row>
    <row r="870" spans="10:13" ht="15.75" customHeight="1">
      <c r="J870" s="1"/>
      <c r="K870" s="1"/>
      <c r="L870" s="1"/>
      <c r="M870" s="1"/>
    </row>
    <row r="871" spans="10:13" ht="15.75" customHeight="1">
      <c r="J871" s="1"/>
      <c r="K871" s="1"/>
      <c r="L871" s="1"/>
      <c r="M871" s="1"/>
    </row>
    <row r="872" spans="10:13" ht="15.75" customHeight="1">
      <c r="J872" s="1"/>
      <c r="K872" s="1"/>
      <c r="L872" s="1"/>
      <c r="M872" s="1"/>
    </row>
    <row r="873" spans="10:13" ht="15.75" customHeight="1">
      <c r="J873" s="1"/>
      <c r="K873" s="1"/>
      <c r="L873" s="1"/>
      <c r="M873" s="1"/>
    </row>
    <row r="874" spans="10:13" ht="15.75" customHeight="1">
      <c r="J874" s="1"/>
      <c r="K874" s="1"/>
      <c r="L874" s="1"/>
      <c r="M874" s="1"/>
    </row>
    <row r="875" spans="10:13" ht="15.75" customHeight="1">
      <c r="J875" s="1"/>
      <c r="K875" s="1"/>
      <c r="L875" s="1"/>
      <c r="M875" s="1"/>
    </row>
    <row r="876" spans="10:13" ht="15.75" customHeight="1">
      <c r="J876" s="1"/>
      <c r="K876" s="1"/>
      <c r="L876" s="1"/>
      <c r="M876" s="1"/>
    </row>
    <row r="877" spans="10:13" ht="15.75" customHeight="1">
      <c r="J877" s="1"/>
      <c r="K877" s="1"/>
      <c r="L877" s="1"/>
      <c r="M877" s="1"/>
    </row>
    <row r="878" spans="10:13" ht="15.75" customHeight="1">
      <c r="J878" s="1"/>
      <c r="K878" s="1"/>
      <c r="L878" s="1"/>
      <c r="M878" s="1"/>
    </row>
    <row r="879" spans="10:13" ht="15.75" customHeight="1">
      <c r="J879" s="1"/>
      <c r="K879" s="1"/>
      <c r="L879" s="1"/>
      <c r="M879" s="1"/>
    </row>
    <row r="880" spans="10:13" ht="15.75" customHeight="1">
      <c r="J880" s="1"/>
      <c r="K880" s="1"/>
      <c r="L880" s="1"/>
      <c r="M880" s="1"/>
    </row>
    <row r="881" spans="10:13" ht="15.75" customHeight="1">
      <c r="J881" s="1"/>
      <c r="K881" s="1"/>
      <c r="L881" s="1"/>
      <c r="M881" s="1"/>
    </row>
    <row r="882" spans="10:13" ht="15.75" customHeight="1">
      <c r="J882" s="1"/>
      <c r="K882" s="1"/>
      <c r="L882" s="1"/>
      <c r="M882" s="1"/>
    </row>
    <row r="883" spans="10:13" ht="15.75" customHeight="1">
      <c r="J883" s="1"/>
      <c r="K883" s="1"/>
      <c r="L883" s="1"/>
      <c r="M883" s="1"/>
    </row>
    <row r="884" spans="10:13" ht="15.75" customHeight="1">
      <c r="J884" s="1"/>
      <c r="K884" s="1"/>
      <c r="L884" s="1"/>
      <c r="M884" s="1"/>
    </row>
    <row r="885" spans="10:13" ht="15.75" customHeight="1">
      <c r="J885" s="1"/>
      <c r="K885" s="1"/>
      <c r="L885" s="1"/>
      <c r="M885" s="1"/>
    </row>
    <row r="886" spans="10:13" ht="15.75" customHeight="1">
      <c r="J886" s="1"/>
      <c r="K886" s="1"/>
      <c r="L886" s="1"/>
      <c r="M886" s="1"/>
    </row>
    <row r="887" spans="10:13" ht="15.75" customHeight="1">
      <c r="J887" s="1"/>
      <c r="K887" s="1"/>
      <c r="L887" s="1"/>
      <c r="M887" s="1"/>
    </row>
    <row r="888" spans="10:13" ht="15.75" customHeight="1">
      <c r="J888" s="1"/>
      <c r="K888" s="1"/>
      <c r="L888" s="1"/>
      <c r="M888" s="1"/>
    </row>
    <row r="889" spans="10:13" ht="15.75" customHeight="1">
      <c r="J889" s="1"/>
      <c r="K889" s="1"/>
      <c r="L889" s="1"/>
      <c r="M889" s="1"/>
    </row>
    <row r="890" spans="10:13" ht="15.75" customHeight="1">
      <c r="J890" s="1"/>
      <c r="K890" s="1"/>
      <c r="L890" s="1"/>
      <c r="M890" s="1"/>
    </row>
    <row r="891" spans="10:13" ht="15.75" customHeight="1">
      <c r="J891" s="1"/>
      <c r="K891" s="1"/>
      <c r="L891" s="1"/>
      <c r="M891" s="1"/>
    </row>
    <row r="892" spans="10:13" ht="15.75" customHeight="1">
      <c r="J892" s="1"/>
      <c r="K892" s="1"/>
      <c r="L892" s="1"/>
      <c r="M892" s="1"/>
    </row>
    <row r="893" spans="10:13" ht="15.75" customHeight="1">
      <c r="J893" s="1"/>
      <c r="K893" s="1"/>
      <c r="L893" s="1"/>
      <c r="M893" s="1"/>
    </row>
    <row r="894" spans="10:13" ht="15.75" customHeight="1">
      <c r="J894" s="1"/>
      <c r="K894" s="1"/>
      <c r="L894" s="1"/>
      <c r="M894" s="1"/>
    </row>
    <row r="895" spans="10:13" ht="15.75" customHeight="1">
      <c r="J895" s="1"/>
      <c r="K895" s="1"/>
      <c r="L895" s="1"/>
      <c r="M895" s="1"/>
    </row>
    <row r="896" spans="10:13" ht="15.75" customHeight="1">
      <c r="J896" s="1"/>
      <c r="K896" s="1"/>
      <c r="L896" s="1"/>
      <c r="M896" s="1"/>
    </row>
    <row r="897" spans="10:13" ht="15.75" customHeight="1">
      <c r="J897" s="1"/>
      <c r="K897" s="1"/>
      <c r="L897" s="1"/>
      <c r="M897" s="1"/>
    </row>
    <row r="898" spans="10:13" ht="15.75" customHeight="1">
      <c r="J898" s="1"/>
      <c r="K898" s="1"/>
      <c r="L898" s="1"/>
      <c r="M898" s="1"/>
    </row>
    <row r="899" spans="10:13" ht="15.75" customHeight="1">
      <c r="J899" s="1"/>
      <c r="K899" s="1"/>
      <c r="L899" s="1"/>
      <c r="M899" s="1"/>
    </row>
    <row r="900" spans="10:13" ht="15.75" customHeight="1">
      <c r="J900" s="1"/>
      <c r="K900" s="1"/>
      <c r="L900" s="1"/>
      <c r="M900" s="1"/>
    </row>
    <row r="901" spans="10:13" ht="15.75" customHeight="1">
      <c r="J901" s="1"/>
      <c r="K901" s="1"/>
      <c r="L901" s="1"/>
      <c r="M901" s="1"/>
    </row>
    <row r="902" spans="10:13" ht="15.75" customHeight="1">
      <c r="J902" s="1"/>
      <c r="K902" s="1"/>
      <c r="L902" s="1"/>
      <c r="M902" s="1"/>
    </row>
    <row r="903" spans="10:13" ht="15.75" customHeight="1">
      <c r="J903" s="1"/>
      <c r="K903" s="1"/>
      <c r="L903" s="1"/>
      <c r="M903" s="1"/>
    </row>
    <row r="904" spans="10:13" ht="15.75" customHeight="1">
      <c r="J904" s="1"/>
      <c r="K904" s="1"/>
      <c r="L904" s="1"/>
      <c r="M904" s="1"/>
    </row>
    <row r="905" spans="10:13" ht="15.75" customHeight="1">
      <c r="J905" s="1"/>
      <c r="K905" s="1"/>
      <c r="L905" s="1"/>
      <c r="M905" s="1"/>
    </row>
    <row r="906" spans="10:13" ht="15.75" customHeight="1">
      <c r="J906" s="1"/>
      <c r="K906" s="1"/>
      <c r="L906" s="1"/>
      <c r="M906" s="1"/>
    </row>
    <row r="907" spans="10:13" ht="15.75" customHeight="1">
      <c r="J907" s="1"/>
      <c r="K907" s="1"/>
      <c r="L907" s="1"/>
      <c r="M907" s="1"/>
    </row>
    <row r="908" spans="10:13" ht="15.75" customHeight="1">
      <c r="J908" s="1"/>
      <c r="K908" s="1"/>
      <c r="L908" s="1"/>
      <c r="M908" s="1"/>
    </row>
    <row r="909" spans="10:13" ht="15.75" customHeight="1">
      <c r="J909" s="1"/>
      <c r="K909" s="1"/>
      <c r="L909" s="1"/>
      <c r="M909" s="1"/>
    </row>
    <row r="910" spans="10:13" ht="15.75" customHeight="1">
      <c r="J910" s="1"/>
      <c r="K910" s="1"/>
      <c r="L910" s="1"/>
      <c r="M910" s="1"/>
    </row>
    <row r="911" spans="10:13" ht="15.75" customHeight="1">
      <c r="J911" s="1"/>
      <c r="K911" s="1"/>
      <c r="L911" s="1"/>
      <c r="M911" s="1"/>
    </row>
    <row r="912" spans="10:13" ht="15.75" customHeight="1">
      <c r="J912" s="1"/>
      <c r="K912" s="1"/>
      <c r="L912" s="1"/>
      <c r="M912" s="1"/>
    </row>
    <row r="913" spans="10:13" ht="15.75" customHeight="1">
      <c r="J913" s="1"/>
      <c r="K913" s="1"/>
      <c r="L913" s="1"/>
      <c r="M913" s="1"/>
    </row>
    <row r="914" spans="10:13" ht="15.75" customHeight="1">
      <c r="J914" s="1"/>
      <c r="K914" s="1"/>
      <c r="L914" s="1"/>
      <c r="M914" s="1"/>
    </row>
    <row r="915" spans="10:13" ht="15.75" customHeight="1">
      <c r="J915" s="1"/>
      <c r="K915" s="1"/>
      <c r="L915" s="1"/>
      <c r="M915" s="1"/>
    </row>
    <row r="916" spans="10:13" ht="15.75" customHeight="1">
      <c r="J916" s="1"/>
      <c r="K916" s="1"/>
      <c r="L916" s="1"/>
      <c r="M916" s="1"/>
    </row>
    <row r="917" spans="10:13" ht="15.75" customHeight="1">
      <c r="J917" s="1"/>
      <c r="K917" s="1"/>
      <c r="L917" s="1"/>
      <c r="M917" s="1"/>
    </row>
    <row r="918" spans="10:13" ht="15.75" customHeight="1">
      <c r="J918" s="1"/>
      <c r="K918" s="1"/>
      <c r="L918" s="1"/>
      <c r="M918" s="1"/>
    </row>
    <row r="919" spans="10:13" ht="15.75" customHeight="1">
      <c r="J919" s="1"/>
      <c r="K919" s="1"/>
      <c r="L919" s="1"/>
      <c r="M919" s="1"/>
    </row>
    <row r="920" spans="10:13" ht="15.75" customHeight="1">
      <c r="J920" s="1"/>
      <c r="K920" s="1"/>
      <c r="L920" s="1"/>
      <c r="M920" s="1"/>
    </row>
    <row r="921" spans="10:13" ht="15.75" customHeight="1">
      <c r="J921" s="1"/>
      <c r="K921" s="1"/>
      <c r="L921" s="1"/>
      <c r="M921" s="1"/>
    </row>
    <row r="922" spans="10:13" ht="15.75" customHeight="1">
      <c r="J922" s="1"/>
      <c r="K922" s="1"/>
      <c r="L922" s="1"/>
      <c r="M922" s="1"/>
    </row>
    <row r="923" spans="10:13" ht="15.75" customHeight="1">
      <c r="J923" s="1"/>
      <c r="K923" s="1"/>
      <c r="L923" s="1"/>
      <c r="M923" s="1"/>
    </row>
    <row r="924" spans="10:13" ht="15.75" customHeight="1">
      <c r="J924" s="1"/>
      <c r="K924" s="1"/>
      <c r="L924" s="1"/>
      <c r="M924" s="1"/>
    </row>
    <row r="925" spans="10:13" ht="15.75" customHeight="1">
      <c r="J925" s="1"/>
      <c r="K925" s="1"/>
      <c r="L925" s="1"/>
      <c r="M925" s="1"/>
    </row>
    <row r="926" spans="10:13" ht="15.75" customHeight="1">
      <c r="J926" s="1"/>
      <c r="K926" s="1"/>
      <c r="L926" s="1"/>
      <c r="M926" s="1"/>
    </row>
    <row r="927" spans="10:13" ht="15.75" customHeight="1">
      <c r="J927" s="1"/>
      <c r="K927" s="1"/>
      <c r="L927" s="1"/>
      <c r="M927" s="1"/>
    </row>
    <row r="928" spans="10:13" ht="15.75" customHeight="1">
      <c r="J928" s="1"/>
      <c r="K928" s="1"/>
      <c r="L928" s="1"/>
      <c r="M928" s="1"/>
    </row>
    <row r="929" spans="10:13" ht="15.75" customHeight="1">
      <c r="J929" s="1"/>
      <c r="K929" s="1"/>
      <c r="L929" s="1"/>
      <c r="M929" s="1"/>
    </row>
    <row r="930" spans="10:13" ht="15.75" customHeight="1">
      <c r="J930" s="1"/>
      <c r="K930" s="1"/>
      <c r="L930" s="1"/>
      <c r="M930" s="1"/>
    </row>
    <row r="931" spans="10:13" ht="15.75" customHeight="1">
      <c r="J931" s="1"/>
      <c r="K931" s="1"/>
      <c r="L931" s="1"/>
      <c r="M931" s="1"/>
    </row>
    <row r="932" spans="10:13" ht="15.75" customHeight="1">
      <c r="J932" s="1"/>
      <c r="K932" s="1"/>
      <c r="L932" s="1"/>
      <c r="M932" s="1"/>
    </row>
    <row r="933" spans="10:13" ht="15.75" customHeight="1">
      <c r="J933" s="1"/>
      <c r="K933" s="1"/>
      <c r="L933" s="1"/>
      <c r="M933" s="1"/>
    </row>
    <row r="934" spans="10:13" ht="15.75" customHeight="1">
      <c r="J934" s="1"/>
      <c r="K934" s="1"/>
      <c r="L934" s="1"/>
      <c r="M934" s="1"/>
    </row>
    <row r="935" spans="10:13" ht="15.75" customHeight="1">
      <c r="J935" s="1"/>
      <c r="K935" s="1"/>
      <c r="L935" s="1"/>
      <c r="M935" s="1"/>
    </row>
    <row r="936" spans="10:13" ht="15.75" customHeight="1">
      <c r="J936" s="1"/>
      <c r="K936" s="1"/>
      <c r="L936" s="1"/>
      <c r="M936" s="1"/>
    </row>
    <row r="937" spans="10:13" ht="15.75" customHeight="1">
      <c r="J937" s="1"/>
      <c r="K937" s="1"/>
      <c r="L937" s="1"/>
      <c r="M937" s="1"/>
    </row>
    <row r="938" spans="10:13" ht="15.75" customHeight="1">
      <c r="J938" s="1"/>
      <c r="K938" s="1"/>
      <c r="L938" s="1"/>
      <c r="M938" s="1"/>
    </row>
    <row r="939" spans="10:13" ht="15.75" customHeight="1">
      <c r="J939" s="1"/>
      <c r="K939" s="1"/>
      <c r="L939" s="1"/>
      <c r="M939" s="1"/>
    </row>
    <row r="940" spans="10:13" ht="15.75" customHeight="1">
      <c r="J940" s="1"/>
      <c r="K940" s="1"/>
      <c r="L940" s="1"/>
      <c r="M940" s="1"/>
    </row>
    <row r="941" spans="10:13" ht="15.75" customHeight="1">
      <c r="J941" s="1"/>
      <c r="K941" s="1"/>
      <c r="L941" s="1"/>
      <c r="M941" s="1"/>
    </row>
    <row r="942" spans="10:13" ht="15.75" customHeight="1">
      <c r="J942" s="1"/>
      <c r="K942" s="1"/>
      <c r="L942" s="1"/>
      <c r="M942" s="1"/>
    </row>
    <row r="943" spans="10:13" ht="15.75" customHeight="1">
      <c r="J943" s="1"/>
      <c r="K943" s="1"/>
      <c r="L943" s="1"/>
      <c r="M943" s="1"/>
    </row>
    <row r="944" spans="10:13" ht="15.75" customHeight="1">
      <c r="J944" s="1"/>
      <c r="K944" s="1"/>
      <c r="L944" s="1"/>
      <c r="M944" s="1"/>
    </row>
    <row r="945" spans="10:13" ht="15.75" customHeight="1">
      <c r="J945" s="1"/>
      <c r="K945" s="1"/>
      <c r="L945" s="1"/>
      <c r="M945" s="1"/>
    </row>
    <row r="946" spans="10:13" ht="15.75" customHeight="1">
      <c r="J946" s="1"/>
      <c r="K946" s="1"/>
      <c r="L946" s="1"/>
      <c r="M946" s="1"/>
    </row>
    <row r="947" spans="10:13" ht="15.75" customHeight="1">
      <c r="J947" s="1"/>
      <c r="K947" s="1"/>
      <c r="L947" s="1"/>
      <c r="M947" s="1"/>
    </row>
    <row r="948" spans="10:13" ht="15.75" customHeight="1">
      <c r="J948" s="1"/>
      <c r="K948" s="1"/>
      <c r="L948" s="1"/>
      <c r="M948" s="1"/>
    </row>
    <row r="949" spans="10:13" ht="15.75" customHeight="1">
      <c r="J949" s="1"/>
      <c r="K949" s="1"/>
      <c r="L949" s="1"/>
      <c r="M949" s="1"/>
    </row>
    <row r="950" spans="10:13" ht="15.75" customHeight="1">
      <c r="J950" s="1"/>
      <c r="K950" s="1"/>
      <c r="L950" s="1"/>
      <c r="M950" s="1"/>
    </row>
    <row r="951" spans="10:13" ht="15.75" customHeight="1">
      <c r="J951" s="1"/>
      <c r="K951" s="1"/>
      <c r="L951" s="1"/>
      <c r="M951" s="1"/>
    </row>
    <row r="952" spans="10:13" ht="15.75" customHeight="1">
      <c r="J952" s="1"/>
      <c r="K952" s="1"/>
      <c r="L952" s="1"/>
      <c r="M952" s="1"/>
    </row>
    <row r="953" spans="10:13" ht="15.75" customHeight="1">
      <c r="J953" s="1"/>
      <c r="K953" s="1"/>
      <c r="L953" s="1"/>
      <c r="M953" s="1"/>
    </row>
    <row r="954" spans="10:13" ht="15.75" customHeight="1">
      <c r="J954" s="1"/>
      <c r="K954" s="1"/>
      <c r="L954" s="1"/>
      <c r="M954" s="1"/>
    </row>
    <row r="955" spans="10:13" ht="15.75" customHeight="1">
      <c r="J955" s="1"/>
      <c r="K955" s="1"/>
      <c r="L955" s="1"/>
      <c r="M955" s="1"/>
    </row>
    <row r="956" spans="10:13" ht="15.75" customHeight="1">
      <c r="J956" s="1"/>
      <c r="K956" s="1"/>
      <c r="L956" s="1"/>
      <c r="M956" s="1"/>
    </row>
    <row r="957" spans="10:13" ht="15.75" customHeight="1">
      <c r="J957" s="1"/>
      <c r="K957" s="1"/>
      <c r="L957" s="1"/>
      <c r="M957" s="1"/>
    </row>
    <row r="958" spans="10:13" ht="15.75" customHeight="1">
      <c r="J958" s="1"/>
      <c r="K958" s="1"/>
      <c r="L958" s="1"/>
      <c r="M958" s="1"/>
    </row>
    <row r="959" spans="10:13" ht="15.75" customHeight="1">
      <c r="J959" s="1"/>
      <c r="K959" s="1"/>
      <c r="L959" s="1"/>
      <c r="M959" s="1"/>
    </row>
    <row r="960" spans="10:13" ht="15.75" customHeight="1">
      <c r="J960" s="1"/>
      <c r="K960" s="1"/>
      <c r="L960" s="1"/>
      <c r="M960" s="1"/>
    </row>
    <row r="961" spans="10:13" ht="15.75" customHeight="1">
      <c r="J961" s="1"/>
      <c r="K961" s="1"/>
      <c r="L961" s="1"/>
      <c r="M961" s="1"/>
    </row>
    <row r="962" spans="10:13" ht="15.75" customHeight="1">
      <c r="J962" s="1"/>
      <c r="K962" s="1"/>
      <c r="L962" s="1"/>
      <c r="M962" s="1"/>
    </row>
    <row r="963" spans="10:13" ht="15.75" customHeight="1">
      <c r="J963" s="1"/>
      <c r="K963" s="1"/>
      <c r="L963" s="1"/>
      <c r="M963" s="1"/>
    </row>
    <row r="964" spans="10:13" ht="15.75" customHeight="1">
      <c r="J964" s="1"/>
      <c r="K964" s="1"/>
      <c r="L964" s="1"/>
      <c r="M964" s="1"/>
    </row>
    <row r="965" spans="10:13" ht="15.75" customHeight="1">
      <c r="J965" s="1"/>
      <c r="K965" s="1"/>
      <c r="L965" s="1"/>
      <c r="M965" s="1"/>
    </row>
    <row r="966" spans="10:13" ht="15.75" customHeight="1">
      <c r="J966" s="1"/>
      <c r="K966" s="1"/>
      <c r="L966" s="1"/>
      <c r="M966" s="1"/>
    </row>
    <row r="967" spans="10:13" ht="15.75" customHeight="1">
      <c r="J967" s="1"/>
      <c r="K967" s="1"/>
      <c r="L967" s="1"/>
      <c r="M967" s="1"/>
    </row>
    <row r="968" spans="10:13" ht="15.75" customHeight="1">
      <c r="J968" s="1"/>
      <c r="K968" s="1"/>
      <c r="L968" s="1"/>
      <c r="M968" s="1"/>
    </row>
    <row r="969" spans="10:13" ht="15.75" customHeight="1">
      <c r="J969" s="1"/>
      <c r="K969" s="1"/>
      <c r="L969" s="1"/>
      <c r="M969" s="1"/>
    </row>
    <row r="970" spans="10:13" ht="15.75" customHeight="1">
      <c r="J970" s="1"/>
      <c r="K970" s="1"/>
      <c r="L970" s="1"/>
      <c r="M970" s="1"/>
    </row>
    <row r="971" spans="10:13" ht="15.75" customHeight="1">
      <c r="J971" s="1"/>
      <c r="K971" s="1"/>
      <c r="L971" s="1"/>
      <c r="M971" s="1"/>
    </row>
    <row r="972" spans="10:13" ht="15.75" customHeight="1">
      <c r="J972" s="1"/>
      <c r="K972" s="1"/>
      <c r="L972" s="1"/>
      <c r="M972" s="1"/>
    </row>
    <row r="973" spans="10:13" ht="15.75" customHeight="1">
      <c r="J973" s="1"/>
      <c r="K973" s="1"/>
      <c r="L973" s="1"/>
      <c r="M973" s="1"/>
    </row>
    <row r="974" spans="10:13" ht="15.75" customHeight="1">
      <c r="J974" s="1"/>
      <c r="K974" s="1"/>
      <c r="L974" s="1"/>
      <c r="M974" s="1"/>
    </row>
    <row r="975" spans="10:13" ht="15.75" customHeight="1">
      <c r="J975" s="1"/>
      <c r="K975" s="1"/>
      <c r="L975" s="1"/>
      <c r="M975" s="1"/>
    </row>
    <row r="976" spans="10:13" ht="15.75" customHeight="1">
      <c r="J976" s="1"/>
      <c r="K976" s="1"/>
      <c r="L976" s="1"/>
      <c r="M976" s="1"/>
    </row>
    <row r="977" spans="10:13" ht="15.75" customHeight="1">
      <c r="J977" s="1"/>
      <c r="K977" s="1"/>
      <c r="L977" s="1"/>
      <c r="M977" s="1"/>
    </row>
    <row r="978" spans="10:13" ht="15.75" customHeight="1">
      <c r="J978" s="1"/>
      <c r="K978" s="1"/>
      <c r="L978" s="1"/>
      <c r="M978" s="1"/>
    </row>
    <row r="979" spans="10:13" ht="15.75" customHeight="1">
      <c r="J979" s="1"/>
      <c r="K979" s="1"/>
      <c r="L979" s="1"/>
      <c r="M979" s="1"/>
    </row>
    <row r="980" spans="10:13" ht="15.75" customHeight="1">
      <c r="J980" s="1"/>
      <c r="K980" s="1"/>
      <c r="L980" s="1"/>
      <c r="M980" s="1"/>
    </row>
    <row r="981" spans="10:13" ht="15.75" customHeight="1">
      <c r="J981" s="1"/>
      <c r="K981" s="1"/>
      <c r="L981" s="1"/>
      <c r="M981" s="1"/>
    </row>
    <row r="982" spans="10:13" ht="15.75" customHeight="1">
      <c r="J982" s="1"/>
      <c r="K982" s="1"/>
      <c r="L982" s="1"/>
      <c r="M982" s="1"/>
    </row>
    <row r="983" spans="10:13" ht="15.75" customHeight="1">
      <c r="J983" s="1"/>
      <c r="K983" s="1"/>
      <c r="L983" s="1"/>
      <c r="M983" s="1"/>
    </row>
    <row r="984" spans="10:13" ht="15.75" customHeight="1">
      <c r="J984" s="1"/>
      <c r="K984" s="1"/>
      <c r="L984" s="1"/>
      <c r="M984" s="1"/>
    </row>
    <row r="985" spans="10:13" ht="15.75" customHeight="1">
      <c r="J985" s="1"/>
      <c r="K985" s="1"/>
      <c r="L985" s="1"/>
      <c r="M985" s="1"/>
    </row>
    <row r="986" spans="10:13" ht="15.75" customHeight="1">
      <c r="J986" s="1"/>
      <c r="K986" s="1"/>
      <c r="L986" s="1"/>
      <c r="M986" s="1"/>
    </row>
    <row r="987" spans="10:13" ht="15.75" customHeight="1">
      <c r="J987" s="1"/>
      <c r="K987" s="1"/>
      <c r="L987" s="1"/>
      <c r="M987" s="1"/>
    </row>
    <row r="988" spans="10:13" ht="15.75" customHeight="1">
      <c r="J988" s="1"/>
      <c r="K988" s="1"/>
      <c r="L988" s="1"/>
      <c r="M988" s="1"/>
    </row>
    <row r="989" spans="10:13" ht="15.75" customHeight="1">
      <c r="J989" s="1"/>
      <c r="K989" s="1"/>
      <c r="L989" s="1"/>
      <c r="M989" s="1"/>
    </row>
    <row r="990" spans="10:13" ht="15.75" customHeight="1">
      <c r="J990" s="1"/>
      <c r="K990" s="1"/>
      <c r="L990" s="1"/>
      <c r="M990" s="1"/>
    </row>
    <row r="991" spans="10:13" ht="15.75" customHeight="1">
      <c r="J991" s="1"/>
      <c r="K991" s="1"/>
      <c r="L991" s="1"/>
      <c r="M991" s="1"/>
    </row>
    <row r="992" spans="10:13" ht="15.75" customHeight="1">
      <c r="J992" s="1"/>
      <c r="K992" s="1"/>
      <c r="L992" s="1"/>
      <c r="M992" s="1"/>
    </row>
    <row r="993" spans="10:13" ht="15.75" customHeight="1">
      <c r="J993" s="1"/>
      <c r="K993" s="1"/>
      <c r="L993" s="1"/>
      <c r="M993" s="1"/>
    </row>
    <row r="994" spans="10:13" ht="15.75" customHeight="1">
      <c r="J994" s="1"/>
      <c r="K994" s="1"/>
      <c r="L994" s="1"/>
      <c r="M994" s="1"/>
    </row>
    <row r="995" spans="10:13" ht="15.75" customHeight="1">
      <c r="J995" s="1"/>
      <c r="K995" s="1"/>
      <c r="L995" s="1"/>
      <c r="M995" s="1"/>
    </row>
    <row r="996" spans="10:13" ht="15.75" customHeight="1">
      <c r="J996" s="1"/>
      <c r="K996" s="1"/>
      <c r="L996" s="1"/>
      <c r="M996" s="1"/>
    </row>
    <row r="997" spans="10:13" ht="15.75" customHeight="1">
      <c r="J997" s="1"/>
      <c r="K997" s="1"/>
      <c r="L997" s="1"/>
      <c r="M997" s="1"/>
    </row>
    <row r="998" spans="10:13" ht="15.75" customHeight="1">
      <c r="J998" s="1"/>
      <c r="K998" s="1"/>
      <c r="L998" s="1"/>
      <c r="M998" s="1"/>
    </row>
    <row r="999" spans="10:13" ht="15.75" customHeight="1">
      <c r="J999" s="1"/>
      <c r="K999" s="1"/>
      <c r="L999" s="1"/>
      <c r="M999" s="1"/>
    </row>
    <row r="1000" spans="10:13" ht="15.75" customHeight="1">
      <c r="J1000" s="1"/>
      <c r="K1000" s="1"/>
      <c r="L1000" s="1"/>
      <c r="M1000" s="1"/>
    </row>
  </sheetData>
  <mergeCells count="79">
    <mergeCell ref="I176:I183"/>
    <mergeCell ref="I198:I204"/>
    <mergeCell ref="I107:I108"/>
    <mergeCell ref="I109:I114"/>
    <mergeCell ref="I115:I139"/>
    <mergeCell ref="I140:I147"/>
    <mergeCell ref="I148:I171"/>
    <mergeCell ref="I172:I173"/>
    <mergeCell ref="I174:I175"/>
    <mergeCell ref="C238:C254"/>
    <mergeCell ref="C255:C259"/>
    <mergeCell ref="C260:C279"/>
    <mergeCell ref="C281:C301"/>
    <mergeCell ref="C302:C305"/>
    <mergeCell ref="C306:C311"/>
    <mergeCell ref="C312:C321"/>
    <mergeCell ref="C373:C378"/>
    <mergeCell ref="C379:C382"/>
    <mergeCell ref="C384:C385"/>
    <mergeCell ref="C386:C387"/>
    <mergeCell ref="C388:C393"/>
    <mergeCell ref="C394:C398"/>
    <mergeCell ref="C399:C401"/>
    <mergeCell ref="C322:C332"/>
    <mergeCell ref="C333:C351"/>
    <mergeCell ref="C352:C355"/>
    <mergeCell ref="C357:C360"/>
    <mergeCell ref="C361:C363"/>
    <mergeCell ref="C364:C367"/>
    <mergeCell ref="C368:C372"/>
    <mergeCell ref="D2:E2"/>
    <mergeCell ref="F2:G2"/>
    <mergeCell ref="C4:C6"/>
    <mergeCell ref="I4:I11"/>
    <mergeCell ref="C7:C11"/>
    <mergeCell ref="C52:C55"/>
    <mergeCell ref="C56:C60"/>
    <mergeCell ref="C61:C62"/>
    <mergeCell ref="C12:C19"/>
    <mergeCell ref="C20:C24"/>
    <mergeCell ref="C26:C28"/>
    <mergeCell ref="C30:C34"/>
    <mergeCell ref="C36:C38"/>
    <mergeCell ref="C93:C100"/>
    <mergeCell ref="I12:I19"/>
    <mergeCell ref="I20:I24"/>
    <mergeCell ref="I26:I34"/>
    <mergeCell ref="I36:I51"/>
    <mergeCell ref="I52:I74"/>
    <mergeCell ref="I75:I92"/>
    <mergeCell ref="I93:I106"/>
    <mergeCell ref="C101:C106"/>
    <mergeCell ref="C63:C74"/>
    <mergeCell ref="C75:C77"/>
    <mergeCell ref="C78:C81"/>
    <mergeCell ref="C82:C84"/>
    <mergeCell ref="C86:C91"/>
    <mergeCell ref="C39:C41"/>
    <mergeCell ref="C43:C50"/>
    <mergeCell ref="C107:C108"/>
    <mergeCell ref="C110:C112"/>
    <mergeCell ref="C113:C114"/>
    <mergeCell ref="C115:C122"/>
    <mergeCell ref="C123:C132"/>
    <mergeCell ref="C133:C135"/>
    <mergeCell ref="C136:C139"/>
    <mergeCell ref="C140:C141"/>
    <mergeCell ref="C142:C145"/>
    <mergeCell ref="C146:C147"/>
    <mergeCell ref="C148:C171"/>
    <mergeCell ref="C172:C173"/>
    <mergeCell ref="C174:C175"/>
    <mergeCell ref="C176:C183"/>
    <mergeCell ref="C184:C197"/>
    <mergeCell ref="C198:C201"/>
    <mergeCell ref="C202:C204"/>
    <mergeCell ref="C205:C223"/>
    <mergeCell ref="C224:C229"/>
    <mergeCell ref="C230:C237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Z1000"/>
  <sheetViews>
    <sheetView workbookViewId="0"/>
  </sheetViews>
  <sheetFormatPr defaultColWidth="14.42578125" defaultRowHeight="15" customHeight="1"/>
  <cols>
    <col min="1" max="1" width="8.140625" customWidth="1"/>
    <col min="2" max="2" width="8.7109375" customWidth="1"/>
    <col min="3" max="3" width="17.28515625" customWidth="1"/>
    <col min="4" max="4" width="12.140625" hidden="1" customWidth="1"/>
    <col min="5" max="5" width="34.42578125" hidden="1" customWidth="1"/>
    <col min="6" max="6" width="8.7109375" hidden="1" customWidth="1"/>
    <col min="7" max="7" width="12.5703125" customWidth="1"/>
    <col min="8" max="8" width="34.42578125" customWidth="1"/>
    <col min="9" max="9" width="24.42578125" customWidth="1"/>
    <col min="10" max="10" width="14.7109375" customWidth="1"/>
    <col min="11" max="11" width="18.140625" customWidth="1"/>
    <col min="12" max="12" width="18.7109375" customWidth="1"/>
    <col min="13" max="26" width="8.7109375" customWidth="1"/>
  </cols>
  <sheetData>
    <row r="2" spans="1:12" ht="23.25">
      <c r="D2" s="428" t="s">
        <v>0</v>
      </c>
      <c r="E2" s="429"/>
      <c r="F2" s="428" t="s">
        <v>1</v>
      </c>
      <c r="G2" s="430"/>
      <c r="H2" s="429"/>
      <c r="I2" s="193"/>
    </row>
    <row r="3" spans="1:12" ht="27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/>
      <c r="H3" s="2" t="s">
        <v>6</v>
      </c>
      <c r="I3" s="2"/>
      <c r="J3" s="2" t="s">
        <v>10</v>
      </c>
      <c r="K3" s="179" t="s">
        <v>11</v>
      </c>
      <c r="L3" s="3" t="s">
        <v>12</v>
      </c>
    </row>
    <row r="4" spans="1:12">
      <c r="A4" s="66">
        <v>186</v>
      </c>
      <c r="B4" s="6">
        <v>2000</v>
      </c>
      <c r="C4" s="24"/>
      <c r="D4" s="7" t="s">
        <v>745</v>
      </c>
      <c r="E4" s="7" t="s">
        <v>746</v>
      </c>
      <c r="F4" s="7" t="e">
        <f>VLOOKUP(D4,#REF!,3,FALSE)</f>
        <v>#REF!</v>
      </c>
      <c r="G4" s="7"/>
      <c r="H4" s="329" t="s">
        <v>2326</v>
      </c>
      <c r="I4" s="49"/>
      <c r="J4" s="329" t="s">
        <v>749</v>
      </c>
      <c r="K4" s="331" t="s">
        <v>750</v>
      </c>
      <c r="L4" s="7"/>
    </row>
    <row r="5" spans="1:12">
      <c r="A5" s="66">
        <v>188</v>
      </c>
      <c r="B5" s="6">
        <v>2000</v>
      </c>
      <c r="C5" s="24"/>
      <c r="D5" s="7" t="s">
        <v>756</v>
      </c>
      <c r="E5" s="7" t="s">
        <v>757</v>
      </c>
      <c r="F5" s="7" t="e">
        <f>F4</f>
        <v>#REF!</v>
      </c>
      <c r="G5" s="7"/>
      <c r="H5" s="323"/>
      <c r="I5" s="49"/>
      <c r="J5" s="323"/>
      <c r="K5" s="323"/>
      <c r="L5" s="7"/>
    </row>
    <row r="6" spans="1:12">
      <c r="A6" s="66">
        <v>190</v>
      </c>
      <c r="B6" s="6">
        <v>2000</v>
      </c>
      <c r="C6" s="24"/>
      <c r="D6" s="7" t="s">
        <v>765</v>
      </c>
      <c r="E6" s="7" t="s">
        <v>766</v>
      </c>
      <c r="F6" s="7" t="e">
        <f>F4</f>
        <v>#REF!</v>
      </c>
      <c r="G6" s="7"/>
      <c r="H6" s="324"/>
      <c r="I6" s="49"/>
      <c r="J6" s="324"/>
      <c r="K6" s="323"/>
      <c r="L6" s="7"/>
    </row>
    <row r="7" spans="1:12">
      <c r="A7" s="66">
        <v>187</v>
      </c>
      <c r="B7" s="6">
        <v>2000</v>
      </c>
      <c r="C7" s="24"/>
      <c r="D7" s="7" t="s">
        <v>752</v>
      </c>
      <c r="E7" s="7" t="s">
        <v>753</v>
      </c>
      <c r="F7" s="7" t="e">
        <f>VLOOKUP(D7,#REF!,3,FALSE)</f>
        <v>#REF!</v>
      </c>
      <c r="G7" s="7"/>
      <c r="H7" s="329" t="s">
        <v>2327</v>
      </c>
      <c r="I7" s="49"/>
      <c r="J7" s="329" t="s">
        <v>749</v>
      </c>
      <c r="K7" s="323"/>
      <c r="L7" s="7"/>
    </row>
    <row r="8" spans="1:12">
      <c r="A8" s="66">
        <v>189</v>
      </c>
      <c r="B8" s="6">
        <v>2000</v>
      </c>
      <c r="C8" s="24"/>
      <c r="D8" s="7" t="s">
        <v>761</v>
      </c>
      <c r="E8" s="7" t="s">
        <v>762</v>
      </c>
      <c r="F8" s="7" t="e">
        <f t="shared" ref="F8:F9" si="0">F7</f>
        <v>#REF!</v>
      </c>
      <c r="G8" s="7"/>
      <c r="H8" s="323"/>
      <c r="I8" s="49"/>
      <c r="J8" s="323"/>
      <c r="K8" s="323"/>
      <c r="L8" s="7"/>
    </row>
    <row r="9" spans="1:12">
      <c r="A9" s="66">
        <v>191</v>
      </c>
      <c r="B9" s="6">
        <v>2000</v>
      </c>
      <c r="C9" s="24"/>
      <c r="D9" s="7" t="s">
        <v>769</v>
      </c>
      <c r="E9" s="7" t="s">
        <v>770</v>
      </c>
      <c r="F9" s="7" t="e">
        <f t="shared" si="0"/>
        <v>#REF!</v>
      </c>
      <c r="G9" s="7"/>
      <c r="H9" s="324"/>
      <c r="I9" s="49"/>
      <c r="J9" s="324"/>
      <c r="K9" s="324"/>
      <c r="L9" s="7"/>
    </row>
    <row r="10" spans="1:12">
      <c r="A10" s="7"/>
      <c r="B10" s="7"/>
      <c r="C10" s="7"/>
      <c r="D10" s="7"/>
      <c r="E10" s="7"/>
      <c r="F10" s="7"/>
      <c r="G10" s="7"/>
      <c r="H10" s="7"/>
      <c r="I10" s="7"/>
      <c r="J10" s="6"/>
      <c r="K10" s="7"/>
      <c r="L10" s="7"/>
    </row>
    <row r="11" spans="1:12" ht="15" customHeight="1">
      <c r="A11" s="66">
        <v>188</v>
      </c>
      <c r="B11" s="6">
        <v>2000</v>
      </c>
      <c r="C11" s="331" t="s">
        <v>775</v>
      </c>
      <c r="D11" s="21" t="s">
        <v>776</v>
      </c>
      <c r="E11" s="21" t="s">
        <v>777</v>
      </c>
      <c r="F11" s="21" t="e">
        <f>VLOOKUP(D11,#REF!,3,FALSE)</f>
        <v>#REF!</v>
      </c>
      <c r="G11" s="21"/>
      <c r="H11" s="423" t="s">
        <v>2328</v>
      </c>
      <c r="I11" s="194"/>
      <c r="J11" s="427" t="s">
        <v>2278</v>
      </c>
      <c r="K11" s="427" t="s">
        <v>2329</v>
      </c>
      <c r="L11" s="7"/>
    </row>
    <row r="12" spans="1:12">
      <c r="A12" s="66">
        <v>192</v>
      </c>
      <c r="B12" s="6">
        <v>2000</v>
      </c>
      <c r="C12" s="323"/>
      <c r="D12" s="21" t="s">
        <v>789</v>
      </c>
      <c r="E12" s="21" t="s">
        <v>790</v>
      </c>
      <c r="F12" s="21" t="e">
        <f>F11</f>
        <v>#REF!</v>
      </c>
      <c r="G12" s="21"/>
      <c r="H12" s="323"/>
      <c r="I12" s="194"/>
      <c r="J12" s="323"/>
      <c r="K12" s="323"/>
      <c r="L12" s="7"/>
    </row>
    <row r="13" spans="1:12">
      <c r="A13" s="66">
        <v>195</v>
      </c>
      <c r="B13" s="6">
        <v>2000</v>
      </c>
      <c r="C13" s="323"/>
      <c r="D13" s="21" t="s">
        <v>795</v>
      </c>
      <c r="E13" s="21" t="s">
        <v>796</v>
      </c>
      <c r="F13" s="21" t="e">
        <f>F11</f>
        <v>#REF!</v>
      </c>
      <c r="G13" s="21"/>
      <c r="H13" s="324"/>
      <c r="I13" s="194"/>
      <c r="J13" s="324"/>
      <c r="K13" s="324"/>
      <c r="L13" s="7"/>
    </row>
    <row r="14" spans="1:12">
      <c r="A14" s="66">
        <v>189</v>
      </c>
      <c r="B14" s="6">
        <v>2000</v>
      </c>
      <c r="C14" s="323"/>
      <c r="D14" s="7" t="s">
        <v>781</v>
      </c>
      <c r="E14" s="7" t="s">
        <v>782</v>
      </c>
      <c r="F14" s="7" t="e">
        <f>VLOOKUP(D14,#REF!,3,FALSE)</f>
        <v>#REF!</v>
      </c>
      <c r="G14" s="7"/>
      <c r="H14" s="329" t="s">
        <v>2279</v>
      </c>
      <c r="I14" s="49"/>
      <c r="J14" s="329" t="s">
        <v>2280</v>
      </c>
      <c r="K14" s="333" t="s">
        <v>2330</v>
      </c>
      <c r="L14" s="7"/>
    </row>
    <row r="15" spans="1:12">
      <c r="A15" s="66">
        <v>193</v>
      </c>
      <c r="B15" s="6">
        <v>2000</v>
      </c>
      <c r="C15" s="323"/>
      <c r="D15" s="7" t="s">
        <v>792</v>
      </c>
      <c r="E15" s="7" t="s">
        <v>793</v>
      </c>
      <c r="F15" s="7" t="e">
        <f>F14</f>
        <v>#REF!</v>
      </c>
      <c r="G15" s="7"/>
      <c r="H15" s="323"/>
      <c r="I15" s="49"/>
      <c r="J15" s="323"/>
      <c r="K15" s="323"/>
      <c r="L15" s="7"/>
    </row>
    <row r="16" spans="1:12">
      <c r="A16" s="66">
        <v>196</v>
      </c>
      <c r="B16" s="6">
        <v>2000</v>
      </c>
      <c r="C16" s="323"/>
      <c r="D16" s="7" t="s">
        <v>798</v>
      </c>
      <c r="E16" s="7" t="s">
        <v>799</v>
      </c>
      <c r="F16" s="7" t="e">
        <f>F14</f>
        <v>#REF!</v>
      </c>
      <c r="G16" s="7"/>
      <c r="H16" s="324"/>
      <c r="I16" s="49"/>
      <c r="J16" s="324"/>
      <c r="K16" s="324"/>
      <c r="L16" s="7"/>
    </row>
    <row r="17" spans="1:12">
      <c r="A17" s="66">
        <v>194</v>
      </c>
      <c r="B17" s="6">
        <v>2000</v>
      </c>
      <c r="C17" s="323"/>
      <c r="D17" s="7" t="s">
        <v>2331</v>
      </c>
      <c r="E17" s="7" t="s">
        <v>2332</v>
      </c>
      <c r="F17" s="7"/>
      <c r="G17" s="7"/>
      <c r="H17" s="7" t="s">
        <v>2332</v>
      </c>
      <c r="I17" s="7"/>
      <c r="J17" s="6" t="s">
        <v>2333</v>
      </c>
      <c r="K17" s="326" t="s">
        <v>2334</v>
      </c>
      <c r="L17" s="7"/>
    </row>
    <row r="18" spans="1:12">
      <c r="A18" s="66">
        <v>190</v>
      </c>
      <c r="B18" s="6">
        <v>2000</v>
      </c>
      <c r="C18" s="323"/>
      <c r="D18" s="7" t="s">
        <v>2335</v>
      </c>
      <c r="E18" s="7" t="s">
        <v>2336</v>
      </c>
      <c r="F18" s="7"/>
      <c r="G18" s="7"/>
      <c r="H18" s="7" t="s">
        <v>2336</v>
      </c>
      <c r="I18" s="7"/>
      <c r="J18" s="6" t="s">
        <v>2337</v>
      </c>
      <c r="K18" s="323"/>
      <c r="L18" s="7"/>
    </row>
    <row r="19" spans="1:12">
      <c r="A19" s="66">
        <v>191</v>
      </c>
      <c r="B19" s="6">
        <v>2000</v>
      </c>
      <c r="C19" s="324"/>
      <c r="D19" s="7" t="s">
        <v>784</v>
      </c>
      <c r="E19" s="7" t="s">
        <v>785</v>
      </c>
      <c r="F19" s="7"/>
      <c r="G19" s="7"/>
      <c r="H19" s="7" t="s">
        <v>785</v>
      </c>
      <c r="I19" s="7"/>
      <c r="J19" s="6" t="s">
        <v>2338</v>
      </c>
      <c r="K19" s="324"/>
      <c r="L19" s="7"/>
    </row>
    <row r="20" spans="1:12">
      <c r="A20" s="7"/>
      <c r="B20" s="7"/>
      <c r="C20" s="7"/>
      <c r="D20" s="7"/>
      <c r="E20" s="7"/>
      <c r="F20" s="7"/>
      <c r="G20" s="7"/>
      <c r="H20" s="7"/>
      <c r="I20" s="7"/>
      <c r="J20" s="6"/>
      <c r="K20" s="7"/>
      <c r="L20" s="7"/>
    </row>
    <row r="21" spans="1:12" ht="15" customHeight="1">
      <c r="A21" s="66">
        <v>197</v>
      </c>
      <c r="B21" s="6">
        <v>2000</v>
      </c>
      <c r="C21" s="7"/>
      <c r="D21" s="7" t="s">
        <v>873</v>
      </c>
      <c r="E21" s="7" t="s">
        <v>874</v>
      </c>
      <c r="F21" s="7" t="e">
        <f>VLOOKUP(D21,#REF!,3,FALSE)</f>
        <v>#REF!</v>
      </c>
      <c r="G21" s="7"/>
      <c r="H21" s="329" t="s">
        <v>874</v>
      </c>
      <c r="I21" s="49"/>
      <c r="J21" s="329" t="s">
        <v>876</v>
      </c>
      <c r="K21" s="7" t="s">
        <v>2339</v>
      </c>
      <c r="L21" s="426" t="s">
        <v>2340</v>
      </c>
    </row>
    <row r="22" spans="1:12" ht="15.75" customHeight="1">
      <c r="A22" s="66">
        <v>198</v>
      </c>
      <c r="B22" s="6">
        <v>2000</v>
      </c>
      <c r="C22" s="7"/>
      <c r="D22" s="7" t="s">
        <v>877</v>
      </c>
      <c r="E22" s="7" t="s">
        <v>878</v>
      </c>
      <c r="F22" s="7" t="e">
        <f t="shared" ref="F22:F24" si="1">F21</f>
        <v>#REF!</v>
      </c>
      <c r="G22" s="7"/>
      <c r="H22" s="323"/>
      <c r="I22" s="49"/>
      <c r="J22" s="323"/>
      <c r="K22" s="7" t="s">
        <v>2339</v>
      </c>
      <c r="L22" s="323"/>
    </row>
    <row r="23" spans="1:12" ht="15.75" customHeight="1">
      <c r="A23" s="66">
        <v>199</v>
      </c>
      <c r="B23" s="6">
        <v>2000</v>
      </c>
      <c r="C23" s="7"/>
      <c r="D23" s="7" t="s">
        <v>881</v>
      </c>
      <c r="E23" s="7" t="s">
        <v>882</v>
      </c>
      <c r="F23" s="7" t="e">
        <f t="shared" si="1"/>
        <v>#REF!</v>
      </c>
      <c r="G23" s="7"/>
      <c r="H23" s="323"/>
      <c r="I23" s="49"/>
      <c r="J23" s="323"/>
      <c r="K23" s="7" t="s">
        <v>2339</v>
      </c>
      <c r="L23" s="323"/>
    </row>
    <row r="24" spans="1:12" ht="15.75" customHeight="1">
      <c r="A24" s="66">
        <v>200</v>
      </c>
      <c r="B24" s="6">
        <v>2000</v>
      </c>
      <c r="C24" s="7"/>
      <c r="D24" s="7" t="s">
        <v>885</v>
      </c>
      <c r="E24" s="7" t="s">
        <v>886</v>
      </c>
      <c r="F24" s="7" t="e">
        <f t="shared" si="1"/>
        <v>#REF!</v>
      </c>
      <c r="G24" s="7"/>
      <c r="H24" s="324"/>
      <c r="I24" s="49"/>
      <c r="J24" s="324"/>
      <c r="K24" s="7" t="s">
        <v>2339</v>
      </c>
      <c r="L24" s="324"/>
    </row>
    <row r="25" spans="1:12" ht="15.75" customHeight="1">
      <c r="A25" s="66">
        <v>201</v>
      </c>
      <c r="B25" s="6">
        <v>2000</v>
      </c>
      <c r="C25" s="7"/>
      <c r="D25" s="7" t="s">
        <v>889</v>
      </c>
      <c r="E25" s="7" t="s">
        <v>890</v>
      </c>
      <c r="F25" s="7" t="e">
        <f>VLOOKUP(D25,#REF!,3,FALSE)</f>
        <v>#REF!</v>
      </c>
      <c r="G25" s="7"/>
      <c r="H25" s="329" t="s">
        <v>2341</v>
      </c>
      <c r="I25" s="49"/>
      <c r="J25" s="329" t="s">
        <v>892</v>
      </c>
      <c r="K25" s="7" t="s">
        <v>2342</v>
      </c>
      <c r="L25" s="426" t="s">
        <v>2340</v>
      </c>
    </row>
    <row r="26" spans="1:12" ht="15.75" customHeight="1">
      <c r="A26" s="66">
        <v>202</v>
      </c>
      <c r="B26" s="6">
        <v>2000</v>
      </c>
      <c r="C26" s="7"/>
      <c r="D26" s="7" t="s">
        <v>893</v>
      </c>
      <c r="E26" s="7" t="s">
        <v>894</v>
      </c>
      <c r="F26" s="7" t="e">
        <f t="shared" ref="F26:F28" si="2">F25</f>
        <v>#REF!</v>
      </c>
      <c r="G26" s="7"/>
      <c r="H26" s="323"/>
      <c r="I26" s="49"/>
      <c r="J26" s="323"/>
      <c r="K26" s="7" t="s">
        <v>2342</v>
      </c>
      <c r="L26" s="323"/>
    </row>
    <row r="27" spans="1:12" ht="15.75" customHeight="1">
      <c r="A27" s="66">
        <v>203</v>
      </c>
      <c r="B27" s="6">
        <v>2000</v>
      </c>
      <c r="C27" s="7"/>
      <c r="D27" s="7" t="s">
        <v>897</v>
      </c>
      <c r="E27" s="7" t="s">
        <v>898</v>
      </c>
      <c r="F27" s="7" t="e">
        <f t="shared" si="2"/>
        <v>#REF!</v>
      </c>
      <c r="G27" s="7"/>
      <c r="H27" s="323"/>
      <c r="I27" s="49"/>
      <c r="J27" s="323"/>
      <c r="K27" s="7" t="s">
        <v>2342</v>
      </c>
      <c r="L27" s="323"/>
    </row>
    <row r="28" spans="1:12" ht="15.75" customHeight="1">
      <c r="A28" s="66">
        <v>204</v>
      </c>
      <c r="B28" s="6">
        <v>2000</v>
      </c>
      <c r="C28" s="7"/>
      <c r="D28" s="7" t="s">
        <v>901</v>
      </c>
      <c r="E28" s="7" t="s">
        <v>902</v>
      </c>
      <c r="F28" s="7" t="e">
        <f t="shared" si="2"/>
        <v>#REF!</v>
      </c>
      <c r="G28" s="7"/>
      <c r="H28" s="324"/>
      <c r="I28" s="49"/>
      <c r="J28" s="324"/>
      <c r="K28" s="7" t="s">
        <v>2342</v>
      </c>
      <c r="L28" s="324"/>
    </row>
    <row r="29" spans="1:12" ht="15.75" customHeight="1">
      <c r="A29" s="66">
        <v>205</v>
      </c>
      <c r="B29" s="6">
        <v>2000</v>
      </c>
      <c r="C29" s="7"/>
      <c r="D29" s="7" t="s">
        <v>905</v>
      </c>
      <c r="E29" s="7" t="s">
        <v>906</v>
      </c>
      <c r="F29" s="7" t="e">
        <f>VLOOKUP(D29,#REF!,3,FALSE)</f>
        <v>#REF!</v>
      </c>
      <c r="G29" s="7"/>
      <c r="H29" s="329" t="s">
        <v>878</v>
      </c>
      <c r="I29" s="49"/>
      <c r="J29" s="329" t="s">
        <v>908</v>
      </c>
      <c r="K29" s="329" t="s">
        <v>2343</v>
      </c>
      <c r="L29" s="426" t="s">
        <v>2340</v>
      </c>
    </row>
    <row r="30" spans="1:12" ht="15.75" customHeight="1">
      <c r="A30" s="66">
        <v>206</v>
      </c>
      <c r="B30" s="6">
        <v>2000</v>
      </c>
      <c r="C30" s="7"/>
      <c r="D30" s="7" t="s">
        <v>909</v>
      </c>
      <c r="E30" s="7" t="s">
        <v>910</v>
      </c>
      <c r="F30" s="7" t="e">
        <f t="shared" ref="F30:F32" si="3">F29</f>
        <v>#REF!</v>
      </c>
      <c r="G30" s="7"/>
      <c r="H30" s="323"/>
      <c r="I30" s="49"/>
      <c r="J30" s="323"/>
      <c r="K30" s="323"/>
      <c r="L30" s="323"/>
    </row>
    <row r="31" spans="1:12" ht="15.75" customHeight="1">
      <c r="A31" s="66">
        <v>207</v>
      </c>
      <c r="B31" s="6">
        <v>2000</v>
      </c>
      <c r="C31" s="7"/>
      <c r="D31" s="7" t="s">
        <v>913</v>
      </c>
      <c r="E31" s="7" t="s">
        <v>914</v>
      </c>
      <c r="F31" s="7" t="e">
        <f t="shared" si="3"/>
        <v>#REF!</v>
      </c>
      <c r="G31" s="7"/>
      <c r="H31" s="323"/>
      <c r="I31" s="49"/>
      <c r="J31" s="323"/>
      <c r="K31" s="323"/>
      <c r="L31" s="323"/>
    </row>
    <row r="32" spans="1:12" ht="15.75" customHeight="1">
      <c r="A32" s="66">
        <v>208</v>
      </c>
      <c r="B32" s="6">
        <v>2000</v>
      </c>
      <c r="C32" s="7"/>
      <c r="D32" s="7" t="s">
        <v>2344</v>
      </c>
      <c r="E32" s="7" t="s">
        <v>2345</v>
      </c>
      <c r="F32" s="7" t="e">
        <f t="shared" si="3"/>
        <v>#REF!</v>
      </c>
      <c r="G32" s="7"/>
      <c r="H32" s="324"/>
      <c r="I32" s="49"/>
      <c r="J32" s="324"/>
      <c r="K32" s="324"/>
      <c r="L32" s="324"/>
    </row>
    <row r="33" spans="1:12" ht="15.75" customHeight="1">
      <c r="A33" s="7"/>
      <c r="B33" s="7"/>
      <c r="C33" s="7"/>
      <c r="D33" s="7"/>
      <c r="E33" s="7"/>
      <c r="F33" s="7"/>
      <c r="G33" s="7"/>
      <c r="H33" s="7"/>
      <c r="I33" s="7"/>
      <c r="J33" s="6"/>
      <c r="K33" s="7"/>
      <c r="L33" s="7"/>
    </row>
    <row r="34" spans="1:12" ht="15.75" customHeight="1">
      <c r="A34" s="66">
        <v>72</v>
      </c>
      <c r="B34" s="6">
        <v>2000</v>
      </c>
      <c r="C34" s="7"/>
      <c r="D34" s="7" t="s">
        <v>303</v>
      </c>
      <c r="E34" s="7" t="s">
        <v>304</v>
      </c>
      <c r="F34" s="7" t="e">
        <f>VLOOKUP(D34,#REF!,3,FALSE)</f>
        <v>#REF!</v>
      </c>
      <c r="G34" s="7"/>
      <c r="H34" s="329" t="s">
        <v>2346</v>
      </c>
      <c r="I34" s="49"/>
      <c r="J34" s="329" t="s">
        <v>306</v>
      </c>
      <c r="K34" s="331" t="s">
        <v>2347</v>
      </c>
      <c r="L34" s="7"/>
    </row>
    <row r="35" spans="1:12" ht="15.75" customHeight="1">
      <c r="A35" s="66">
        <v>73</v>
      </c>
      <c r="B35" s="6">
        <v>2000</v>
      </c>
      <c r="C35" s="7"/>
      <c r="D35" s="7" t="s">
        <v>2348</v>
      </c>
      <c r="E35" s="7" t="s">
        <v>2349</v>
      </c>
      <c r="F35" s="7" t="e">
        <f>F34</f>
        <v>#REF!</v>
      </c>
      <c r="G35" s="7"/>
      <c r="H35" s="323"/>
      <c r="I35" s="49"/>
      <c r="J35" s="323"/>
      <c r="K35" s="323"/>
      <c r="L35" s="7"/>
    </row>
    <row r="36" spans="1:12" ht="15.75" customHeight="1">
      <c r="A36" s="66">
        <v>74</v>
      </c>
      <c r="B36" s="6">
        <v>2000</v>
      </c>
      <c r="C36" s="7"/>
      <c r="D36" s="7" t="s">
        <v>2350</v>
      </c>
      <c r="E36" s="7" t="s">
        <v>2351</v>
      </c>
      <c r="F36" s="7" t="e">
        <f>F34</f>
        <v>#REF!</v>
      </c>
      <c r="G36" s="7"/>
      <c r="H36" s="324"/>
      <c r="I36" s="49"/>
      <c r="J36" s="324"/>
      <c r="K36" s="324"/>
      <c r="L36" s="7"/>
    </row>
    <row r="37" spans="1:12" ht="15.75" customHeight="1">
      <c r="A37" s="7"/>
      <c r="B37" s="7"/>
      <c r="C37" s="7"/>
      <c r="D37" s="7"/>
      <c r="E37" s="7"/>
      <c r="F37" s="7"/>
      <c r="G37" s="7"/>
      <c r="H37" s="7"/>
      <c r="I37" s="7"/>
      <c r="J37" s="6"/>
      <c r="K37" s="7"/>
      <c r="L37" s="7"/>
    </row>
    <row r="38" spans="1:12" ht="15.75" customHeight="1">
      <c r="A38" s="66">
        <v>70</v>
      </c>
      <c r="B38" s="6">
        <v>2000</v>
      </c>
      <c r="C38" s="7"/>
      <c r="D38" s="7" t="s">
        <v>298</v>
      </c>
      <c r="E38" s="7" t="s">
        <v>299</v>
      </c>
      <c r="F38" s="7" t="e">
        <f>VLOOKUP(D38,#REF!,3,FALSE)</f>
        <v>#REF!</v>
      </c>
      <c r="G38" s="7"/>
      <c r="H38" s="329" t="s">
        <v>299</v>
      </c>
      <c r="I38" s="49"/>
      <c r="J38" s="329" t="s">
        <v>302</v>
      </c>
      <c r="K38" s="322" t="s">
        <v>2347</v>
      </c>
      <c r="L38" s="7"/>
    </row>
    <row r="39" spans="1:12" ht="15.75" customHeight="1">
      <c r="A39" s="66">
        <v>71</v>
      </c>
      <c r="B39" s="6">
        <v>2000</v>
      </c>
      <c r="C39" s="7"/>
      <c r="D39" s="7" t="s">
        <v>2352</v>
      </c>
      <c r="E39" s="7" t="s">
        <v>2353</v>
      </c>
      <c r="F39" s="7" t="e">
        <f>F38</f>
        <v>#REF!</v>
      </c>
      <c r="G39" s="7"/>
      <c r="H39" s="324"/>
      <c r="I39" s="49"/>
      <c r="J39" s="324"/>
      <c r="K39" s="324"/>
      <c r="L39" s="7"/>
    </row>
    <row r="40" spans="1:12" ht="15.75" customHeight="1">
      <c r="A40" s="7"/>
      <c r="B40" s="7"/>
      <c r="C40" s="7"/>
      <c r="D40" s="7"/>
      <c r="E40" s="7"/>
      <c r="F40" s="7"/>
      <c r="G40" s="7"/>
      <c r="H40" s="7"/>
      <c r="I40" s="7"/>
      <c r="J40" s="6"/>
      <c r="K40" s="7"/>
      <c r="L40" s="7"/>
    </row>
    <row r="41" spans="1:12" ht="15.75" customHeight="1">
      <c r="A41" s="66">
        <v>69</v>
      </c>
      <c r="B41" s="6">
        <v>2000</v>
      </c>
      <c r="C41" s="7"/>
      <c r="D41" s="7" t="s">
        <v>294</v>
      </c>
      <c r="E41" s="7" t="s">
        <v>295</v>
      </c>
      <c r="F41" s="7" t="s">
        <v>296</v>
      </c>
      <c r="G41" s="7"/>
      <c r="H41" s="7" t="s">
        <v>295</v>
      </c>
      <c r="I41" s="7"/>
      <c r="J41" s="6" t="s">
        <v>297</v>
      </c>
      <c r="K41" s="7" t="s">
        <v>2354</v>
      </c>
      <c r="L41" s="7"/>
    </row>
    <row r="42" spans="1:12" ht="15.75" customHeight="1">
      <c r="A42" s="7"/>
      <c r="B42" s="7"/>
      <c r="C42" s="7"/>
      <c r="D42" s="7"/>
      <c r="E42" s="7"/>
      <c r="F42" s="7"/>
      <c r="G42" s="7"/>
      <c r="H42" s="7"/>
      <c r="I42" s="7"/>
      <c r="J42" s="6"/>
      <c r="K42" s="7"/>
      <c r="L42" s="7"/>
    </row>
    <row r="43" spans="1:12" ht="15.75" customHeight="1">
      <c r="A43" s="66">
        <v>70</v>
      </c>
      <c r="B43" s="6">
        <v>2000</v>
      </c>
      <c r="C43" s="7"/>
      <c r="D43" s="7" t="s">
        <v>248</v>
      </c>
      <c r="E43" s="7" t="s">
        <v>249</v>
      </c>
      <c r="F43" s="7" t="e">
        <f>VLOOKUP(D43,#REF!,3,FALSE)</f>
        <v>#REF!</v>
      </c>
      <c r="G43" s="7"/>
      <c r="H43" s="329" t="s">
        <v>2355</v>
      </c>
      <c r="I43" s="49"/>
      <c r="J43" s="329">
        <v>1111034003</v>
      </c>
      <c r="K43" s="322" t="s">
        <v>2347</v>
      </c>
      <c r="L43" s="7"/>
    </row>
    <row r="44" spans="1:12" ht="15.75" customHeight="1">
      <c r="A44" s="66">
        <v>71</v>
      </c>
      <c r="B44" s="6">
        <v>2000</v>
      </c>
      <c r="C44" s="7"/>
      <c r="D44" s="7" t="s">
        <v>2356</v>
      </c>
      <c r="E44" s="7" t="s">
        <v>2357</v>
      </c>
      <c r="F44" s="7" t="e">
        <f t="shared" ref="F44:F45" si="4">F43</f>
        <v>#REF!</v>
      </c>
      <c r="G44" s="7"/>
      <c r="H44" s="323"/>
      <c r="I44" s="49"/>
      <c r="J44" s="323"/>
      <c r="K44" s="323"/>
      <c r="L44" s="7"/>
    </row>
    <row r="45" spans="1:12" ht="15.75" customHeight="1">
      <c r="A45" s="66">
        <v>71</v>
      </c>
      <c r="B45" s="6">
        <v>2000</v>
      </c>
      <c r="C45" s="7"/>
      <c r="D45" s="7" t="s">
        <v>2358</v>
      </c>
      <c r="E45" s="7" t="s">
        <v>2359</v>
      </c>
      <c r="F45" s="7" t="e">
        <f t="shared" si="4"/>
        <v>#REF!</v>
      </c>
      <c r="G45" s="7"/>
      <c r="H45" s="324"/>
      <c r="I45" s="49"/>
      <c r="J45" s="324"/>
      <c r="K45" s="324"/>
      <c r="L45" s="7"/>
    </row>
    <row r="46" spans="1:12" ht="15.75" customHeight="1">
      <c r="A46" s="7"/>
      <c r="B46" s="7"/>
      <c r="C46" s="7"/>
      <c r="D46" s="7"/>
      <c r="E46" s="7"/>
      <c r="F46" s="7"/>
      <c r="G46" s="7"/>
      <c r="H46" s="7"/>
      <c r="I46" s="7"/>
      <c r="J46" s="6"/>
      <c r="K46" s="7"/>
      <c r="L46" s="7"/>
    </row>
    <row r="47" spans="1:12" ht="15.75" customHeight="1">
      <c r="A47" s="66">
        <v>71</v>
      </c>
      <c r="B47" s="6">
        <v>2000</v>
      </c>
      <c r="C47" s="7"/>
      <c r="D47" s="7" t="s">
        <v>253</v>
      </c>
      <c r="E47" s="7" t="s">
        <v>254</v>
      </c>
      <c r="F47" s="7" t="e">
        <f>VLOOKUP(D47,#REF!,3,FALSE)</f>
        <v>#REF!</v>
      </c>
      <c r="G47" s="7"/>
      <c r="H47" s="329" t="s">
        <v>2360</v>
      </c>
      <c r="I47" s="49"/>
      <c r="J47" s="326">
        <v>1111034001</v>
      </c>
      <c r="K47" s="322" t="s">
        <v>2347</v>
      </c>
      <c r="L47" s="7"/>
    </row>
    <row r="48" spans="1:12" ht="15.75" customHeight="1">
      <c r="A48" s="66">
        <v>71</v>
      </c>
      <c r="B48" s="6">
        <v>2000</v>
      </c>
      <c r="C48" s="7"/>
      <c r="D48" s="165" t="s">
        <v>2361</v>
      </c>
      <c r="E48" s="165" t="s">
        <v>2362</v>
      </c>
      <c r="F48" s="7" t="e">
        <f>F47</f>
        <v>#REF!</v>
      </c>
      <c r="G48" s="7"/>
      <c r="H48" s="324"/>
      <c r="I48" s="49"/>
      <c r="J48" s="324"/>
      <c r="K48" s="324"/>
      <c r="L48" s="7"/>
    </row>
    <row r="49" spans="1:26" ht="15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</row>
    <row r="50" spans="1:26" ht="15.75" customHeight="1">
      <c r="A50" s="7"/>
      <c r="B50" s="7"/>
      <c r="C50" s="7"/>
      <c r="D50" s="7"/>
      <c r="E50" s="7"/>
      <c r="F50" s="7" t="s">
        <v>983</v>
      </c>
      <c r="G50" s="7"/>
      <c r="H50" s="7" t="s">
        <v>2363</v>
      </c>
      <c r="I50" s="7"/>
      <c r="J50" s="41"/>
      <c r="K50" s="425" t="s">
        <v>2364</v>
      </c>
      <c r="L50" s="7"/>
    </row>
    <row r="51" spans="1:26" ht="15.75" customHeight="1">
      <c r="A51" s="7"/>
      <c r="B51" s="7"/>
      <c r="C51" s="7"/>
      <c r="D51" s="7"/>
      <c r="E51" s="7"/>
      <c r="F51" s="7" t="s">
        <v>1833</v>
      </c>
      <c r="G51" s="7"/>
      <c r="H51" s="7" t="s">
        <v>1834</v>
      </c>
      <c r="I51" s="7"/>
      <c r="J51" s="41"/>
      <c r="K51" s="323"/>
      <c r="L51" s="7"/>
    </row>
    <row r="52" spans="1:26" ht="15.75" customHeight="1">
      <c r="A52" s="7"/>
      <c r="B52" s="7"/>
      <c r="C52" s="7"/>
      <c r="D52" s="7"/>
      <c r="E52" s="7"/>
      <c r="F52" s="7" t="s">
        <v>1836</v>
      </c>
      <c r="G52" s="7"/>
      <c r="H52" s="7" t="s">
        <v>2365</v>
      </c>
      <c r="I52" s="7"/>
      <c r="J52" s="41"/>
      <c r="K52" s="323"/>
      <c r="L52" s="7"/>
    </row>
    <row r="53" spans="1:26" ht="15.75" customHeight="1">
      <c r="A53" s="7"/>
      <c r="B53" s="7"/>
      <c r="C53" s="7"/>
      <c r="D53" s="7"/>
      <c r="E53" s="7"/>
      <c r="F53" s="7" t="s">
        <v>1837</v>
      </c>
      <c r="G53" s="7"/>
      <c r="H53" s="7" t="s">
        <v>2366</v>
      </c>
      <c r="I53" s="7"/>
      <c r="J53" s="41"/>
      <c r="K53" s="323"/>
      <c r="L53" s="7"/>
    </row>
    <row r="54" spans="1:26" ht="15.75" customHeight="1">
      <c r="A54" s="7"/>
      <c r="B54" s="7"/>
      <c r="C54" s="7"/>
      <c r="D54" s="7"/>
      <c r="E54" s="7"/>
      <c r="F54" s="7" t="s">
        <v>1839</v>
      </c>
      <c r="G54" s="7"/>
      <c r="H54" s="7" t="s">
        <v>1840</v>
      </c>
      <c r="I54" s="7"/>
      <c r="J54" s="41"/>
      <c r="K54" s="324"/>
      <c r="L54" s="7"/>
    </row>
    <row r="55" spans="1:26" ht="15.75" customHeight="1">
      <c r="F55" s="7" t="s">
        <v>1841</v>
      </c>
      <c r="G55" s="7"/>
      <c r="H55" s="7" t="s">
        <v>2367</v>
      </c>
    </row>
    <row r="56" spans="1:26" ht="15.75" customHeight="1">
      <c r="A56" s="7"/>
      <c r="B56" s="7"/>
      <c r="C56" s="7"/>
      <c r="D56" s="195" t="s">
        <v>2368</v>
      </c>
      <c r="E56" s="195" t="s">
        <v>2369</v>
      </c>
      <c r="F56" s="98"/>
      <c r="G56" s="98" t="s">
        <v>2370</v>
      </c>
      <c r="H56" s="195"/>
      <c r="I56" s="195" t="s">
        <v>2371</v>
      </c>
      <c r="J56" s="7"/>
    </row>
    <row r="57" spans="1:26" ht="15.75" customHeight="1">
      <c r="A57" s="7"/>
      <c r="B57" s="7"/>
      <c r="C57" s="7"/>
      <c r="D57" s="195" t="s">
        <v>2372</v>
      </c>
      <c r="E57" s="195" t="s">
        <v>2373</v>
      </c>
      <c r="F57" s="98"/>
      <c r="G57" s="98" t="s">
        <v>2370</v>
      </c>
      <c r="H57" s="98"/>
      <c r="I57" s="195" t="s">
        <v>2371</v>
      </c>
      <c r="J57" s="7"/>
    </row>
    <row r="58" spans="1:26" ht="15.75" customHeight="1">
      <c r="A58" s="7"/>
      <c r="B58" s="7"/>
      <c r="C58" s="7"/>
      <c r="D58" s="98"/>
      <c r="E58" s="98"/>
      <c r="F58" s="98"/>
      <c r="G58" s="98"/>
      <c r="H58" s="98"/>
      <c r="I58" s="98"/>
      <c r="J58" s="7"/>
    </row>
    <row r="59" spans="1:26" ht="15.75" customHeight="1">
      <c r="A59" s="7"/>
      <c r="B59" s="7"/>
      <c r="C59" s="7"/>
      <c r="D59" s="98"/>
      <c r="E59" s="98" t="s">
        <v>2374</v>
      </c>
      <c r="F59" s="98"/>
      <c r="G59" s="98"/>
      <c r="H59" s="195" t="s">
        <v>2247</v>
      </c>
      <c r="I59" s="98"/>
      <c r="J59" s="7"/>
    </row>
    <row r="60" spans="1:26" ht="15.75" customHeight="1">
      <c r="A60" s="7"/>
      <c r="B60" s="7"/>
      <c r="C60" s="7"/>
      <c r="D60" s="98"/>
      <c r="E60" s="98"/>
      <c r="F60" s="98"/>
      <c r="G60" s="98"/>
      <c r="H60" s="195" t="s">
        <v>2248</v>
      </c>
      <c r="I60" s="98"/>
      <c r="J60" s="7"/>
    </row>
    <row r="61" spans="1:26" ht="15.75" customHeight="1">
      <c r="A61" s="7"/>
      <c r="B61" s="7"/>
      <c r="C61" s="7"/>
      <c r="D61" s="98"/>
      <c r="E61" s="98"/>
      <c r="F61" s="98"/>
      <c r="G61" s="98"/>
      <c r="H61" s="195" t="s">
        <v>2249</v>
      </c>
      <c r="I61" s="98"/>
      <c r="J61" s="7"/>
    </row>
    <row r="62" spans="1:26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</row>
    <row r="63" spans="1:26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</row>
    <row r="64" spans="1:26" ht="15.75" customHeight="1">
      <c r="A64" s="196"/>
      <c r="B64" s="196"/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6"/>
      <c r="X64" s="196"/>
      <c r="Y64" s="196"/>
      <c r="Z64" s="196"/>
    </row>
    <row r="65" spans="1:26" ht="15.75" customHeight="1">
      <c r="G65" s="69" t="s">
        <v>8</v>
      </c>
    </row>
    <row r="66" spans="1:26" ht="15.75" customHeight="1"/>
    <row r="67" spans="1:26" ht="15.75" customHeight="1">
      <c r="A67" s="66">
        <v>233</v>
      </c>
      <c r="B67" s="6">
        <v>2000</v>
      </c>
      <c r="D67" s="7" t="s">
        <v>1161</v>
      </c>
      <c r="E67" s="7" t="s">
        <v>1162</v>
      </c>
      <c r="F67" s="7" t="s">
        <v>1163</v>
      </c>
      <c r="G67" s="7" t="s">
        <v>1069</v>
      </c>
      <c r="H67" s="329" t="s">
        <v>1164</v>
      </c>
      <c r="I67" s="7"/>
      <c r="J67" s="322">
        <v>1112012001</v>
      </c>
      <c r="K67" s="322" t="s">
        <v>2375</v>
      </c>
      <c r="L67" s="12" t="s">
        <v>787</v>
      </c>
      <c r="M67" s="37" t="s">
        <v>2303</v>
      </c>
      <c r="N67" s="1">
        <v>85</v>
      </c>
      <c r="O67" s="37" t="s">
        <v>1835</v>
      </c>
      <c r="P67" s="13" t="s">
        <v>1140</v>
      </c>
    </row>
    <row r="68" spans="1:26" ht="15.75" customHeight="1">
      <c r="A68" s="191">
        <v>234</v>
      </c>
      <c r="B68" s="33">
        <v>2000</v>
      </c>
      <c r="D68" s="32" t="s">
        <v>1165</v>
      </c>
      <c r="E68" s="32" t="s">
        <v>1166</v>
      </c>
      <c r="F68" s="32" t="s">
        <v>1167</v>
      </c>
      <c r="G68" s="7" t="s">
        <v>1069</v>
      </c>
      <c r="H68" s="324"/>
      <c r="I68" s="32"/>
      <c r="J68" s="324"/>
      <c r="K68" s="324"/>
      <c r="L68" s="34" t="s">
        <v>787</v>
      </c>
      <c r="M68" s="38" t="s">
        <v>2303</v>
      </c>
      <c r="N68" s="35">
        <v>85</v>
      </c>
      <c r="O68" s="38" t="s">
        <v>1835</v>
      </c>
      <c r="P68" s="36" t="s">
        <v>1140</v>
      </c>
      <c r="Q68" s="36"/>
      <c r="R68" s="36"/>
      <c r="S68" s="36"/>
      <c r="T68" s="36"/>
      <c r="U68" s="36"/>
      <c r="V68" s="36"/>
      <c r="W68" s="36"/>
      <c r="X68" s="36"/>
      <c r="Y68" s="36"/>
      <c r="Z68" s="36"/>
    </row>
    <row r="69" spans="1:26" ht="15.75" customHeight="1"/>
    <row r="70" spans="1:26" ht="15.75" customHeight="1">
      <c r="A70" s="191">
        <v>235</v>
      </c>
      <c r="B70" s="33">
        <v>2000</v>
      </c>
      <c r="C70" s="197"/>
      <c r="D70" s="198" t="s">
        <v>1171</v>
      </c>
      <c r="E70" s="198" t="s">
        <v>1172</v>
      </c>
      <c r="F70" s="32" t="s">
        <v>1173</v>
      </c>
      <c r="G70" s="7" t="s">
        <v>1074</v>
      </c>
      <c r="H70" s="329" t="s">
        <v>1197</v>
      </c>
      <c r="I70" s="32"/>
      <c r="J70" s="322">
        <v>1112014002</v>
      </c>
      <c r="K70" s="32" t="s">
        <v>1139</v>
      </c>
      <c r="L70" s="199" t="s">
        <v>787</v>
      </c>
      <c r="M70" s="200" t="s">
        <v>2304</v>
      </c>
      <c r="N70" s="35">
        <v>85</v>
      </c>
      <c r="O70" s="38" t="s">
        <v>2305</v>
      </c>
      <c r="P70" s="36" t="s">
        <v>1175</v>
      </c>
      <c r="Q70" s="36"/>
      <c r="R70" s="36"/>
      <c r="S70" s="36"/>
      <c r="T70" s="36"/>
      <c r="U70" s="36"/>
      <c r="V70" s="36"/>
      <c r="W70" s="36"/>
      <c r="X70" s="36"/>
      <c r="Y70" s="36"/>
      <c r="Z70" s="36"/>
    </row>
    <row r="71" spans="1:26" ht="15.75" customHeight="1">
      <c r="A71" s="66">
        <v>241</v>
      </c>
      <c r="B71" s="6">
        <v>2000</v>
      </c>
      <c r="C71" s="197"/>
      <c r="D71" s="24" t="s">
        <v>1196</v>
      </c>
      <c r="E71" s="24" t="s">
        <v>1197</v>
      </c>
      <c r="F71" s="7" t="s">
        <v>1198</v>
      </c>
      <c r="G71" s="7" t="s">
        <v>1074</v>
      </c>
      <c r="H71" s="324"/>
      <c r="I71" s="7" t="s">
        <v>1199</v>
      </c>
      <c r="J71" s="324"/>
      <c r="K71" s="7" t="s">
        <v>1139</v>
      </c>
      <c r="L71" s="189" t="s">
        <v>787</v>
      </c>
      <c r="M71" s="51" t="s">
        <v>2304</v>
      </c>
      <c r="N71" s="1">
        <v>85</v>
      </c>
      <c r="O71" s="37" t="s">
        <v>2305</v>
      </c>
      <c r="P71" s="13" t="s">
        <v>1175</v>
      </c>
    </row>
    <row r="72" spans="1:26" ht="15.75" customHeight="1">
      <c r="A72" s="191">
        <v>236</v>
      </c>
      <c r="B72" s="33">
        <v>2000</v>
      </c>
      <c r="C72" s="197"/>
      <c r="D72" s="198" t="s">
        <v>1176</v>
      </c>
      <c r="E72" s="198" t="s">
        <v>1177</v>
      </c>
      <c r="F72" s="32" t="s">
        <v>1178</v>
      </c>
      <c r="G72" s="7" t="s">
        <v>1079</v>
      </c>
      <c r="H72" s="329" t="s">
        <v>1201</v>
      </c>
      <c r="I72" s="32"/>
      <c r="J72" s="322">
        <v>1112014003</v>
      </c>
      <c r="K72" s="32" t="s">
        <v>1139</v>
      </c>
      <c r="L72" s="199" t="s">
        <v>787</v>
      </c>
      <c r="M72" s="200" t="s">
        <v>2304</v>
      </c>
      <c r="N72" s="35">
        <v>85</v>
      </c>
      <c r="O72" s="38" t="s">
        <v>2305</v>
      </c>
      <c r="P72" s="36" t="s">
        <v>1175</v>
      </c>
      <c r="Q72" s="36"/>
      <c r="R72" s="36"/>
      <c r="S72" s="36"/>
      <c r="T72" s="36"/>
      <c r="U72" s="36"/>
      <c r="V72" s="36"/>
      <c r="W72" s="36"/>
      <c r="X72" s="36"/>
      <c r="Y72" s="36"/>
      <c r="Z72" s="36"/>
    </row>
    <row r="73" spans="1:26" ht="15.75" customHeight="1">
      <c r="A73" s="66">
        <v>242</v>
      </c>
      <c r="B73" s="6">
        <v>2000</v>
      </c>
      <c r="C73" s="197"/>
      <c r="D73" s="24" t="s">
        <v>1200</v>
      </c>
      <c r="E73" s="24" t="s">
        <v>1201</v>
      </c>
      <c r="F73" s="7" t="s">
        <v>1202</v>
      </c>
      <c r="G73" s="7" t="s">
        <v>1079</v>
      </c>
      <c r="H73" s="324"/>
      <c r="I73" s="7"/>
      <c r="J73" s="324"/>
      <c r="K73" s="7" t="s">
        <v>1139</v>
      </c>
      <c r="L73" s="189" t="s">
        <v>787</v>
      </c>
      <c r="M73" s="51" t="s">
        <v>2304</v>
      </c>
      <c r="N73" s="1">
        <v>85</v>
      </c>
      <c r="O73" s="37" t="s">
        <v>2305</v>
      </c>
      <c r="P73" s="13" t="s">
        <v>1175</v>
      </c>
    </row>
    <row r="74" spans="1:26" ht="15.75" customHeight="1">
      <c r="A74" s="191">
        <v>237</v>
      </c>
      <c r="B74" s="33">
        <v>2000</v>
      </c>
      <c r="C74" s="197"/>
      <c r="D74" s="198" t="s">
        <v>1180</v>
      </c>
      <c r="E74" s="198" t="s">
        <v>1181</v>
      </c>
      <c r="F74" s="32" t="s">
        <v>1182</v>
      </c>
      <c r="G74" s="7" t="s">
        <v>1084</v>
      </c>
      <c r="H74" s="329" t="s">
        <v>1204</v>
      </c>
      <c r="I74" s="32"/>
      <c r="J74" s="322">
        <v>1112014004</v>
      </c>
      <c r="K74" s="32" t="s">
        <v>1139</v>
      </c>
      <c r="L74" s="38" t="s">
        <v>787</v>
      </c>
      <c r="M74" s="38" t="s">
        <v>2303</v>
      </c>
      <c r="N74" s="35">
        <v>85</v>
      </c>
      <c r="O74" s="38" t="s">
        <v>1835</v>
      </c>
      <c r="P74" s="36" t="s">
        <v>1175</v>
      </c>
      <c r="Q74" s="36"/>
      <c r="R74" s="36"/>
      <c r="S74" s="36"/>
      <c r="T74" s="36"/>
      <c r="U74" s="36"/>
      <c r="V74" s="36"/>
      <c r="W74" s="36"/>
      <c r="X74" s="36"/>
      <c r="Y74" s="36"/>
      <c r="Z74" s="36"/>
    </row>
    <row r="75" spans="1:26" ht="15.75" customHeight="1">
      <c r="A75" s="66">
        <v>243</v>
      </c>
      <c r="B75" s="6">
        <v>2000</v>
      </c>
      <c r="C75" s="197"/>
      <c r="D75" s="24" t="s">
        <v>1203</v>
      </c>
      <c r="E75" s="24" t="s">
        <v>1204</v>
      </c>
      <c r="F75" s="7" t="s">
        <v>1205</v>
      </c>
      <c r="G75" s="7" t="s">
        <v>1084</v>
      </c>
      <c r="H75" s="324"/>
      <c r="I75" s="7"/>
      <c r="J75" s="324"/>
      <c r="K75" s="7" t="s">
        <v>1139</v>
      </c>
      <c r="L75" s="189" t="s">
        <v>787</v>
      </c>
      <c r="M75" s="51" t="s">
        <v>2304</v>
      </c>
      <c r="N75" s="1">
        <v>85</v>
      </c>
      <c r="O75" s="37" t="s">
        <v>2305</v>
      </c>
      <c r="P75" s="13" t="s">
        <v>1175</v>
      </c>
    </row>
    <row r="76" spans="1:26" ht="15.75" customHeight="1">
      <c r="A76" s="191">
        <v>238</v>
      </c>
      <c r="B76" s="33">
        <v>2000</v>
      </c>
      <c r="C76" s="197"/>
      <c r="D76" s="198" t="s">
        <v>1184</v>
      </c>
      <c r="E76" s="198" t="s">
        <v>1185</v>
      </c>
      <c r="F76" s="32" t="s">
        <v>1186</v>
      </c>
      <c r="G76" s="7" t="s">
        <v>1089</v>
      </c>
      <c r="H76" s="329" t="s">
        <v>1207</v>
      </c>
      <c r="I76" s="32"/>
      <c r="J76" s="322">
        <v>1112014005</v>
      </c>
      <c r="K76" s="32" t="s">
        <v>1139</v>
      </c>
      <c r="L76" s="38" t="s">
        <v>787</v>
      </c>
      <c r="M76" s="38" t="s">
        <v>2303</v>
      </c>
      <c r="N76" s="35">
        <v>85</v>
      </c>
      <c r="O76" s="38" t="s">
        <v>1835</v>
      </c>
      <c r="P76" s="36" t="s">
        <v>1175</v>
      </c>
      <c r="Q76" s="36"/>
      <c r="R76" s="36"/>
      <c r="S76" s="36"/>
      <c r="T76" s="36"/>
      <c r="U76" s="36"/>
      <c r="V76" s="36"/>
      <c r="W76" s="36"/>
      <c r="X76" s="36"/>
      <c r="Y76" s="36"/>
      <c r="Z76" s="36"/>
    </row>
    <row r="77" spans="1:26" ht="15.75" customHeight="1">
      <c r="A77" s="66">
        <v>244</v>
      </c>
      <c r="B77" s="6">
        <v>2000</v>
      </c>
      <c r="C77" s="197"/>
      <c r="D77" s="24" t="s">
        <v>1206</v>
      </c>
      <c r="E77" s="24" t="s">
        <v>1207</v>
      </c>
      <c r="F77" s="7" t="s">
        <v>1208</v>
      </c>
      <c r="G77" s="7" t="s">
        <v>1089</v>
      </c>
      <c r="H77" s="324"/>
      <c r="I77" s="7"/>
      <c r="J77" s="324"/>
      <c r="K77" s="7" t="s">
        <v>1139</v>
      </c>
      <c r="L77" s="189" t="s">
        <v>787</v>
      </c>
      <c r="M77" s="51" t="s">
        <v>2304</v>
      </c>
      <c r="N77" s="1">
        <v>85</v>
      </c>
      <c r="O77" s="37" t="s">
        <v>2305</v>
      </c>
      <c r="P77" s="13" t="s">
        <v>1175</v>
      </c>
    </row>
    <row r="78" spans="1:26" ht="15.75" customHeight="1">
      <c r="A78" s="191">
        <v>239</v>
      </c>
      <c r="B78" s="33">
        <v>2000</v>
      </c>
      <c r="C78" s="197"/>
      <c r="D78" s="198" t="s">
        <v>1188</v>
      </c>
      <c r="E78" s="198" t="s">
        <v>1189</v>
      </c>
      <c r="F78" s="32" t="s">
        <v>1190</v>
      </c>
      <c r="G78" s="7" t="s">
        <v>1094</v>
      </c>
      <c r="H78" s="329" t="s">
        <v>1210</v>
      </c>
      <c r="I78" s="32"/>
      <c r="J78" s="322">
        <v>1112014006</v>
      </c>
      <c r="K78" s="32" t="s">
        <v>1139</v>
      </c>
      <c r="L78" s="38" t="s">
        <v>787</v>
      </c>
      <c r="M78" s="38" t="s">
        <v>2303</v>
      </c>
      <c r="N78" s="35">
        <v>85</v>
      </c>
      <c r="O78" s="38" t="s">
        <v>1835</v>
      </c>
      <c r="P78" s="36" t="s">
        <v>1175</v>
      </c>
      <c r="Q78" s="36"/>
      <c r="R78" s="36"/>
      <c r="S78" s="36"/>
      <c r="T78" s="36"/>
      <c r="U78" s="36"/>
      <c r="V78" s="36"/>
      <c r="W78" s="36"/>
      <c r="X78" s="36"/>
      <c r="Y78" s="36"/>
      <c r="Z78" s="36"/>
    </row>
    <row r="79" spans="1:26" ht="15.75" customHeight="1">
      <c r="A79" s="66">
        <v>245</v>
      </c>
      <c r="B79" s="6">
        <v>2000</v>
      </c>
      <c r="C79" s="197"/>
      <c r="D79" s="24" t="s">
        <v>1209</v>
      </c>
      <c r="E79" s="24" t="s">
        <v>1210</v>
      </c>
      <c r="F79" s="7" t="s">
        <v>1211</v>
      </c>
      <c r="G79" s="7" t="s">
        <v>1094</v>
      </c>
      <c r="H79" s="324"/>
      <c r="I79" s="7"/>
      <c r="J79" s="324"/>
      <c r="K79" s="7" t="s">
        <v>1139</v>
      </c>
      <c r="L79" s="189" t="s">
        <v>787</v>
      </c>
      <c r="M79" s="51" t="s">
        <v>2304</v>
      </c>
      <c r="N79" s="1">
        <v>85</v>
      </c>
      <c r="O79" s="37" t="s">
        <v>2305</v>
      </c>
      <c r="P79" s="13" t="s">
        <v>1175</v>
      </c>
    </row>
    <row r="80" spans="1:26" ht="15.75" customHeight="1">
      <c r="A80" s="191">
        <v>240</v>
      </c>
      <c r="B80" s="33">
        <v>2000</v>
      </c>
      <c r="C80" s="197"/>
      <c r="D80" s="198" t="s">
        <v>1192</v>
      </c>
      <c r="E80" s="198" t="s">
        <v>1193</v>
      </c>
      <c r="F80" s="32" t="s">
        <v>1194</v>
      </c>
      <c r="G80" s="7" t="s">
        <v>1099</v>
      </c>
      <c r="H80" s="329" t="s">
        <v>1213</v>
      </c>
      <c r="I80" s="32"/>
      <c r="J80" s="322">
        <v>1112014007</v>
      </c>
      <c r="K80" s="32" t="s">
        <v>1139</v>
      </c>
      <c r="L80" s="199" t="s">
        <v>787</v>
      </c>
      <c r="M80" s="200" t="s">
        <v>2304</v>
      </c>
      <c r="N80" s="35">
        <v>85</v>
      </c>
      <c r="O80" s="38" t="s">
        <v>2305</v>
      </c>
      <c r="P80" s="36" t="s">
        <v>1175</v>
      </c>
      <c r="Q80" s="36"/>
      <c r="R80" s="36"/>
      <c r="S80" s="36"/>
      <c r="T80" s="36"/>
      <c r="U80" s="36"/>
      <c r="V80" s="36"/>
      <c r="W80" s="36"/>
      <c r="X80" s="36"/>
      <c r="Y80" s="36"/>
      <c r="Z80" s="36"/>
    </row>
    <row r="81" spans="1:26" ht="15.75" customHeight="1">
      <c r="A81" s="66">
        <v>246</v>
      </c>
      <c r="B81" s="6">
        <v>2000</v>
      </c>
      <c r="C81" s="197"/>
      <c r="D81" s="24" t="s">
        <v>1212</v>
      </c>
      <c r="E81" s="24" t="s">
        <v>1213</v>
      </c>
      <c r="F81" s="7" t="s">
        <v>1214</v>
      </c>
      <c r="G81" s="7" t="s">
        <v>1099</v>
      </c>
      <c r="H81" s="324"/>
      <c r="I81" s="7"/>
      <c r="J81" s="324"/>
      <c r="K81" s="7" t="s">
        <v>1139</v>
      </c>
      <c r="L81" s="189" t="s">
        <v>787</v>
      </c>
      <c r="M81" s="51" t="s">
        <v>2304</v>
      </c>
      <c r="N81" s="1">
        <v>85</v>
      </c>
      <c r="O81" s="37" t="s">
        <v>2305</v>
      </c>
      <c r="P81" s="13" t="s">
        <v>1175</v>
      </c>
    </row>
    <row r="82" spans="1:26" ht="15.75" customHeight="1">
      <c r="A82" s="66">
        <v>247</v>
      </c>
      <c r="B82" s="6">
        <v>2000</v>
      </c>
      <c r="C82" s="197"/>
      <c r="D82" s="24" t="s">
        <v>1215</v>
      </c>
      <c r="E82" s="24" t="s">
        <v>1216</v>
      </c>
      <c r="F82" s="7" t="s">
        <v>1217</v>
      </c>
      <c r="G82" s="7" t="s">
        <v>1114</v>
      </c>
      <c r="H82" s="329" t="s">
        <v>1216</v>
      </c>
      <c r="I82" s="7"/>
      <c r="J82" s="322">
        <v>1112014008</v>
      </c>
      <c r="K82" s="7" t="s">
        <v>1139</v>
      </c>
      <c r="L82" s="189" t="s">
        <v>787</v>
      </c>
      <c r="M82" s="51" t="s">
        <v>2304</v>
      </c>
      <c r="N82" s="1">
        <v>85</v>
      </c>
      <c r="O82" s="37" t="s">
        <v>2305</v>
      </c>
      <c r="P82" s="13" t="s">
        <v>1175</v>
      </c>
    </row>
    <row r="83" spans="1:26" ht="15.75" customHeight="1">
      <c r="A83" s="191">
        <v>248</v>
      </c>
      <c r="B83" s="33">
        <v>2000</v>
      </c>
      <c r="C83" s="197"/>
      <c r="D83" s="198" t="s">
        <v>1218</v>
      </c>
      <c r="E83" s="198" t="s">
        <v>1219</v>
      </c>
      <c r="F83" s="32" t="s">
        <v>1220</v>
      </c>
      <c r="G83" s="7" t="s">
        <v>1114</v>
      </c>
      <c r="H83" s="324"/>
      <c r="I83" s="32"/>
      <c r="J83" s="324"/>
      <c r="K83" s="32" t="s">
        <v>1139</v>
      </c>
      <c r="L83" s="199" t="s">
        <v>787</v>
      </c>
      <c r="M83" s="200" t="s">
        <v>2304</v>
      </c>
      <c r="N83" s="35">
        <v>85</v>
      </c>
      <c r="O83" s="38" t="s">
        <v>2305</v>
      </c>
      <c r="P83" s="36" t="s">
        <v>1175</v>
      </c>
      <c r="Q83" s="36"/>
      <c r="R83" s="36"/>
      <c r="S83" s="36"/>
      <c r="T83" s="36"/>
      <c r="U83" s="36"/>
      <c r="V83" s="36"/>
      <c r="W83" s="36"/>
      <c r="X83" s="36"/>
      <c r="Y83" s="36"/>
      <c r="Z83" s="36"/>
    </row>
    <row r="84" spans="1:26" ht="15.75" customHeight="1">
      <c r="A84" s="66">
        <v>249</v>
      </c>
      <c r="B84" s="6">
        <v>2000</v>
      </c>
      <c r="C84" s="197"/>
      <c r="D84" s="24" t="s">
        <v>1222</v>
      </c>
      <c r="E84" s="24" t="s">
        <v>1223</v>
      </c>
      <c r="F84" s="7" t="s">
        <v>1224</v>
      </c>
      <c r="G84" s="7" t="s">
        <v>1118</v>
      </c>
      <c r="H84" s="423" t="s">
        <v>2376</v>
      </c>
      <c r="I84" s="7"/>
      <c r="J84" s="322">
        <v>1112014101</v>
      </c>
      <c r="K84" s="7" t="s">
        <v>1139</v>
      </c>
      <c r="L84" s="37" t="s">
        <v>787</v>
      </c>
      <c r="M84" s="37" t="s">
        <v>2303</v>
      </c>
      <c r="N84" s="1">
        <v>85</v>
      </c>
      <c r="O84" s="37" t="s">
        <v>1835</v>
      </c>
      <c r="P84" s="13" t="s">
        <v>1175</v>
      </c>
    </row>
    <row r="85" spans="1:26" ht="15.75" customHeight="1">
      <c r="A85" s="191">
        <v>250</v>
      </c>
      <c r="B85" s="33">
        <v>2000</v>
      </c>
      <c r="C85" s="197"/>
      <c r="D85" s="198" t="s">
        <v>1226</v>
      </c>
      <c r="E85" s="198" t="s">
        <v>1227</v>
      </c>
      <c r="F85" s="32" t="s">
        <v>1228</v>
      </c>
      <c r="G85" s="7" t="s">
        <v>1118</v>
      </c>
      <c r="H85" s="323"/>
      <c r="I85" s="32"/>
      <c r="J85" s="323"/>
      <c r="K85" s="32" t="s">
        <v>1139</v>
      </c>
      <c r="L85" s="199" t="s">
        <v>787</v>
      </c>
      <c r="M85" s="200" t="s">
        <v>2304</v>
      </c>
      <c r="N85" s="35">
        <v>85</v>
      </c>
      <c r="O85" s="38" t="s">
        <v>2305</v>
      </c>
      <c r="P85" s="36" t="s">
        <v>1175</v>
      </c>
      <c r="Q85" s="36"/>
      <c r="R85" s="36"/>
      <c r="S85" s="36"/>
      <c r="T85" s="36"/>
      <c r="U85" s="36"/>
      <c r="V85" s="36"/>
      <c r="W85" s="36"/>
      <c r="X85" s="36"/>
      <c r="Y85" s="36"/>
      <c r="Z85" s="36"/>
    </row>
    <row r="86" spans="1:26" ht="15.75" customHeight="1">
      <c r="A86" s="191">
        <v>251</v>
      </c>
      <c r="B86" s="33">
        <v>2000</v>
      </c>
      <c r="C86" s="197"/>
      <c r="D86" s="198" t="s">
        <v>1230</v>
      </c>
      <c r="E86" s="198" t="s">
        <v>1231</v>
      </c>
      <c r="F86" s="32" t="s">
        <v>1232</v>
      </c>
      <c r="G86" s="7" t="s">
        <v>1118</v>
      </c>
      <c r="H86" s="324"/>
      <c r="I86" s="32"/>
      <c r="J86" s="324"/>
      <c r="K86" s="32" t="s">
        <v>1139</v>
      </c>
      <c r="L86" s="199" t="s">
        <v>787</v>
      </c>
      <c r="M86" s="200" t="s">
        <v>2304</v>
      </c>
      <c r="N86" s="35">
        <v>85</v>
      </c>
      <c r="O86" s="38" t="s">
        <v>2305</v>
      </c>
      <c r="P86" s="36" t="s">
        <v>1175</v>
      </c>
      <c r="Q86" s="36"/>
      <c r="R86" s="36"/>
      <c r="S86" s="36"/>
      <c r="T86" s="36"/>
      <c r="U86" s="36"/>
      <c r="V86" s="36"/>
      <c r="W86" s="36"/>
      <c r="X86" s="36"/>
      <c r="Y86" s="36"/>
      <c r="Z86" s="36"/>
    </row>
    <row r="87" spans="1:26" ht="15.75" customHeight="1"/>
    <row r="88" spans="1:26" ht="15.75" customHeight="1">
      <c r="A88" s="66">
        <v>258</v>
      </c>
      <c r="B88" s="6">
        <v>2000</v>
      </c>
      <c r="D88" s="7" t="s">
        <v>1270</v>
      </c>
      <c r="E88" s="7" t="s">
        <v>1271</v>
      </c>
      <c r="F88" s="7" t="s">
        <v>1030</v>
      </c>
      <c r="G88" s="7" t="s">
        <v>1143</v>
      </c>
      <c r="H88" s="423" t="s">
        <v>2377</v>
      </c>
      <c r="I88" s="21"/>
      <c r="J88" s="329" t="s">
        <v>1272</v>
      </c>
      <c r="K88" s="7" t="s">
        <v>1139</v>
      </c>
      <c r="L88" s="12" t="s">
        <v>787</v>
      </c>
      <c r="M88" s="53" t="s">
        <v>2306</v>
      </c>
      <c r="N88" s="1">
        <v>85</v>
      </c>
      <c r="O88" s="53" t="s">
        <v>1835</v>
      </c>
      <c r="P88" s="13" t="s">
        <v>1175</v>
      </c>
    </row>
    <row r="89" spans="1:26" ht="15.75" customHeight="1">
      <c r="A89" s="191">
        <v>259</v>
      </c>
      <c r="B89" s="33">
        <v>2000</v>
      </c>
      <c r="D89" s="32" t="s">
        <v>1273</v>
      </c>
      <c r="E89" s="32" t="s">
        <v>1274</v>
      </c>
      <c r="F89" s="32" t="s">
        <v>1275</v>
      </c>
      <c r="G89" s="7" t="s">
        <v>1143</v>
      </c>
      <c r="H89" s="323"/>
      <c r="I89" s="32"/>
      <c r="J89" s="323"/>
      <c r="K89" s="32" t="s">
        <v>1139</v>
      </c>
      <c r="L89" s="34" t="s">
        <v>787</v>
      </c>
      <c r="M89" s="65" t="s">
        <v>2306</v>
      </c>
      <c r="N89" s="35">
        <v>85</v>
      </c>
      <c r="O89" s="65" t="s">
        <v>1835</v>
      </c>
      <c r="P89" s="36" t="s">
        <v>1175</v>
      </c>
      <c r="Q89" s="36"/>
      <c r="R89" s="36"/>
      <c r="S89" s="36"/>
      <c r="T89" s="36"/>
      <c r="U89" s="36"/>
      <c r="V89" s="36"/>
      <c r="W89" s="36"/>
      <c r="X89" s="36"/>
      <c r="Y89" s="36"/>
      <c r="Z89" s="36"/>
    </row>
    <row r="90" spans="1:26" ht="15.75" customHeight="1">
      <c r="A90" s="191">
        <v>260</v>
      </c>
      <c r="B90" s="33">
        <v>2000</v>
      </c>
      <c r="D90" s="32" t="s">
        <v>1277</v>
      </c>
      <c r="E90" s="32" t="s">
        <v>1278</v>
      </c>
      <c r="F90" s="32" t="s">
        <v>1279</v>
      </c>
      <c r="G90" s="7" t="s">
        <v>1143</v>
      </c>
      <c r="H90" s="323"/>
      <c r="I90" s="32"/>
      <c r="J90" s="323"/>
      <c r="K90" s="32" t="s">
        <v>1139</v>
      </c>
      <c r="L90" s="34" t="s">
        <v>787</v>
      </c>
      <c r="M90" s="65" t="s">
        <v>2306</v>
      </c>
      <c r="N90" s="35">
        <v>85</v>
      </c>
      <c r="O90" s="65" t="s">
        <v>1835</v>
      </c>
      <c r="P90" s="36" t="s">
        <v>1175</v>
      </c>
      <c r="Q90" s="36"/>
      <c r="R90" s="36"/>
      <c r="S90" s="36"/>
      <c r="T90" s="36"/>
      <c r="U90" s="36"/>
      <c r="V90" s="36"/>
      <c r="W90" s="36"/>
      <c r="X90" s="36"/>
      <c r="Y90" s="36"/>
      <c r="Z90" s="36"/>
    </row>
    <row r="91" spans="1:26" ht="15.75" customHeight="1">
      <c r="A91" s="191">
        <v>261</v>
      </c>
      <c r="B91" s="33">
        <v>2000</v>
      </c>
      <c r="D91" s="32" t="s">
        <v>1282</v>
      </c>
      <c r="E91" s="32" t="s">
        <v>1283</v>
      </c>
      <c r="F91" s="32" t="s">
        <v>1284</v>
      </c>
      <c r="G91" s="7" t="s">
        <v>1143</v>
      </c>
      <c r="H91" s="323"/>
      <c r="I91" s="32"/>
      <c r="J91" s="323"/>
      <c r="K91" s="32" t="s">
        <v>1139</v>
      </c>
      <c r="L91" s="34" t="s">
        <v>787</v>
      </c>
      <c r="M91" s="65" t="s">
        <v>2306</v>
      </c>
      <c r="N91" s="35">
        <v>85</v>
      </c>
      <c r="O91" s="65" t="s">
        <v>1835</v>
      </c>
      <c r="P91" s="36" t="s">
        <v>1175</v>
      </c>
      <c r="Q91" s="36"/>
      <c r="R91" s="36"/>
      <c r="S91" s="36"/>
      <c r="T91" s="36"/>
      <c r="U91" s="36"/>
      <c r="V91" s="36"/>
      <c r="W91" s="36"/>
      <c r="X91" s="36"/>
      <c r="Y91" s="36"/>
      <c r="Z91" s="36"/>
    </row>
    <row r="92" spans="1:26" ht="15.75" customHeight="1">
      <c r="A92" s="191">
        <v>262</v>
      </c>
      <c r="B92" s="33">
        <v>2000</v>
      </c>
      <c r="D92" s="32" t="s">
        <v>1287</v>
      </c>
      <c r="E92" s="32" t="s">
        <v>1288</v>
      </c>
      <c r="F92" s="32" t="s">
        <v>1289</v>
      </c>
      <c r="G92" s="7" t="s">
        <v>1143</v>
      </c>
      <c r="H92" s="323"/>
      <c r="I92" s="32"/>
      <c r="J92" s="323"/>
      <c r="K92" s="32" t="s">
        <v>1139</v>
      </c>
      <c r="L92" s="34" t="s">
        <v>787</v>
      </c>
      <c r="M92" s="65" t="s">
        <v>2306</v>
      </c>
      <c r="N92" s="35">
        <v>85</v>
      </c>
      <c r="O92" s="65" t="s">
        <v>1835</v>
      </c>
      <c r="P92" s="36" t="s">
        <v>1175</v>
      </c>
      <c r="Q92" s="36"/>
      <c r="R92" s="36"/>
      <c r="S92" s="36"/>
      <c r="T92" s="36"/>
      <c r="U92" s="36"/>
      <c r="V92" s="36"/>
      <c r="W92" s="36"/>
      <c r="X92" s="36"/>
      <c r="Y92" s="36"/>
      <c r="Z92" s="36"/>
    </row>
    <row r="93" spans="1:26" ht="15.75" customHeight="1">
      <c r="A93" s="191">
        <v>264</v>
      </c>
      <c r="B93" s="33">
        <v>2000</v>
      </c>
      <c r="D93" s="32" t="s">
        <v>1297</v>
      </c>
      <c r="E93" s="32" t="s">
        <v>1298</v>
      </c>
      <c r="F93" s="32" t="s">
        <v>1299</v>
      </c>
      <c r="G93" s="7" t="s">
        <v>1143</v>
      </c>
      <c r="H93" s="324"/>
      <c r="I93" s="32"/>
      <c r="J93" s="324"/>
      <c r="K93" s="32" t="s">
        <v>1139</v>
      </c>
      <c r="L93" s="34" t="s">
        <v>787</v>
      </c>
      <c r="M93" s="65" t="s">
        <v>2306</v>
      </c>
      <c r="N93" s="35">
        <v>85</v>
      </c>
      <c r="O93" s="65" t="s">
        <v>1835</v>
      </c>
      <c r="P93" s="36" t="s">
        <v>1175</v>
      </c>
      <c r="Q93" s="36"/>
      <c r="R93" s="36"/>
      <c r="S93" s="36"/>
      <c r="T93" s="36"/>
      <c r="U93" s="36"/>
      <c r="V93" s="36"/>
      <c r="W93" s="36"/>
      <c r="X93" s="36"/>
      <c r="Y93" s="36"/>
      <c r="Z93" s="36"/>
    </row>
    <row r="94" spans="1:26" ht="15.75" customHeight="1">
      <c r="A94" s="66">
        <v>265</v>
      </c>
      <c r="B94" s="6">
        <v>2000</v>
      </c>
      <c r="D94" s="7" t="s">
        <v>1302</v>
      </c>
      <c r="E94" s="7" t="s">
        <v>1303</v>
      </c>
      <c r="F94" s="7" t="s">
        <v>1304</v>
      </c>
      <c r="G94" s="7" t="s">
        <v>1147</v>
      </c>
      <c r="H94" s="424" t="s">
        <v>2378</v>
      </c>
      <c r="I94" s="21"/>
      <c r="J94" s="329">
        <v>1112016009</v>
      </c>
      <c r="K94" s="7" t="s">
        <v>1139</v>
      </c>
      <c r="L94" s="12" t="s">
        <v>787</v>
      </c>
      <c r="M94" s="190">
        <v>0.75</v>
      </c>
      <c r="N94" s="1">
        <v>85</v>
      </c>
      <c r="O94" s="53" t="s">
        <v>2305</v>
      </c>
      <c r="P94" s="13" t="s">
        <v>1175</v>
      </c>
    </row>
    <row r="95" spans="1:26" ht="15.75" customHeight="1">
      <c r="A95" s="191">
        <v>266</v>
      </c>
      <c r="B95" s="33">
        <v>2000</v>
      </c>
      <c r="D95" s="32" t="s">
        <v>1306</v>
      </c>
      <c r="E95" s="32" t="s">
        <v>1307</v>
      </c>
      <c r="F95" s="32" t="s">
        <v>1308</v>
      </c>
      <c r="G95" s="7" t="s">
        <v>1147</v>
      </c>
      <c r="H95" s="323"/>
      <c r="I95" s="32"/>
      <c r="J95" s="323"/>
      <c r="K95" s="32" t="s">
        <v>1139</v>
      </c>
      <c r="L95" s="34" t="s">
        <v>787</v>
      </c>
      <c r="M95" s="192">
        <v>0.75</v>
      </c>
      <c r="N95" s="35">
        <v>85</v>
      </c>
      <c r="O95" s="65" t="s">
        <v>2305</v>
      </c>
      <c r="P95" s="36" t="s">
        <v>1175</v>
      </c>
      <c r="Q95" s="36"/>
      <c r="R95" s="36"/>
      <c r="S95" s="36"/>
      <c r="T95" s="36"/>
      <c r="U95" s="36"/>
      <c r="V95" s="36"/>
      <c r="W95" s="36"/>
      <c r="X95" s="36"/>
      <c r="Y95" s="36"/>
      <c r="Z95" s="36"/>
    </row>
    <row r="96" spans="1:26" ht="15.75" customHeight="1">
      <c r="A96" s="191">
        <v>267</v>
      </c>
      <c r="B96" s="33">
        <v>2000</v>
      </c>
      <c r="D96" s="32" t="s">
        <v>1310</v>
      </c>
      <c r="E96" s="32" t="s">
        <v>1311</v>
      </c>
      <c r="F96" s="32" t="s">
        <v>1312</v>
      </c>
      <c r="G96" s="7" t="s">
        <v>1147</v>
      </c>
      <c r="H96" s="323"/>
      <c r="I96" s="32"/>
      <c r="J96" s="323"/>
      <c r="K96" s="32" t="s">
        <v>1139</v>
      </c>
      <c r="L96" s="34" t="s">
        <v>787</v>
      </c>
      <c r="M96" s="192">
        <v>0.83333333333333337</v>
      </c>
      <c r="N96" s="35">
        <v>85</v>
      </c>
      <c r="O96" s="65" t="s">
        <v>1835</v>
      </c>
      <c r="P96" s="36" t="s">
        <v>1175</v>
      </c>
      <c r="Q96" s="36"/>
      <c r="R96" s="36"/>
      <c r="S96" s="36"/>
      <c r="T96" s="36"/>
      <c r="U96" s="36"/>
      <c r="V96" s="36"/>
      <c r="W96" s="36"/>
      <c r="X96" s="36"/>
      <c r="Y96" s="36"/>
      <c r="Z96" s="36"/>
    </row>
    <row r="97" spans="1:26" ht="15.75" customHeight="1">
      <c r="A97" s="191">
        <v>268</v>
      </c>
      <c r="B97" s="33">
        <v>2000</v>
      </c>
      <c r="D97" s="32" t="s">
        <v>1314</v>
      </c>
      <c r="E97" s="32" t="s">
        <v>1315</v>
      </c>
      <c r="F97" s="32" t="s">
        <v>1316</v>
      </c>
      <c r="G97" s="7" t="s">
        <v>1147</v>
      </c>
      <c r="H97" s="323"/>
      <c r="I97" s="32"/>
      <c r="J97" s="323"/>
      <c r="K97" s="32" t="s">
        <v>1139</v>
      </c>
      <c r="L97" s="34" t="s">
        <v>787</v>
      </c>
      <c r="M97" s="192">
        <v>0.83333333333333337</v>
      </c>
      <c r="N97" s="35">
        <v>85</v>
      </c>
      <c r="O97" s="65" t="s">
        <v>1835</v>
      </c>
      <c r="P97" s="36" t="s">
        <v>1175</v>
      </c>
      <c r="Q97" s="36"/>
      <c r="R97" s="36"/>
      <c r="S97" s="36"/>
      <c r="T97" s="36"/>
      <c r="U97" s="36"/>
      <c r="V97" s="36"/>
      <c r="W97" s="36"/>
      <c r="X97" s="36"/>
      <c r="Y97" s="36"/>
      <c r="Z97" s="36"/>
    </row>
    <row r="98" spans="1:26" ht="15.75" customHeight="1">
      <c r="A98" s="191">
        <v>269</v>
      </c>
      <c r="B98" s="33">
        <v>2000</v>
      </c>
      <c r="D98" s="32" t="s">
        <v>1318</v>
      </c>
      <c r="E98" s="32" t="s">
        <v>1319</v>
      </c>
      <c r="F98" s="32" t="s">
        <v>1320</v>
      </c>
      <c r="G98" s="7" t="s">
        <v>1147</v>
      </c>
      <c r="H98" s="323"/>
      <c r="I98" s="32"/>
      <c r="J98" s="323"/>
      <c r="K98" s="32" t="s">
        <v>1139</v>
      </c>
      <c r="L98" s="34" t="s">
        <v>787</v>
      </c>
      <c r="M98" s="192">
        <v>0.83333333333333337</v>
      </c>
      <c r="N98" s="35">
        <v>85</v>
      </c>
      <c r="O98" s="65" t="s">
        <v>1835</v>
      </c>
      <c r="P98" s="36" t="s">
        <v>1175</v>
      </c>
      <c r="Q98" s="36"/>
      <c r="R98" s="36"/>
      <c r="S98" s="36"/>
      <c r="T98" s="36"/>
      <c r="U98" s="36"/>
      <c r="V98" s="36"/>
      <c r="W98" s="36"/>
      <c r="X98" s="36"/>
      <c r="Y98" s="36"/>
      <c r="Z98" s="36"/>
    </row>
    <row r="99" spans="1:26" ht="15.75" customHeight="1">
      <c r="A99" s="191">
        <v>270</v>
      </c>
      <c r="B99" s="33">
        <v>2000</v>
      </c>
      <c r="D99" s="32" t="s">
        <v>1322</v>
      </c>
      <c r="E99" s="32" t="s">
        <v>1323</v>
      </c>
      <c r="F99" s="32" t="s">
        <v>1324</v>
      </c>
      <c r="G99" s="7" t="s">
        <v>1147</v>
      </c>
      <c r="H99" s="324"/>
      <c r="I99" s="32"/>
      <c r="J99" s="324"/>
      <c r="K99" s="32" t="s">
        <v>1139</v>
      </c>
      <c r="L99" s="34" t="s">
        <v>787</v>
      </c>
      <c r="M99" s="192">
        <v>0.83333333333333337</v>
      </c>
      <c r="N99" s="35">
        <v>85</v>
      </c>
      <c r="O99" s="65" t="s">
        <v>1835</v>
      </c>
      <c r="P99" s="36" t="s">
        <v>1175</v>
      </c>
      <c r="Q99" s="36"/>
      <c r="R99" s="36"/>
      <c r="S99" s="36"/>
      <c r="T99" s="36"/>
      <c r="U99" s="36"/>
      <c r="V99" s="36"/>
      <c r="W99" s="36"/>
      <c r="X99" s="36"/>
      <c r="Y99" s="36"/>
      <c r="Z99" s="36"/>
    </row>
    <row r="100" spans="1:26" ht="15.75" customHeight="1">
      <c r="A100" s="66">
        <v>271</v>
      </c>
      <c r="B100" s="6">
        <v>2000</v>
      </c>
      <c r="D100" s="7" t="s">
        <v>1326</v>
      </c>
      <c r="E100" s="7" t="s">
        <v>1327</v>
      </c>
      <c r="F100" s="7" t="s">
        <v>1328</v>
      </c>
      <c r="G100" s="7" t="s">
        <v>1151</v>
      </c>
      <c r="H100" s="424" t="s">
        <v>2379</v>
      </c>
      <c r="I100" s="21"/>
      <c r="J100" s="329">
        <v>1112016015</v>
      </c>
      <c r="K100" s="7" t="s">
        <v>1139</v>
      </c>
      <c r="L100" s="12" t="s">
        <v>787</v>
      </c>
      <c r="M100" s="190">
        <v>0.83333333333333337</v>
      </c>
      <c r="N100" s="1">
        <v>85</v>
      </c>
      <c r="O100" s="53" t="s">
        <v>1835</v>
      </c>
      <c r="P100" s="13" t="s">
        <v>1175</v>
      </c>
    </row>
    <row r="101" spans="1:26" ht="15.75" customHeight="1">
      <c r="A101" s="191">
        <v>272</v>
      </c>
      <c r="B101" s="33">
        <v>2000</v>
      </c>
      <c r="D101" s="32" t="s">
        <v>1330</v>
      </c>
      <c r="E101" s="32" t="s">
        <v>1331</v>
      </c>
      <c r="F101" s="32" t="s">
        <v>1332</v>
      </c>
      <c r="G101" s="7" t="s">
        <v>1151</v>
      </c>
      <c r="H101" s="323"/>
      <c r="I101" s="32"/>
      <c r="J101" s="323"/>
      <c r="K101" s="32" t="s">
        <v>1139</v>
      </c>
      <c r="L101" s="34" t="s">
        <v>787</v>
      </c>
      <c r="M101" s="192">
        <v>0.83333333333333337</v>
      </c>
      <c r="N101" s="35">
        <v>85</v>
      </c>
      <c r="O101" s="65" t="s">
        <v>1835</v>
      </c>
      <c r="P101" s="36" t="s">
        <v>1175</v>
      </c>
      <c r="Q101" s="36"/>
      <c r="R101" s="36"/>
      <c r="S101" s="36"/>
      <c r="T101" s="36"/>
      <c r="U101" s="36"/>
      <c r="V101" s="36"/>
      <c r="W101" s="36"/>
      <c r="X101" s="36"/>
      <c r="Y101" s="36"/>
      <c r="Z101" s="36"/>
    </row>
    <row r="102" spans="1:26" ht="15.75" customHeight="1">
      <c r="A102" s="191">
        <v>273</v>
      </c>
      <c r="B102" s="33">
        <v>2000</v>
      </c>
      <c r="D102" s="32" t="s">
        <v>1334</v>
      </c>
      <c r="E102" s="32" t="s">
        <v>1335</v>
      </c>
      <c r="F102" s="32" t="s">
        <v>1336</v>
      </c>
      <c r="G102" s="7" t="s">
        <v>1151</v>
      </c>
      <c r="H102" s="323"/>
      <c r="I102" s="32"/>
      <c r="J102" s="323"/>
      <c r="K102" s="32" t="s">
        <v>1139</v>
      </c>
      <c r="L102" s="34" t="s">
        <v>787</v>
      </c>
      <c r="M102" s="192">
        <v>0.83333333333333337</v>
      </c>
      <c r="N102" s="35">
        <v>85</v>
      </c>
      <c r="O102" s="65" t="s">
        <v>1835</v>
      </c>
      <c r="P102" s="36" t="s">
        <v>1175</v>
      </c>
      <c r="Q102" s="36"/>
      <c r="R102" s="36"/>
      <c r="S102" s="36"/>
      <c r="T102" s="36"/>
      <c r="U102" s="36"/>
      <c r="V102" s="36"/>
      <c r="W102" s="36"/>
      <c r="X102" s="36"/>
      <c r="Y102" s="36"/>
      <c r="Z102" s="36"/>
    </row>
    <row r="103" spans="1:26" ht="15.75" customHeight="1">
      <c r="A103" s="191">
        <v>274</v>
      </c>
      <c r="B103" s="33">
        <v>2000</v>
      </c>
      <c r="D103" s="32" t="s">
        <v>1338</v>
      </c>
      <c r="E103" s="32" t="s">
        <v>1339</v>
      </c>
      <c r="F103" s="32" t="s">
        <v>1340</v>
      </c>
      <c r="G103" s="7" t="s">
        <v>1151</v>
      </c>
      <c r="H103" s="323"/>
      <c r="I103" s="32"/>
      <c r="J103" s="323"/>
      <c r="K103" s="32" t="s">
        <v>1139</v>
      </c>
      <c r="L103" s="34" t="s">
        <v>787</v>
      </c>
      <c r="M103" s="192">
        <v>0.83333333333333337</v>
      </c>
      <c r="N103" s="35">
        <v>85</v>
      </c>
      <c r="O103" s="65" t="s">
        <v>1835</v>
      </c>
      <c r="P103" s="36" t="s">
        <v>1175</v>
      </c>
      <c r="Q103" s="36"/>
      <c r="R103" s="36"/>
      <c r="S103" s="36"/>
      <c r="T103" s="36"/>
      <c r="U103" s="36"/>
      <c r="V103" s="36"/>
      <c r="W103" s="36"/>
      <c r="X103" s="36"/>
      <c r="Y103" s="36"/>
      <c r="Z103" s="36"/>
    </row>
    <row r="104" spans="1:26" ht="15.75" customHeight="1">
      <c r="A104" s="191">
        <v>275</v>
      </c>
      <c r="B104" s="33">
        <v>2000</v>
      </c>
      <c r="D104" s="32" t="s">
        <v>1342</v>
      </c>
      <c r="E104" s="32" t="s">
        <v>1343</v>
      </c>
      <c r="F104" s="32" t="s">
        <v>1344</v>
      </c>
      <c r="G104" s="7" t="s">
        <v>1151</v>
      </c>
      <c r="H104" s="323"/>
      <c r="I104" s="32"/>
      <c r="J104" s="323"/>
      <c r="K104" s="32" t="s">
        <v>1139</v>
      </c>
      <c r="L104" s="34" t="s">
        <v>787</v>
      </c>
      <c r="M104" s="192">
        <v>0.75</v>
      </c>
      <c r="N104" s="35">
        <v>85</v>
      </c>
      <c r="O104" s="65" t="s">
        <v>2305</v>
      </c>
      <c r="P104" s="36" t="s">
        <v>1175</v>
      </c>
      <c r="Q104" s="36"/>
      <c r="R104" s="36"/>
      <c r="S104" s="36"/>
      <c r="T104" s="36"/>
      <c r="U104" s="36"/>
      <c r="V104" s="36"/>
      <c r="W104" s="36"/>
      <c r="X104" s="36"/>
      <c r="Y104" s="36"/>
      <c r="Z104" s="36"/>
    </row>
    <row r="105" spans="1:26" ht="15.75" customHeight="1">
      <c r="A105" s="191">
        <v>276</v>
      </c>
      <c r="B105" s="33">
        <v>2000</v>
      </c>
      <c r="D105" s="32" t="s">
        <v>1346</v>
      </c>
      <c r="E105" s="32" t="s">
        <v>1347</v>
      </c>
      <c r="F105" s="32" t="s">
        <v>1348</v>
      </c>
      <c r="G105" s="7" t="s">
        <v>1151</v>
      </c>
      <c r="H105" s="324"/>
      <c r="I105" s="32"/>
      <c r="J105" s="324"/>
      <c r="K105" s="32" t="s">
        <v>1139</v>
      </c>
      <c r="L105" s="34" t="s">
        <v>2307</v>
      </c>
      <c r="M105" s="65" t="s">
        <v>2306</v>
      </c>
      <c r="N105" s="35">
        <v>85</v>
      </c>
      <c r="O105" s="65" t="s">
        <v>2305</v>
      </c>
      <c r="P105" s="36" t="s">
        <v>1175</v>
      </c>
      <c r="Q105" s="36"/>
      <c r="R105" s="36"/>
      <c r="S105" s="36"/>
      <c r="T105" s="36"/>
      <c r="U105" s="36"/>
      <c r="V105" s="36"/>
      <c r="W105" s="36"/>
      <c r="X105" s="36"/>
      <c r="Y105" s="36"/>
      <c r="Z105" s="36"/>
    </row>
    <row r="106" spans="1:26" ht="15.75" customHeight="1"/>
    <row r="107" spans="1:26" ht="15.75" customHeight="1">
      <c r="A107" s="66">
        <v>348</v>
      </c>
      <c r="B107" s="6">
        <v>2000</v>
      </c>
      <c r="C107" s="13" t="s">
        <v>1548</v>
      </c>
      <c r="D107" s="7"/>
      <c r="E107" s="7"/>
      <c r="F107" s="7"/>
      <c r="G107" s="7" t="s">
        <v>1443</v>
      </c>
      <c r="H107" s="21" t="s">
        <v>1619</v>
      </c>
      <c r="I107" s="21" t="s">
        <v>1620</v>
      </c>
      <c r="J107" s="6"/>
      <c r="K107" s="7" t="s">
        <v>1553</v>
      </c>
      <c r="L107" s="12" t="s">
        <v>787</v>
      </c>
      <c r="M107" s="12" t="s">
        <v>2304</v>
      </c>
      <c r="N107" s="1">
        <v>85</v>
      </c>
      <c r="O107" s="12" t="s">
        <v>2305</v>
      </c>
      <c r="P107" s="13" t="s">
        <v>1554</v>
      </c>
    </row>
    <row r="108" spans="1:26" ht="15.75" customHeight="1"/>
    <row r="109" spans="1:26" ht="15.75" customHeight="1">
      <c r="A109" s="191">
        <v>349</v>
      </c>
      <c r="B109" s="33">
        <v>2000</v>
      </c>
      <c r="C109" s="416" t="s">
        <v>1621</v>
      </c>
      <c r="D109" s="32" t="s">
        <v>1622</v>
      </c>
      <c r="E109" s="32" t="s">
        <v>1623</v>
      </c>
      <c r="F109" s="32" t="s">
        <v>1104</v>
      </c>
      <c r="G109" s="7" t="s">
        <v>1446</v>
      </c>
      <c r="H109" s="423" t="s">
        <v>1634</v>
      </c>
      <c r="I109" s="32"/>
      <c r="J109" s="322">
        <v>1112042006</v>
      </c>
      <c r="K109" s="32" t="s">
        <v>1553</v>
      </c>
      <c r="L109" s="34" t="s">
        <v>787</v>
      </c>
      <c r="M109" s="34" t="s">
        <v>788</v>
      </c>
      <c r="N109" s="35">
        <v>85</v>
      </c>
      <c r="O109" s="34" t="s">
        <v>1835</v>
      </c>
      <c r="P109" s="36" t="s">
        <v>1554</v>
      </c>
      <c r="Q109" s="36"/>
      <c r="R109" s="36"/>
      <c r="S109" s="36"/>
      <c r="T109" s="36"/>
      <c r="U109" s="36"/>
      <c r="V109" s="36"/>
      <c r="W109" s="36"/>
      <c r="X109" s="36"/>
      <c r="Y109" s="36"/>
      <c r="Z109" s="36"/>
    </row>
    <row r="110" spans="1:26" ht="15.75" customHeight="1">
      <c r="A110" s="191">
        <v>350</v>
      </c>
      <c r="B110" s="33">
        <v>2000</v>
      </c>
      <c r="C110" s="323"/>
      <c r="D110" s="32" t="s">
        <v>1626</v>
      </c>
      <c r="E110" s="32" t="s">
        <v>1627</v>
      </c>
      <c r="F110" s="32" t="s">
        <v>1107</v>
      </c>
      <c r="G110" s="7" t="s">
        <v>1446</v>
      </c>
      <c r="H110" s="323"/>
      <c r="I110" s="32"/>
      <c r="J110" s="323"/>
      <c r="K110" s="32" t="s">
        <v>1553</v>
      </c>
      <c r="L110" s="34" t="s">
        <v>787</v>
      </c>
      <c r="M110" s="34" t="s">
        <v>788</v>
      </c>
      <c r="N110" s="35">
        <v>85</v>
      </c>
      <c r="O110" s="34" t="s">
        <v>1835</v>
      </c>
      <c r="P110" s="36" t="s">
        <v>1554</v>
      </c>
      <c r="Q110" s="36"/>
      <c r="R110" s="36"/>
      <c r="S110" s="36"/>
      <c r="T110" s="36"/>
      <c r="U110" s="36"/>
      <c r="V110" s="36"/>
      <c r="W110" s="36"/>
      <c r="X110" s="36"/>
      <c r="Y110" s="36"/>
      <c r="Z110" s="36"/>
    </row>
    <row r="111" spans="1:26" ht="15.75" customHeight="1">
      <c r="A111" s="191">
        <v>351</v>
      </c>
      <c r="B111" s="33">
        <v>2000</v>
      </c>
      <c r="C111" s="323"/>
      <c r="D111" s="32" t="s">
        <v>1629</v>
      </c>
      <c r="E111" s="32" t="s">
        <v>1630</v>
      </c>
      <c r="F111" s="32" t="s">
        <v>1109</v>
      </c>
      <c r="G111" s="7" t="s">
        <v>1446</v>
      </c>
      <c r="H111" s="323"/>
      <c r="I111" s="32"/>
      <c r="J111" s="323"/>
      <c r="K111" s="32" t="s">
        <v>1553</v>
      </c>
      <c r="L111" s="34" t="s">
        <v>787</v>
      </c>
      <c r="M111" s="34" t="s">
        <v>788</v>
      </c>
      <c r="N111" s="35">
        <v>85</v>
      </c>
      <c r="O111" s="34" t="s">
        <v>1835</v>
      </c>
      <c r="P111" s="36" t="s">
        <v>1554</v>
      </c>
      <c r="Q111" s="36"/>
      <c r="R111" s="36"/>
      <c r="S111" s="36"/>
      <c r="T111" s="36"/>
      <c r="U111" s="36"/>
      <c r="V111" s="36"/>
      <c r="W111" s="36"/>
      <c r="X111" s="36"/>
      <c r="Y111" s="36"/>
      <c r="Z111" s="36"/>
    </row>
    <row r="112" spans="1:26" ht="15.75" customHeight="1">
      <c r="A112" s="66">
        <v>352</v>
      </c>
      <c r="B112" s="6">
        <v>2000</v>
      </c>
      <c r="C112" s="324"/>
      <c r="D112" s="7" t="s">
        <v>1632</v>
      </c>
      <c r="E112" s="7" t="s">
        <v>1633</v>
      </c>
      <c r="F112" s="7" t="s">
        <v>1174</v>
      </c>
      <c r="G112" s="7" t="s">
        <v>1446</v>
      </c>
      <c r="H112" s="324"/>
      <c r="I112" s="21"/>
      <c r="J112" s="324"/>
      <c r="K112" s="7" t="s">
        <v>1553</v>
      </c>
      <c r="L112" s="12" t="s">
        <v>787</v>
      </c>
      <c r="M112" s="12" t="s">
        <v>788</v>
      </c>
      <c r="N112" s="1">
        <v>85</v>
      </c>
      <c r="O112" s="12" t="s">
        <v>1835</v>
      </c>
      <c r="P112" s="13" t="s">
        <v>1554</v>
      </c>
    </row>
    <row r="113" spans="1:26" ht="15.75" customHeight="1"/>
    <row r="114" spans="1:26" ht="15.75" customHeight="1">
      <c r="A114" s="66">
        <v>355</v>
      </c>
      <c r="B114" s="6">
        <v>2000</v>
      </c>
      <c r="C114" s="416" t="s">
        <v>1456</v>
      </c>
      <c r="D114" s="7" t="s">
        <v>1644</v>
      </c>
      <c r="E114" s="7" t="s">
        <v>1645</v>
      </c>
      <c r="F114" s="7" t="s">
        <v>1187</v>
      </c>
      <c r="G114" s="7" t="s">
        <v>1459</v>
      </c>
      <c r="H114" s="423" t="s">
        <v>2380</v>
      </c>
      <c r="I114" s="21" t="s">
        <v>2381</v>
      </c>
      <c r="J114" s="322">
        <v>1112042007</v>
      </c>
      <c r="K114" s="7" t="s">
        <v>1553</v>
      </c>
      <c r="L114" s="12" t="s">
        <v>787</v>
      </c>
      <c r="M114" s="12" t="s">
        <v>2323</v>
      </c>
      <c r="N114" s="1">
        <v>85</v>
      </c>
      <c r="O114" s="12" t="s">
        <v>1835</v>
      </c>
      <c r="P114" s="13" t="s">
        <v>1554</v>
      </c>
    </row>
    <row r="115" spans="1:26" ht="15.75" customHeight="1">
      <c r="A115" s="191">
        <v>356</v>
      </c>
      <c r="B115" s="33">
        <v>2000</v>
      </c>
      <c r="C115" s="323"/>
      <c r="D115" s="32" t="s">
        <v>1651</v>
      </c>
      <c r="E115" s="32" t="s">
        <v>1652</v>
      </c>
      <c r="F115" s="32" t="s">
        <v>1191</v>
      </c>
      <c r="G115" s="7" t="s">
        <v>1459</v>
      </c>
      <c r="H115" s="323"/>
      <c r="I115" s="32"/>
      <c r="J115" s="323"/>
      <c r="K115" s="32" t="s">
        <v>1553</v>
      </c>
      <c r="L115" s="34" t="s">
        <v>787</v>
      </c>
      <c r="M115" s="34" t="s">
        <v>2323</v>
      </c>
      <c r="N115" s="35">
        <v>85</v>
      </c>
      <c r="O115" s="34" t="s">
        <v>1835</v>
      </c>
      <c r="P115" s="36" t="s">
        <v>1554</v>
      </c>
      <c r="Q115" s="36"/>
      <c r="R115" s="36"/>
      <c r="S115" s="36"/>
      <c r="T115" s="36"/>
      <c r="U115" s="36"/>
      <c r="V115" s="36"/>
      <c r="W115" s="36"/>
      <c r="X115" s="36"/>
      <c r="Y115" s="36"/>
      <c r="Z115" s="36"/>
    </row>
    <row r="116" spans="1:26" ht="15.75" customHeight="1">
      <c r="A116" s="191">
        <v>357</v>
      </c>
      <c r="B116" s="33">
        <v>2000</v>
      </c>
      <c r="C116" s="324"/>
      <c r="D116" s="32" t="s">
        <v>1659</v>
      </c>
      <c r="E116" s="32" t="s">
        <v>1660</v>
      </c>
      <c r="F116" s="32" t="s">
        <v>1195</v>
      </c>
      <c r="G116" s="7" t="s">
        <v>1459</v>
      </c>
      <c r="H116" s="324"/>
      <c r="I116" s="32"/>
      <c r="J116" s="324"/>
      <c r="K116" s="32" t="s">
        <v>1553</v>
      </c>
      <c r="L116" s="34" t="s">
        <v>787</v>
      </c>
      <c r="M116" s="34" t="s">
        <v>2323</v>
      </c>
      <c r="N116" s="35">
        <v>85</v>
      </c>
      <c r="O116" s="34" t="s">
        <v>1835</v>
      </c>
      <c r="P116" s="36" t="s">
        <v>1554</v>
      </c>
      <c r="Q116" s="36"/>
      <c r="R116" s="36"/>
      <c r="S116" s="36"/>
      <c r="T116" s="36"/>
      <c r="U116" s="36"/>
      <c r="V116" s="36"/>
      <c r="W116" s="36"/>
      <c r="X116" s="36"/>
      <c r="Y116" s="36"/>
      <c r="Z116" s="36"/>
    </row>
    <row r="117" spans="1:26" ht="15.75" customHeight="1">
      <c r="A117" s="191"/>
      <c r="B117" s="33"/>
      <c r="C117" s="56"/>
      <c r="D117" s="32"/>
      <c r="E117" s="32"/>
      <c r="F117" s="32"/>
      <c r="G117" s="32"/>
      <c r="H117" s="32"/>
      <c r="I117" s="32"/>
      <c r="J117" s="33"/>
      <c r="K117" s="32"/>
      <c r="L117" s="33"/>
      <c r="M117" s="33"/>
      <c r="N117" s="35"/>
      <c r="O117" s="33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</row>
    <row r="118" spans="1:26" ht="15.75" customHeight="1">
      <c r="A118" s="66">
        <v>358</v>
      </c>
      <c r="B118" s="6">
        <v>2000</v>
      </c>
      <c r="C118" s="419" t="s">
        <v>1514</v>
      </c>
      <c r="D118" s="7" t="s">
        <v>1667</v>
      </c>
      <c r="E118" s="7" t="s">
        <v>1668</v>
      </c>
      <c r="F118" s="7" t="s">
        <v>1221</v>
      </c>
      <c r="G118" s="7" t="s">
        <v>1463</v>
      </c>
      <c r="H118" s="423" t="s">
        <v>1669</v>
      </c>
      <c r="I118" s="21" t="s">
        <v>1670</v>
      </c>
      <c r="J118" s="6">
        <v>1112044003</v>
      </c>
      <c r="K118" s="7" t="s">
        <v>1553</v>
      </c>
      <c r="L118" s="12" t="s">
        <v>787</v>
      </c>
      <c r="M118" s="12" t="s">
        <v>2323</v>
      </c>
      <c r="N118" s="1">
        <v>85</v>
      </c>
      <c r="O118" s="12" t="s">
        <v>1835</v>
      </c>
      <c r="P118" s="13" t="s">
        <v>1554</v>
      </c>
    </row>
    <row r="119" spans="1:26" ht="15.75" customHeight="1">
      <c r="A119" s="191">
        <v>359</v>
      </c>
      <c r="B119" s="33">
        <v>2000</v>
      </c>
      <c r="C119" s="323"/>
      <c r="D119" s="32" t="s">
        <v>1671</v>
      </c>
      <c r="E119" s="32" t="s">
        <v>1672</v>
      </c>
      <c r="F119" s="32" t="s">
        <v>1229</v>
      </c>
      <c r="G119" s="7" t="s">
        <v>1463</v>
      </c>
      <c r="H119" s="323"/>
      <c r="I119" s="32"/>
      <c r="J119" s="33">
        <v>1112044004</v>
      </c>
      <c r="K119" s="32" t="s">
        <v>1553</v>
      </c>
      <c r="L119" s="34" t="s">
        <v>787</v>
      </c>
      <c r="M119" s="34" t="s">
        <v>2323</v>
      </c>
      <c r="N119" s="35">
        <v>85</v>
      </c>
      <c r="O119" s="34" t="s">
        <v>1835</v>
      </c>
      <c r="P119" s="36" t="s">
        <v>1554</v>
      </c>
      <c r="Q119" s="36"/>
      <c r="R119" s="36"/>
      <c r="S119" s="36"/>
      <c r="T119" s="36"/>
      <c r="U119" s="36"/>
      <c r="V119" s="36"/>
      <c r="W119" s="36"/>
      <c r="X119" s="36"/>
      <c r="Y119" s="36"/>
      <c r="Z119" s="36"/>
    </row>
    <row r="120" spans="1:26" ht="15.75" customHeight="1">
      <c r="A120" s="191">
        <v>360</v>
      </c>
      <c r="B120" s="33">
        <v>2000</v>
      </c>
      <c r="C120" s="324"/>
      <c r="D120" s="32" t="s">
        <v>1673</v>
      </c>
      <c r="E120" s="32" t="s">
        <v>1674</v>
      </c>
      <c r="F120" s="32" t="s">
        <v>1233</v>
      </c>
      <c r="G120" s="7" t="s">
        <v>1463</v>
      </c>
      <c r="H120" s="324"/>
      <c r="I120" s="32"/>
      <c r="J120" s="33">
        <v>1112044005</v>
      </c>
      <c r="K120" s="32" t="s">
        <v>1553</v>
      </c>
      <c r="L120" s="34" t="s">
        <v>787</v>
      </c>
      <c r="M120" s="34" t="s">
        <v>2323</v>
      </c>
      <c r="N120" s="35">
        <v>85</v>
      </c>
      <c r="O120" s="34" t="s">
        <v>1835</v>
      </c>
      <c r="P120" s="36" t="s">
        <v>1554</v>
      </c>
      <c r="Q120" s="36"/>
      <c r="R120" s="36"/>
      <c r="S120" s="36"/>
      <c r="T120" s="36"/>
      <c r="U120" s="36"/>
      <c r="V120" s="36"/>
      <c r="W120" s="36"/>
      <c r="X120" s="36"/>
      <c r="Y120" s="36"/>
      <c r="Z120" s="36"/>
    </row>
    <row r="121" spans="1:26" ht="15.75" customHeight="1">
      <c r="A121" s="191"/>
      <c r="B121" s="33"/>
      <c r="C121" s="55"/>
      <c r="D121" s="32"/>
      <c r="E121" s="32"/>
      <c r="F121" s="32"/>
      <c r="G121" s="32"/>
      <c r="H121" s="32"/>
      <c r="I121" s="32"/>
      <c r="J121" s="33"/>
      <c r="K121" s="32"/>
      <c r="L121" s="33"/>
      <c r="M121" s="33"/>
      <c r="N121" s="35"/>
      <c r="O121" s="33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</row>
    <row r="122" spans="1:26" ht="15.75" customHeight="1">
      <c r="A122" s="191">
        <v>361</v>
      </c>
      <c r="B122" s="33">
        <v>2000</v>
      </c>
      <c r="C122" s="416" t="s">
        <v>1675</v>
      </c>
      <c r="D122" s="32" t="s">
        <v>1676</v>
      </c>
      <c r="E122" s="32" t="s">
        <v>1677</v>
      </c>
      <c r="F122" s="32" t="s">
        <v>1237</v>
      </c>
      <c r="G122" s="7" t="s">
        <v>1467</v>
      </c>
      <c r="H122" s="21" t="s">
        <v>1689</v>
      </c>
      <c r="I122" s="32"/>
      <c r="J122" s="322" t="s">
        <v>2324</v>
      </c>
      <c r="K122" s="32" t="s">
        <v>1679</v>
      </c>
      <c r="L122" s="57">
        <v>0.3125</v>
      </c>
      <c r="M122" s="57">
        <v>0.64583333333333337</v>
      </c>
      <c r="N122" s="35">
        <v>85</v>
      </c>
      <c r="O122" s="57">
        <v>4.1666666666666664E-2</v>
      </c>
      <c r="P122" s="36" t="s">
        <v>1680</v>
      </c>
      <c r="Q122" s="36"/>
      <c r="R122" s="36"/>
      <c r="S122" s="36"/>
      <c r="T122" s="36"/>
      <c r="U122" s="36"/>
      <c r="V122" s="36"/>
      <c r="W122" s="36"/>
      <c r="X122" s="36"/>
      <c r="Y122" s="36"/>
      <c r="Z122" s="36"/>
    </row>
    <row r="123" spans="1:26" ht="15.75" customHeight="1">
      <c r="A123" s="191">
        <v>363</v>
      </c>
      <c r="B123" s="33">
        <v>2000</v>
      </c>
      <c r="C123" s="323"/>
      <c r="D123" s="32" t="s">
        <v>1684</v>
      </c>
      <c r="E123" s="32" t="s">
        <v>1685</v>
      </c>
      <c r="F123" s="32" t="s">
        <v>1245</v>
      </c>
      <c r="G123" s="7" t="s">
        <v>1467</v>
      </c>
      <c r="H123" s="21" t="s">
        <v>1689</v>
      </c>
      <c r="I123" s="32"/>
      <c r="J123" s="323"/>
      <c r="K123" s="32" t="s">
        <v>1679</v>
      </c>
      <c r="L123" s="57">
        <v>0.3125</v>
      </c>
      <c r="M123" s="57">
        <v>0.64583333333333337</v>
      </c>
      <c r="N123" s="35">
        <v>85</v>
      </c>
      <c r="O123" s="57">
        <v>4.1666666666666664E-2</v>
      </c>
      <c r="P123" s="36" t="s">
        <v>1680</v>
      </c>
      <c r="Q123" s="36"/>
      <c r="R123" s="36"/>
      <c r="S123" s="36"/>
      <c r="T123" s="36"/>
      <c r="U123" s="36"/>
      <c r="V123" s="36"/>
      <c r="W123" s="36"/>
      <c r="X123" s="36"/>
      <c r="Y123" s="36"/>
      <c r="Z123" s="36"/>
    </row>
    <row r="124" spans="1:26" ht="15.75" customHeight="1">
      <c r="A124" s="66">
        <v>364</v>
      </c>
      <c r="B124" s="6">
        <v>2000</v>
      </c>
      <c r="C124" s="324"/>
      <c r="D124" s="7" t="s">
        <v>1687</v>
      </c>
      <c r="E124" s="7" t="s">
        <v>1688</v>
      </c>
      <c r="F124" s="7" t="s">
        <v>1280</v>
      </c>
      <c r="G124" s="7" t="s">
        <v>1467</v>
      </c>
      <c r="H124" s="21" t="s">
        <v>1689</v>
      </c>
      <c r="I124" s="21"/>
      <c r="J124" s="324"/>
      <c r="K124" s="7" t="s">
        <v>1679</v>
      </c>
      <c r="L124" s="58">
        <v>0.3125</v>
      </c>
      <c r="M124" s="58">
        <v>0.64583333333333337</v>
      </c>
      <c r="N124" s="1">
        <v>85</v>
      </c>
      <c r="O124" s="58">
        <v>4.1666666666666664E-2</v>
      </c>
      <c r="P124" s="13" t="s">
        <v>1680</v>
      </c>
    </row>
    <row r="125" spans="1:26" ht="15.75" customHeight="1"/>
    <row r="126" spans="1:26" ht="15.75" customHeight="1">
      <c r="A126" s="66">
        <v>372</v>
      </c>
      <c r="B126" s="6">
        <v>2000</v>
      </c>
      <c r="C126" s="421" t="s">
        <v>2382</v>
      </c>
      <c r="D126" s="7" t="s">
        <v>1713</v>
      </c>
      <c r="E126" s="7" t="s">
        <v>1714</v>
      </c>
      <c r="F126" s="7" t="s">
        <v>1317</v>
      </c>
      <c r="G126" s="7" t="s">
        <v>1489</v>
      </c>
      <c r="H126" s="7" t="s">
        <v>1715</v>
      </c>
      <c r="I126" s="7" t="s">
        <v>2383</v>
      </c>
      <c r="J126" s="6" t="s">
        <v>1716</v>
      </c>
      <c r="K126" s="7" t="s">
        <v>1679</v>
      </c>
      <c r="L126" s="58">
        <v>0.3125</v>
      </c>
      <c r="M126" s="58">
        <v>0.64583333333333337</v>
      </c>
      <c r="N126" s="1">
        <v>85</v>
      </c>
      <c r="O126" s="58">
        <v>4.1666666666666664E-2</v>
      </c>
      <c r="P126" s="13" t="s">
        <v>1680</v>
      </c>
    </row>
    <row r="127" spans="1:26" ht="15.75" customHeight="1">
      <c r="A127" s="66">
        <v>373</v>
      </c>
      <c r="B127" s="6">
        <v>2000</v>
      </c>
      <c r="C127" s="323"/>
      <c r="D127" s="7"/>
      <c r="E127" s="7"/>
      <c r="F127" s="7" t="s">
        <v>1321</v>
      </c>
      <c r="G127" s="7" t="s">
        <v>1492</v>
      </c>
      <c r="H127" s="7" t="s">
        <v>1717</v>
      </c>
      <c r="I127" s="21" t="s">
        <v>1620</v>
      </c>
      <c r="J127" s="6"/>
      <c r="K127" s="7" t="s">
        <v>1679</v>
      </c>
      <c r="L127" s="58">
        <v>0.3125</v>
      </c>
      <c r="M127" s="58">
        <v>0.64583333333333337</v>
      </c>
      <c r="N127" s="1">
        <v>85</v>
      </c>
      <c r="O127" s="58">
        <v>4.1666666666666664E-2</v>
      </c>
      <c r="P127" s="13" t="s">
        <v>1680</v>
      </c>
    </row>
    <row r="128" spans="1:26" ht="15.75" customHeight="1">
      <c r="A128" s="66">
        <v>374</v>
      </c>
      <c r="B128" s="6">
        <v>2000</v>
      </c>
      <c r="C128" s="323"/>
      <c r="D128" s="7"/>
      <c r="E128" s="7"/>
      <c r="F128" s="7" t="s">
        <v>1325</v>
      </c>
      <c r="G128" s="7" t="s">
        <v>1495</v>
      </c>
      <c r="H128" s="7" t="s">
        <v>1718</v>
      </c>
      <c r="I128" s="21" t="s">
        <v>1620</v>
      </c>
      <c r="J128" s="6"/>
      <c r="K128" s="7" t="s">
        <v>1679</v>
      </c>
      <c r="L128" s="58">
        <v>0.3125</v>
      </c>
      <c r="M128" s="58">
        <v>0.64583333333333337</v>
      </c>
      <c r="N128" s="1">
        <v>85</v>
      </c>
      <c r="O128" s="58">
        <v>4.1666666666666664E-2</v>
      </c>
      <c r="P128" s="13" t="s">
        <v>1680</v>
      </c>
    </row>
    <row r="129" spans="1:26" ht="15.75" customHeight="1">
      <c r="A129" s="66">
        <v>375</v>
      </c>
      <c r="B129" s="6">
        <v>2000</v>
      </c>
      <c r="C129" s="323"/>
      <c r="D129" s="7"/>
      <c r="E129" s="7"/>
      <c r="F129" s="7" t="s">
        <v>1329</v>
      </c>
      <c r="G129" s="7" t="s">
        <v>1498</v>
      </c>
      <c r="H129" s="7" t="s">
        <v>1719</v>
      </c>
      <c r="I129" s="21" t="s">
        <v>1620</v>
      </c>
      <c r="J129" s="6"/>
      <c r="K129" s="7" t="s">
        <v>1679</v>
      </c>
      <c r="L129" s="58">
        <v>0.3125</v>
      </c>
      <c r="M129" s="58">
        <v>0.64583333333333337</v>
      </c>
      <c r="N129" s="1">
        <v>85</v>
      </c>
      <c r="O129" s="58">
        <v>4.1666666666666664E-2</v>
      </c>
      <c r="P129" s="13" t="s">
        <v>1680</v>
      </c>
    </row>
    <row r="130" spans="1:26" ht="15.75" customHeight="1"/>
    <row r="131" spans="1:26" ht="15.75" customHeight="1">
      <c r="A131" s="66">
        <v>376</v>
      </c>
      <c r="B131" s="6">
        <v>2000</v>
      </c>
      <c r="C131" s="416" t="s">
        <v>1720</v>
      </c>
      <c r="D131" s="7" t="s">
        <v>1721</v>
      </c>
      <c r="E131" s="7" t="s">
        <v>1722</v>
      </c>
      <c r="F131" s="7" t="s">
        <v>1333</v>
      </c>
      <c r="G131" s="7" t="s">
        <v>1501</v>
      </c>
      <c r="H131" s="7" t="s">
        <v>1722</v>
      </c>
      <c r="I131" s="7" t="s">
        <v>2383</v>
      </c>
      <c r="J131" s="6" t="s">
        <v>1724</v>
      </c>
      <c r="K131" s="7" t="s">
        <v>1679</v>
      </c>
      <c r="L131" s="58">
        <v>0.3125</v>
      </c>
      <c r="M131" s="58">
        <v>0.64583333333333337</v>
      </c>
      <c r="N131" s="1">
        <v>85</v>
      </c>
      <c r="O131" s="58">
        <v>4.1666666666666664E-2</v>
      </c>
      <c r="P131" s="13" t="s">
        <v>1680</v>
      </c>
    </row>
    <row r="132" spans="1:26" ht="15.75" customHeight="1">
      <c r="A132" s="66">
        <v>377</v>
      </c>
      <c r="B132" s="6">
        <v>2000</v>
      </c>
      <c r="C132" s="323"/>
      <c r="D132" s="7" t="s">
        <v>1725</v>
      </c>
      <c r="E132" s="7" t="s">
        <v>1726</v>
      </c>
      <c r="F132" s="7" t="s">
        <v>1337</v>
      </c>
      <c r="G132" s="7" t="s">
        <v>1504</v>
      </c>
      <c r="H132" s="7" t="s">
        <v>1726</v>
      </c>
      <c r="I132" s="7" t="s">
        <v>2383</v>
      </c>
      <c r="J132" s="6" t="s">
        <v>1727</v>
      </c>
      <c r="K132" s="7" t="s">
        <v>1679</v>
      </c>
      <c r="L132" s="58">
        <v>0.3125</v>
      </c>
      <c r="M132" s="58">
        <v>0.64583333333333337</v>
      </c>
      <c r="N132" s="1">
        <v>85</v>
      </c>
      <c r="O132" s="58">
        <v>4.1666666666666664E-2</v>
      </c>
      <c r="P132" s="13" t="s">
        <v>1680</v>
      </c>
    </row>
    <row r="133" spans="1:26" ht="15.75" customHeight="1">
      <c r="A133" s="66">
        <v>378</v>
      </c>
      <c r="B133" s="6">
        <v>2000</v>
      </c>
      <c r="C133" s="324"/>
      <c r="D133" s="7" t="s">
        <v>1728</v>
      </c>
      <c r="E133" s="7" t="s">
        <v>1729</v>
      </c>
      <c r="F133" s="7" t="s">
        <v>1341</v>
      </c>
      <c r="G133" s="7" t="s">
        <v>1507</v>
      </c>
      <c r="H133" s="7" t="s">
        <v>1729</v>
      </c>
      <c r="I133" s="7" t="s">
        <v>2383</v>
      </c>
      <c r="J133" s="6" t="s">
        <v>1730</v>
      </c>
      <c r="K133" s="7" t="s">
        <v>1679</v>
      </c>
      <c r="L133" s="58">
        <v>0.3125</v>
      </c>
      <c r="M133" s="58">
        <v>0.64583333333333337</v>
      </c>
      <c r="N133" s="1">
        <v>85</v>
      </c>
      <c r="O133" s="58">
        <v>4.1666666666666664E-2</v>
      </c>
      <c r="P133" s="13" t="s">
        <v>1680</v>
      </c>
    </row>
    <row r="134" spans="1:26" ht="15.75" customHeight="1"/>
    <row r="135" spans="1:26" ht="15.75" customHeight="1">
      <c r="A135" s="66">
        <v>383</v>
      </c>
      <c r="B135" s="6">
        <v>1300</v>
      </c>
      <c r="C135" s="416" t="s">
        <v>1776</v>
      </c>
      <c r="D135" s="7" t="s">
        <v>1777</v>
      </c>
      <c r="E135" s="7" t="s">
        <v>1778</v>
      </c>
      <c r="F135" s="63" t="s">
        <v>1737</v>
      </c>
      <c r="G135" s="7" t="s">
        <v>1519</v>
      </c>
      <c r="H135" s="329" t="s">
        <v>1778</v>
      </c>
      <c r="I135" s="7"/>
      <c r="J135" s="329" t="s">
        <v>1779</v>
      </c>
      <c r="K135" s="7" t="s">
        <v>1780</v>
      </c>
      <c r="L135" s="12" t="s">
        <v>787</v>
      </c>
      <c r="M135" s="12" t="s">
        <v>788</v>
      </c>
      <c r="N135" s="1">
        <v>85</v>
      </c>
      <c r="O135" s="12" t="s">
        <v>1835</v>
      </c>
      <c r="P135" s="13" t="s">
        <v>1781</v>
      </c>
    </row>
    <row r="136" spans="1:26" ht="15.75" customHeight="1">
      <c r="A136" s="191">
        <v>384</v>
      </c>
      <c r="B136" s="33">
        <v>1300</v>
      </c>
      <c r="C136" s="324"/>
      <c r="D136" s="32" t="s">
        <v>1782</v>
      </c>
      <c r="E136" s="32" t="s">
        <v>1783</v>
      </c>
      <c r="F136" s="64" t="s">
        <v>1642</v>
      </c>
      <c r="G136" s="7" t="s">
        <v>1519</v>
      </c>
      <c r="H136" s="324"/>
      <c r="I136" s="32"/>
      <c r="J136" s="324"/>
      <c r="K136" s="32" t="s">
        <v>1780</v>
      </c>
      <c r="L136" s="34" t="s">
        <v>787</v>
      </c>
      <c r="M136" s="34" t="s">
        <v>788</v>
      </c>
      <c r="N136" s="35">
        <v>85</v>
      </c>
      <c r="O136" s="34" t="s">
        <v>1835</v>
      </c>
      <c r="P136" s="36" t="s">
        <v>1781</v>
      </c>
      <c r="Q136" s="36"/>
      <c r="R136" s="36"/>
      <c r="S136" s="36"/>
      <c r="T136" s="36"/>
      <c r="U136" s="36"/>
      <c r="V136" s="36"/>
      <c r="W136" s="36"/>
      <c r="X136" s="36"/>
      <c r="Y136" s="36"/>
      <c r="Z136" s="36"/>
    </row>
    <row r="137" spans="1:26" ht="15.75" customHeight="1"/>
    <row r="138" spans="1:26" ht="15.75" customHeight="1">
      <c r="A138" s="191">
        <v>391</v>
      </c>
      <c r="B138" s="33">
        <v>1300</v>
      </c>
      <c r="C138" s="416" t="s">
        <v>1804</v>
      </c>
      <c r="D138" s="32" t="s">
        <v>1805</v>
      </c>
      <c r="E138" s="32" t="s">
        <v>1806</v>
      </c>
      <c r="F138" s="64" t="s">
        <v>1663</v>
      </c>
      <c r="G138" s="7" t="s">
        <v>1540</v>
      </c>
      <c r="H138" s="7" t="s">
        <v>1810</v>
      </c>
      <c r="I138" s="32"/>
      <c r="J138" s="6" t="s">
        <v>1811</v>
      </c>
      <c r="K138" s="32" t="s">
        <v>1780</v>
      </c>
      <c r="L138" s="34" t="s">
        <v>787</v>
      </c>
      <c r="M138" s="192">
        <v>0.64583333333333337</v>
      </c>
      <c r="N138" s="35">
        <v>85</v>
      </c>
      <c r="O138" s="34" t="s">
        <v>2305</v>
      </c>
      <c r="P138" s="36" t="s">
        <v>1781</v>
      </c>
      <c r="Q138" s="36"/>
      <c r="R138" s="36"/>
      <c r="S138" s="36"/>
      <c r="T138" s="36"/>
      <c r="U138" s="36"/>
      <c r="V138" s="36"/>
      <c r="W138" s="36"/>
      <c r="X138" s="36"/>
      <c r="Y138" s="36"/>
      <c r="Z138" s="36"/>
    </row>
    <row r="139" spans="1:26" ht="15.75" customHeight="1">
      <c r="A139" s="66">
        <v>392</v>
      </c>
      <c r="B139" s="6">
        <v>1300</v>
      </c>
      <c r="C139" s="323"/>
      <c r="D139" s="7" t="s">
        <v>1808</v>
      </c>
      <c r="E139" s="7" t="s">
        <v>1809</v>
      </c>
      <c r="F139" s="63" t="s">
        <v>1665</v>
      </c>
      <c r="G139" s="7" t="s">
        <v>1540</v>
      </c>
      <c r="H139" s="7" t="s">
        <v>1810</v>
      </c>
      <c r="I139" s="7"/>
      <c r="J139" s="6" t="s">
        <v>1811</v>
      </c>
      <c r="K139" s="7" t="s">
        <v>1780</v>
      </c>
      <c r="L139" s="12" t="s">
        <v>787</v>
      </c>
      <c r="M139" s="190">
        <v>0.64583333333333337</v>
      </c>
      <c r="N139" s="1">
        <v>85</v>
      </c>
      <c r="O139" s="12" t="s">
        <v>2305</v>
      </c>
      <c r="P139" s="13" t="s">
        <v>1781</v>
      </c>
    </row>
    <row r="140" spans="1:26" ht="15.75" customHeight="1">
      <c r="A140" s="191">
        <v>393</v>
      </c>
      <c r="B140" s="33">
        <v>1300</v>
      </c>
      <c r="C140" s="323"/>
      <c r="D140" s="32" t="s">
        <v>1812</v>
      </c>
      <c r="E140" s="32" t="s">
        <v>1813</v>
      </c>
      <c r="F140" s="64" t="s">
        <v>1814</v>
      </c>
      <c r="G140" s="7" t="s">
        <v>1540</v>
      </c>
      <c r="H140" s="7" t="s">
        <v>1810</v>
      </c>
      <c r="I140" s="32"/>
      <c r="J140" s="6" t="s">
        <v>1811</v>
      </c>
      <c r="K140" s="32" t="s">
        <v>1780</v>
      </c>
      <c r="L140" s="34" t="s">
        <v>787</v>
      </c>
      <c r="M140" s="192">
        <v>0.64583333333333337</v>
      </c>
      <c r="N140" s="35">
        <v>85</v>
      </c>
      <c r="O140" s="34" t="s">
        <v>2305</v>
      </c>
      <c r="P140" s="36" t="s">
        <v>1781</v>
      </c>
      <c r="Q140" s="36"/>
      <c r="R140" s="36"/>
      <c r="S140" s="36"/>
      <c r="T140" s="36"/>
      <c r="U140" s="36"/>
      <c r="V140" s="36"/>
      <c r="W140" s="36"/>
      <c r="X140" s="36"/>
      <c r="Y140" s="36"/>
      <c r="Z140" s="36"/>
    </row>
    <row r="141" spans="1:26" ht="15.75" customHeight="1">
      <c r="A141" s="191">
        <v>394</v>
      </c>
      <c r="B141" s="33">
        <v>1300</v>
      </c>
      <c r="C141" s="323"/>
      <c r="D141" s="32" t="s">
        <v>1815</v>
      </c>
      <c r="E141" s="32" t="s">
        <v>1816</v>
      </c>
      <c r="F141" s="64" t="s">
        <v>1817</v>
      </c>
      <c r="G141" s="7" t="s">
        <v>1540</v>
      </c>
      <c r="H141" s="7" t="s">
        <v>1810</v>
      </c>
      <c r="I141" s="32"/>
      <c r="J141" s="6" t="s">
        <v>1811</v>
      </c>
      <c r="K141" s="32" t="s">
        <v>1780</v>
      </c>
      <c r="L141" s="34" t="s">
        <v>787</v>
      </c>
      <c r="M141" s="192">
        <v>0.64583333333333337</v>
      </c>
      <c r="N141" s="35">
        <v>85</v>
      </c>
      <c r="O141" s="34" t="s">
        <v>2305</v>
      </c>
      <c r="P141" s="36" t="s">
        <v>1781</v>
      </c>
      <c r="Q141" s="36"/>
      <c r="R141" s="36"/>
      <c r="S141" s="36"/>
      <c r="T141" s="36"/>
      <c r="U141" s="36"/>
      <c r="V141" s="36"/>
      <c r="W141" s="36"/>
      <c r="X141" s="36"/>
      <c r="Y141" s="36"/>
      <c r="Z141" s="36"/>
    </row>
    <row r="142" spans="1:26" ht="15.75" customHeight="1">
      <c r="A142" s="191">
        <v>395</v>
      </c>
      <c r="B142" s="33">
        <v>1300</v>
      </c>
      <c r="C142" s="324"/>
      <c r="D142" s="32" t="s">
        <v>1818</v>
      </c>
      <c r="E142" s="32" t="s">
        <v>1819</v>
      </c>
      <c r="F142" s="64" t="s">
        <v>1820</v>
      </c>
      <c r="G142" s="7" t="s">
        <v>1540</v>
      </c>
      <c r="H142" s="7" t="s">
        <v>1810</v>
      </c>
      <c r="I142" s="32"/>
      <c r="J142" s="6" t="s">
        <v>1811</v>
      </c>
      <c r="K142" s="32" t="s">
        <v>1780</v>
      </c>
      <c r="L142" s="34" t="s">
        <v>787</v>
      </c>
      <c r="M142" s="192">
        <v>0.64583333333333337</v>
      </c>
      <c r="N142" s="35">
        <v>85</v>
      </c>
      <c r="O142" s="34" t="s">
        <v>2305</v>
      </c>
      <c r="P142" s="36" t="s">
        <v>1781</v>
      </c>
      <c r="Q142" s="36"/>
      <c r="R142" s="36"/>
      <c r="S142" s="36"/>
      <c r="T142" s="36"/>
      <c r="U142" s="36"/>
      <c r="V142" s="36"/>
      <c r="W142" s="36"/>
      <c r="X142" s="36"/>
      <c r="Y142" s="36"/>
      <c r="Z142" s="36"/>
    </row>
    <row r="143" spans="1:26" ht="15.75" customHeight="1"/>
    <row r="144" spans="1:26" ht="15.75" customHeight="1">
      <c r="A144" s="191">
        <v>303</v>
      </c>
      <c r="B144" s="33">
        <v>2000</v>
      </c>
      <c r="C144" s="416" t="s">
        <v>1456</v>
      </c>
      <c r="D144" s="32" t="s">
        <v>1457</v>
      </c>
      <c r="E144" s="32" t="s">
        <v>1458</v>
      </c>
      <c r="F144" s="32" t="s">
        <v>1459</v>
      </c>
      <c r="G144" s="7" t="s">
        <v>1260</v>
      </c>
      <c r="H144" s="329" t="s">
        <v>1468</v>
      </c>
      <c r="I144" s="32"/>
      <c r="J144" s="33" t="s">
        <v>1460</v>
      </c>
      <c r="K144" s="32" t="s">
        <v>1360</v>
      </c>
      <c r="L144" s="34" t="s">
        <v>23</v>
      </c>
      <c r="M144" s="34" t="s">
        <v>252</v>
      </c>
      <c r="N144" s="35">
        <v>85</v>
      </c>
      <c r="O144" s="34" t="s">
        <v>83</v>
      </c>
      <c r="P144" s="36" t="s">
        <v>1361</v>
      </c>
      <c r="Q144" s="36"/>
      <c r="R144" s="36"/>
      <c r="S144" s="36"/>
      <c r="T144" s="36"/>
      <c r="U144" s="36"/>
      <c r="V144" s="36"/>
      <c r="W144" s="36"/>
      <c r="X144" s="36"/>
      <c r="Y144" s="36"/>
      <c r="Z144" s="36"/>
    </row>
    <row r="145" spans="1:26" ht="15.75" customHeight="1">
      <c r="A145" s="191">
        <v>304</v>
      </c>
      <c r="B145" s="33">
        <v>2000</v>
      </c>
      <c r="C145" s="323"/>
      <c r="D145" s="32" t="s">
        <v>1461</v>
      </c>
      <c r="E145" s="32" t="s">
        <v>1462</v>
      </c>
      <c r="F145" s="32" t="s">
        <v>1463</v>
      </c>
      <c r="G145" s="7" t="s">
        <v>1260</v>
      </c>
      <c r="H145" s="323"/>
      <c r="I145" s="32"/>
      <c r="J145" s="33" t="s">
        <v>1464</v>
      </c>
      <c r="K145" s="32" t="s">
        <v>1360</v>
      </c>
      <c r="L145" s="34" t="s">
        <v>23</v>
      </c>
      <c r="M145" s="34" t="s">
        <v>252</v>
      </c>
      <c r="N145" s="35">
        <v>85</v>
      </c>
      <c r="O145" s="34" t="s">
        <v>83</v>
      </c>
      <c r="P145" s="36" t="s">
        <v>1361</v>
      </c>
      <c r="Q145" s="36"/>
      <c r="R145" s="36"/>
      <c r="S145" s="36"/>
      <c r="T145" s="36"/>
      <c r="U145" s="36"/>
      <c r="V145" s="36"/>
      <c r="W145" s="36"/>
      <c r="X145" s="36"/>
      <c r="Y145" s="36"/>
      <c r="Z145" s="36"/>
    </row>
    <row r="146" spans="1:26" ht="15.75" customHeight="1">
      <c r="A146" s="66">
        <v>305</v>
      </c>
      <c r="B146" s="6">
        <v>2000</v>
      </c>
      <c r="C146" s="323"/>
      <c r="D146" s="7" t="s">
        <v>1465</v>
      </c>
      <c r="E146" s="7" t="s">
        <v>1466</v>
      </c>
      <c r="F146" s="7" t="s">
        <v>1467</v>
      </c>
      <c r="G146" s="7" t="s">
        <v>1260</v>
      </c>
      <c r="H146" s="324"/>
      <c r="I146" s="7"/>
      <c r="J146" s="6" t="s">
        <v>1469</v>
      </c>
      <c r="K146" s="7" t="s">
        <v>1360</v>
      </c>
      <c r="L146" s="12" t="s">
        <v>23</v>
      </c>
      <c r="M146" s="12" t="s">
        <v>252</v>
      </c>
      <c r="N146" s="1">
        <v>85</v>
      </c>
      <c r="O146" s="12" t="s">
        <v>83</v>
      </c>
      <c r="P146" s="13" t="s">
        <v>1361</v>
      </c>
    </row>
    <row r="147" spans="1:26" ht="15.75" customHeight="1">
      <c r="A147" s="191">
        <v>306</v>
      </c>
      <c r="B147" s="33">
        <v>2000</v>
      </c>
      <c r="C147" s="323"/>
      <c r="D147" s="32" t="s">
        <v>1470</v>
      </c>
      <c r="E147" s="32" t="s">
        <v>1471</v>
      </c>
      <c r="F147" s="32" t="s">
        <v>1472</v>
      </c>
      <c r="G147" s="7" t="s">
        <v>1264</v>
      </c>
      <c r="H147" s="329" t="s">
        <v>1481</v>
      </c>
      <c r="I147" s="32"/>
      <c r="J147" s="33" t="s">
        <v>1473</v>
      </c>
      <c r="K147" s="32" t="s">
        <v>1360</v>
      </c>
      <c r="L147" s="34" t="s">
        <v>23</v>
      </c>
      <c r="M147" s="34" t="s">
        <v>252</v>
      </c>
      <c r="N147" s="35">
        <v>85</v>
      </c>
      <c r="O147" s="34" t="s">
        <v>83</v>
      </c>
      <c r="P147" s="36" t="s">
        <v>1361</v>
      </c>
      <c r="Q147" s="36"/>
      <c r="R147" s="36"/>
      <c r="S147" s="36"/>
      <c r="T147" s="36"/>
      <c r="U147" s="36"/>
      <c r="V147" s="36"/>
      <c r="W147" s="36"/>
      <c r="X147" s="36"/>
      <c r="Y147" s="36"/>
      <c r="Z147" s="36"/>
    </row>
    <row r="148" spans="1:26" ht="15.75" customHeight="1">
      <c r="A148" s="191">
        <v>307</v>
      </c>
      <c r="B148" s="33">
        <v>2000</v>
      </c>
      <c r="C148" s="323"/>
      <c r="D148" s="32" t="s">
        <v>1474</v>
      </c>
      <c r="E148" s="32" t="s">
        <v>1475</v>
      </c>
      <c r="F148" s="32" t="s">
        <v>1476</v>
      </c>
      <c r="G148" s="7" t="s">
        <v>1264</v>
      </c>
      <c r="H148" s="323"/>
      <c r="I148" s="32"/>
      <c r="J148" s="33" t="s">
        <v>1477</v>
      </c>
      <c r="K148" s="32" t="s">
        <v>1360</v>
      </c>
      <c r="L148" s="34" t="s">
        <v>23</v>
      </c>
      <c r="M148" s="34" t="s">
        <v>252</v>
      </c>
      <c r="N148" s="35">
        <v>85</v>
      </c>
      <c r="O148" s="34" t="s">
        <v>83</v>
      </c>
      <c r="P148" s="36" t="s">
        <v>1361</v>
      </c>
      <c r="Q148" s="36"/>
      <c r="R148" s="36"/>
      <c r="S148" s="36"/>
      <c r="T148" s="36"/>
      <c r="U148" s="36"/>
      <c r="V148" s="36"/>
      <c r="W148" s="36"/>
      <c r="X148" s="36"/>
      <c r="Y148" s="36"/>
      <c r="Z148" s="36"/>
    </row>
    <row r="149" spans="1:26" ht="15.75" customHeight="1">
      <c r="A149" s="66">
        <v>308</v>
      </c>
      <c r="B149" s="6">
        <v>2000</v>
      </c>
      <c r="C149" s="324"/>
      <c r="D149" s="7" t="s">
        <v>1478</v>
      </c>
      <c r="E149" s="7" t="s">
        <v>1479</v>
      </c>
      <c r="F149" s="7" t="s">
        <v>1480</v>
      </c>
      <c r="G149" s="7" t="s">
        <v>1264</v>
      </c>
      <c r="H149" s="324"/>
      <c r="I149" s="7"/>
      <c r="J149" s="6" t="s">
        <v>1482</v>
      </c>
      <c r="K149" s="7" t="s">
        <v>1360</v>
      </c>
      <c r="L149" s="12" t="s">
        <v>23</v>
      </c>
      <c r="M149" s="12" t="s">
        <v>252</v>
      </c>
      <c r="N149" s="1">
        <v>85</v>
      </c>
      <c r="O149" s="12" t="s">
        <v>83</v>
      </c>
      <c r="P149" s="13" t="s">
        <v>1361</v>
      </c>
    </row>
    <row r="150" spans="1:26" ht="15.75" customHeight="1"/>
    <row r="151" spans="1:26" ht="15.75" customHeight="1"/>
    <row r="152" spans="1:26" ht="15.75" customHeight="1">
      <c r="A152" s="5">
        <v>203</v>
      </c>
      <c r="B152" s="6">
        <v>2000</v>
      </c>
      <c r="C152" s="416" t="s">
        <v>1007</v>
      </c>
      <c r="D152" s="7" t="s">
        <v>1014</v>
      </c>
      <c r="E152" s="7" t="s">
        <v>1015</v>
      </c>
      <c r="F152" s="7" t="s">
        <v>1016</v>
      </c>
      <c r="G152" s="8" t="s">
        <v>1016</v>
      </c>
      <c r="H152" s="21" t="s">
        <v>1015</v>
      </c>
      <c r="I152" s="325" t="s">
        <v>2384</v>
      </c>
      <c r="J152" s="6" t="s">
        <v>1017</v>
      </c>
      <c r="K152" s="7" t="s">
        <v>1012</v>
      </c>
      <c r="L152" s="10" t="s">
        <v>23</v>
      </c>
      <c r="M152" s="12" t="s">
        <v>252</v>
      </c>
      <c r="N152" s="1">
        <v>85</v>
      </c>
      <c r="O152" s="12" t="s">
        <v>83</v>
      </c>
      <c r="P152" s="13" t="s">
        <v>1013</v>
      </c>
    </row>
    <row r="153" spans="1:26" ht="15.75" customHeight="1">
      <c r="A153" s="5">
        <v>204</v>
      </c>
      <c r="B153" s="6">
        <v>2000</v>
      </c>
      <c r="C153" s="323"/>
      <c r="D153" s="7" t="s">
        <v>1018</v>
      </c>
      <c r="E153" s="7" t="s">
        <v>1019</v>
      </c>
      <c r="F153" s="7" t="s">
        <v>1020</v>
      </c>
      <c r="G153" s="8" t="s">
        <v>1020</v>
      </c>
      <c r="H153" s="21" t="s">
        <v>1019</v>
      </c>
      <c r="I153" s="323"/>
      <c r="J153" s="6" t="s">
        <v>1021</v>
      </c>
      <c r="K153" s="7" t="s">
        <v>1012</v>
      </c>
      <c r="L153" s="10" t="s">
        <v>23</v>
      </c>
      <c r="M153" s="12" t="s">
        <v>252</v>
      </c>
      <c r="N153" s="1">
        <v>85</v>
      </c>
      <c r="O153" s="12" t="s">
        <v>83</v>
      </c>
      <c r="P153" s="31" t="s">
        <v>1013</v>
      </c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>
      <c r="A154" s="5">
        <v>205</v>
      </c>
      <c r="B154" s="6">
        <v>2000</v>
      </c>
      <c r="C154" s="323"/>
      <c r="D154" s="7" t="s">
        <v>1022</v>
      </c>
      <c r="E154" s="7" t="s">
        <v>1023</v>
      </c>
      <c r="F154" s="7" t="s">
        <v>1024</v>
      </c>
      <c r="G154" s="8" t="s">
        <v>1025</v>
      </c>
      <c r="H154" s="21" t="s">
        <v>1023</v>
      </c>
      <c r="I154" s="323"/>
      <c r="J154" s="6" t="s">
        <v>1026</v>
      </c>
      <c r="K154" s="7" t="s">
        <v>1012</v>
      </c>
      <c r="L154" s="10" t="s">
        <v>23</v>
      </c>
      <c r="M154" s="12" t="s">
        <v>252</v>
      </c>
      <c r="N154" s="1">
        <v>85</v>
      </c>
      <c r="O154" s="12" t="s">
        <v>83</v>
      </c>
      <c r="P154" s="31" t="s">
        <v>1013</v>
      </c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>
      <c r="A155" s="5">
        <v>206</v>
      </c>
      <c r="B155" s="6">
        <v>2000</v>
      </c>
      <c r="C155" s="323"/>
      <c r="D155" s="7" t="s">
        <v>1027</v>
      </c>
      <c r="E155" s="7" t="s">
        <v>1028</v>
      </c>
      <c r="F155" s="7" t="s">
        <v>1029</v>
      </c>
      <c r="G155" s="8" t="s">
        <v>1030</v>
      </c>
      <c r="H155" s="21" t="s">
        <v>1028</v>
      </c>
      <c r="I155" s="324"/>
      <c r="J155" s="6" t="s">
        <v>1031</v>
      </c>
      <c r="K155" s="7" t="s">
        <v>1012</v>
      </c>
      <c r="L155" s="10" t="s">
        <v>23</v>
      </c>
      <c r="M155" s="12" t="s">
        <v>252</v>
      </c>
      <c r="N155" s="1">
        <v>85</v>
      </c>
      <c r="O155" s="12" t="s">
        <v>83</v>
      </c>
      <c r="P155" s="31" t="s">
        <v>1013</v>
      </c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8.75" customHeight="1">
      <c r="A156" s="5">
        <v>207</v>
      </c>
      <c r="B156" s="6">
        <v>2000</v>
      </c>
      <c r="C156" s="323"/>
      <c r="D156" s="7" t="s">
        <v>1032</v>
      </c>
      <c r="E156" s="7" t="s">
        <v>1033</v>
      </c>
      <c r="F156" s="7" t="s">
        <v>1034</v>
      </c>
      <c r="G156" s="8" t="s">
        <v>1035</v>
      </c>
      <c r="H156" s="7" t="s">
        <v>1033</v>
      </c>
      <c r="I156" s="201" t="s">
        <v>2385</v>
      </c>
      <c r="J156" s="6" t="s">
        <v>1036</v>
      </c>
      <c r="K156" s="7" t="s">
        <v>1012</v>
      </c>
      <c r="L156" s="10" t="s">
        <v>23</v>
      </c>
      <c r="M156" s="12" t="s">
        <v>252</v>
      </c>
      <c r="N156" s="1">
        <v>85</v>
      </c>
      <c r="O156" s="12" t="s">
        <v>83</v>
      </c>
      <c r="P156" s="31" t="s">
        <v>1013</v>
      </c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>
      <c r="A157" s="5">
        <v>208</v>
      </c>
      <c r="B157" s="6">
        <v>2000</v>
      </c>
      <c r="C157" s="323"/>
      <c r="D157" s="7" t="s">
        <v>1037</v>
      </c>
      <c r="E157" s="7" t="s">
        <v>1038</v>
      </c>
      <c r="F157" s="7" t="s">
        <v>1039</v>
      </c>
      <c r="G157" s="8" t="s">
        <v>1040</v>
      </c>
      <c r="H157" s="7" t="s">
        <v>1038</v>
      </c>
      <c r="I157" s="201" t="s">
        <v>2385</v>
      </c>
      <c r="J157" s="6" t="s">
        <v>1041</v>
      </c>
      <c r="K157" s="7" t="s">
        <v>1012</v>
      </c>
      <c r="L157" s="10" t="s">
        <v>23</v>
      </c>
      <c r="M157" s="12" t="s">
        <v>252</v>
      </c>
      <c r="N157" s="1">
        <v>85</v>
      </c>
      <c r="O157" s="12" t="s">
        <v>83</v>
      </c>
      <c r="P157" s="31" t="s">
        <v>1013</v>
      </c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>
      <c r="A158" s="5">
        <v>209</v>
      </c>
      <c r="B158" s="6">
        <v>2000</v>
      </c>
      <c r="C158" s="323"/>
      <c r="D158" s="7" t="s">
        <v>1042</v>
      </c>
      <c r="E158" s="7" t="s">
        <v>1043</v>
      </c>
      <c r="F158" s="7" t="s">
        <v>1044</v>
      </c>
      <c r="G158" s="8" t="s">
        <v>1045</v>
      </c>
      <c r="H158" s="7" t="s">
        <v>1043</v>
      </c>
      <c r="I158" s="201" t="s">
        <v>2385</v>
      </c>
      <c r="J158" s="6" t="s">
        <v>1046</v>
      </c>
      <c r="K158" s="7" t="s">
        <v>1012</v>
      </c>
      <c r="L158" s="10" t="s">
        <v>23</v>
      </c>
      <c r="M158" s="12" t="s">
        <v>252</v>
      </c>
      <c r="N158" s="1">
        <v>85</v>
      </c>
      <c r="O158" s="12" t="s">
        <v>83</v>
      </c>
      <c r="P158" s="31" t="s">
        <v>1013</v>
      </c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>
      <c r="A159" s="5">
        <v>210</v>
      </c>
      <c r="B159" s="6">
        <v>2000</v>
      </c>
      <c r="C159" s="323"/>
      <c r="D159" s="7" t="s">
        <v>1047</v>
      </c>
      <c r="E159" s="7" t="s">
        <v>1048</v>
      </c>
      <c r="F159" s="7" t="s">
        <v>1049</v>
      </c>
      <c r="G159" s="8" t="s">
        <v>1050</v>
      </c>
      <c r="H159" s="7" t="s">
        <v>1048</v>
      </c>
      <c r="I159" s="201" t="s">
        <v>2385</v>
      </c>
      <c r="J159" s="6" t="s">
        <v>1051</v>
      </c>
      <c r="K159" s="7" t="s">
        <v>1012</v>
      </c>
      <c r="L159" s="10" t="s">
        <v>23</v>
      </c>
      <c r="M159" s="12" t="s">
        <v>252</v>
      </c>
      <c r="N159" s="1">
        <v>85</v>
      </c>
      <c r="O159" s="12" t="s">
        <v>83</v>
      </c>
      <c r="P159" s="31" t="s">
        <v>1013</v>
      </c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>
      <c r="A160" s="5">
        <v>211</v>
      </c>
      <c r="B160" s="6">
        <v>2000</v>
      </c>
      <c r="C160" s="323"/>
      <c r="D160" s="7" t="s">
        <v>1052</v>
      </c>
      <c r="E160" s="7" t="s">
        <v>1053</v>
      </c>
      <c r="F160" s="7" t="s">
        <v>1054</v>
      </c>
      <c r="G160" s="8" t="s">
        <v>1055</v>
      </c>
      <c r="H160" s="7" t="s">
        <v>1053</v>
      </c>
      <c r="I160" s="201" t="s">
        <v>2385</v>
      </c>
      <c r="J160" s="6" t="s">
        <v>1056</v>
      </c>
      <c r="K160" s="7" t="s">
        <v>1012</v>
      </c>
      <c r="L160" s="10" t="s">
        <v>23</v>
      </c>
      <c r="M160" s="12" t="s">
        <v>252</v>
      </c>
      <c r="N160" s="1">
        <v>85</v>
      </c>
      <c r="O160" s="12" t="s">
        <v>83</v>
      </c>
      <c r="P160" s="31" t="s">
        <v>1013</v>
      </c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>
      <c r="A161" s="5">
        <v>212</v>
      </c>
      <c r="B161" s="6">
        <v>2000</v>
      </c>
      <c r="C161" s="323"/>
      <c r="D161" s="7" t="s">
        <v>1057</v>
      </c>
      <c r="E161" s="7" t="s">
        <v>1058</v>
      </c>
      <c r="F161" s="7" t="s">
        <v>1059</v>
      </c>
      <c r="G161" s="8" t="s">
        <v>1060</v>
      </c>
      <c r="H161" s="7" t="s">
        <v>1058</v>
      </c>
      <c r="I161" s="201" t="s">
        <v>2385</v>
      </c>
      <c r="J161" s="6" t="s">
        <v>1061</v>
      </c>
      <c r="K161" s="7" t="s">
        <v>1012</v>
      </c>
      <c r="L161" s="10" t="s">
        <v>23</v>
      </c>
      <c r="M161" s="12" t="s">
        <v>252</v>
      </c>
      <c r="N161" s="1">
        <v>85</v>
      </c>
      <c r="O161" s="12" t="s">
        <v>83</v>
      </c>
      <c r="P161" s="31" t="s">
        <v>1013</v>
      </c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>
      <c r="A162" s="5">
        <v>213</v>
      </c>
      <c r="B162" s="6">
        <v>2000</v>
      </c>
      <c r="C162" s="323"/>
      <c r="D162" s="7" t="s">
        <v>1062</v>
      </c>
      <c r="E162" s="7" t="s">
        <v>1063</v>
      </c>
      <c r="F162" s="7" t="s">
        <v>1064</v>
      </c>
      <c r="G162" s="8" t="s">
        <v>1065</v>
      </c>
      <c r="H162" s="7" t="s">
        <v>1063</v>
      </c>
      <c r="I162" s="201" t="s">
        <v>2385</v>
      </c>
      <c r="J162" s="6" t="s">
        <v>1066</v>
      </c>
      <c r="K162" s="7" t="s">
        <v>1012</v>
      </c>
      <c r="L162" s="10" t="s">
        <v>23</v>
      </c>
      <c r="M162" s="12" t="s">
        <v>252</v>
      </c>
      <c r="N162" s="1">
        <v>85</v>
      </c>
      <c r="O162" s="12" t="s">
        <v>83</v>
      </c>
      <c r="P162" s="31" t="s">
        <v>1013</v>
      </c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>
      <c r="A163" s="5">
        <v>214</v>
      </c>
      <c r="B163" s="6">
        <v>2000</v>
      </c>
      <c r="C163" s="323"/>
      <c r="D163" s="7" t="s">
        <v>1067</v>
      </c>
      <c r="E163" s="7" t="s">
        <v>1068</v>
      </c>
      <c r="F163" s="7" t="s">
        <v>1069</v>
      </c>
      <c r="G163" s="8" t="s">
        <v>1070</v>
      </c>
      <c r="H163" s="7" t="s">
        <v>1068</v>
      </c>
      <c r="I163" s="201" t="s">
        <v>2385</v>
      </c>
      <c r="J163" s="6" t="s">
        <v>1071</v>
      </c>
      <c r="K163" s="7" t="s">
        <v>1012</v>
      </c>
      <c r="L163" s="10" t="s">
        <v>23</v>
      </c>
      <c r="M163" s="12" t="s">
        <v>252</v>
      </c>
      <c r="N163" s="1">
        <v>85</v>
      </c>
      <c r="O163" s="12" t="s">
        <v>83</v>
      </c>
      <c r="P163" s="31" t="s">
        <v>1013</v>
      </c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>
      <c r="A164" s="5">
        <v>215</v>
      </c>
      <c r="B164" s="6">
        <v>2000</v>
      </c>
      <c r="C164" s="323"/>
      <c r="D164" s="7" t="s">
        <v>1072</v>
      </c>
      <c r="E164" s="7" t="s">
        <v>1073</v>
      </c>
      <c r="F164" s="7" t="s">
        <v>1074</v>
      </c>
      <c r="G164" s="8" t="s">
        <v>1075</v>
      </c>
      <c r="H164" s="7" t="s">
        <v>1073</v>
      </c>
      <c r="I164" s="201" t="s">
        <v>2385</v>
      </c>
      <c r="J164" s="6" t="s">
        <v>1076</v>
      </c>
      <c r="K164" s="7" t="s">
        <v>1012</v>
      </c>
      <c r="L164" s="10" t="s">
        <v>23</v>
      </c>
      <c r="M164" s="12" t="s">
        <v>252</v>
      </c>
      <c r="N164" s="1">
        <v>85</v>
      </c>
      <c r="O164" s="12" t="s">
        <v>83</v>
      </c>
      <c r="P164" s="31" t="s">
        <v>1013</v>
      </c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>
      <c r="A165" s="5">
        <v>216</v>
      </c>
      <c r="B165" s="6">
        <v>2000</v>
      </c>
      <c r="C165" s="323"/>
      <c r="D165" s="7" t="s">
        <v>1077</v>
      </c>
      <c r="E165" s="7" t="s">
        <v>1078</v>
      </c>
      <c r="F165" s="7" t="s">
        <v>1079</v>
      </c>
      <c r="G165" s="8" t="s">
        <v>1080</v>
      </c>
      <c r="H165" s="7" t="s">
        <v>1078</v>
      </c>
      <c r="I165" s="201" t="s">
        <v>2385</v>
      </c>
      <c r="J165" s="6" t="s">
        <v>1081</v>
      </c>
      <c r="K165" s="7" t="s">
        <v>1012</v>
      </c>
      <c r="L165" s="10" t="s">
        <v>23</v>
      </c>
      <c r="M165" s="12" t="s">
        <v>252</v>
      </c>
      <c r="N165" s="1">
        <v>85</v>
      </c>
      <c r="O165" s="12" t="s">
        <v>83</v>
      </c>
      <c r="P165" s="31" t="s">
        <v>1013</v>
      </c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>
      <c r="A166" s="5">
        <v>217</v>
      </c>
      <c r="B166" s="6">
        <v>2000</v>
      </c>
      <c r="C166" s="323"/>
      <c r="D166" s="7" t="s">
        <v>1082</v>
      </c>
      <c r="E166" s="7" t="s">
        <v>1083</v>
      </c>
      <c r="F166" s="7" t="s">
        <v>1084</v>
      </c>
      <c r="G166" s="8" t="s">
        <v>1085</v>
      </c>
      <c r="H166" s="7" t="s">
        <v>1083</v>
      </c>
      <c r="I166" s="201" t="s">
        <v>2385</v>
      </c>
      <c r="J166" s="6" t="s">
        <v>1086</v>
      </c>
      <c r="K166" s="7" t="s">
        <v>1012</v>
      </c>
      <c r="L166" s="10" t="s">
        <v>23</v>
      </c>
      <c r="M166" s="12" t="s">
        <v>252</v>
      </c>
      <c r="N166" s="1">
        <v>85</v>
      </c>
      <c r="O166" s="12" t="s">
        <v>83</v>
      </c>
      <c r="P166" s="31" t="s">
        <v>1013</v>
      </c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>
      <c r="A167" s="5">
        <v>218</v>
      </c>
      <c r="B167" s="6">
        <v>2000</v>
      </c>
      <c r="C167" s="323"/>
      <c r="D167" s="7" t="s">
        <v>1087</v>
      </c>
      <c r="E167" s="7" t="s">
        <v>1088</v>
      </c>
      <c r="F167" s="7" t="s">
        <v>1089</v>
      </c>
      <c r="G167" s="8" t="s">
        <v>1090</v>
      </c>
      <c r="H167" s="7" t="s">
        <v>1088</v>
      </c>
      <c r="I167" s="201" t="s">
        <v>2385</v>
      </c>
      <c r="J167" s="6" t="s">
        <v>1091</v>
      </c>
      <c r="K167" s="7" t="s">
        <v>1012</v>
      </c>
      <c r="L167" s="10" t="s">
        <v>23</v>
      </c>
      <c r="M167" s="12" t="s">
        <v>252</v>
      </c>
      <c r="N167" s="1">
        <v>85</v>
      </c>
      <c r="O167" s="12" t="s">
        <v>83</v>
      </c>
      <c r="P167" s="31" t="s">
        <v>1013</v>
      </c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>
      <c r="A168" s="5">
        <v>219</v>
      </c>
      <c r="B168" s="6">
        <v>2000</v>
      </c>
      <c r="C168" s="323"/>
      <c r="D168" s="7" t="s">
        <v>1092</v>
      </c>
      <c r="E168" s="7" t="s">
        <v>1093</v>
      </c>
      <c r="F168" s="7" t="s">
        <v>1094</v>
      </c>
      <c r="G168" s="8" t="s">
        <v>1095</v>
      </c>
      <c r="H168" s="7" t="s">
        <v>1093</v>
      </c>
      <c r="I168" s="201" t="s">
        <v>2385</v>
      </c>
      <c r="J168" s="6" t="s">
        <v>1096</v>
      </c>
      <c r="K168" s="7" t="s">
        <v>1012</v>
      </c>
      <c r="L168" s="10" t="s">
        <v>23</v>
      </c>
      <c r="M168" s="12" t="s">
        <v>252</v>
      </c>
      <c r="N168" s="1">
        <v>85</v>
      </c>
      <c r="O168" s="12" t="s">
        <v>83</v>
      </c>
      <c r="P168" s="31" t="s">
        <v>1013</v>
      </c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>
      <c r="A169" s="5">
        <v>220</v>
      </c>
      <c r="B169" s="6">
        <v>2000</v>
      </c>
      <c r="C169" s="323"/>
      <c r="D169" s="7" t="s">
        <v>1097</v>
      </c>
      <c r="E169" s="7" t="s">
        <v>1098</v>
      </c>
      <c r="F169" s="7" t="s">
        <v>1099</v>
      </c>
      <c r="G169" s="8" t="s">
        <v>1100</v>
      </c>
      <c r="H169" s="7" t="s">
        <v>1098</v>
      </c>
      <c r="I169" s="201" t="s">
        <v>2385</v>
      </c>
      <c r="J169" s="6" t="s">
        <v>1101</v>
      </c>
      <c r="K169" s="7" t="s">
        <v>1012</v>
      </c>
      <c r="L169" s="10" t="s">
        <v>23</v>
      </c>
      <c r="M169" s="12" t="s">
        <v>252</v>
      </c>
      <c r="N169" s="1">
        <v>85</v>
      </c>
      <c r="O169" s="12" t="s">
        <v>83</v>
      </c>
      <c r="P169" s="31" t="s">
        <v>1013</v>
      </c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>
      <c r="A170" s="5">
        <v>221</v>
      </c>
      <c r="B170" s="6">
        <v>2000</v>
      </c>
      <c r="C170" s="323"/>
      <c r="D170" s="7" t="s">
        <v>1102</v>
      </c>
      <c r="E170" s="7" t="s">
        <v>1103</v>
      </c>
      <c r="F170" s="7"/>
      <c r="G170" s="8" t="s">
        <v>1104</v>
      </c>
      <c r="H170" s="7" t="s">
        <v>1105</v>
      </c>
      <c r="I170" s="201" t="s">
        <v>2385</v>
      </c>
      <c r="J170" s="6" t="s">
        <v>1106</v>
      </c>
      <c r="K170" s="7"/>
      <c r="L170" s="25"/>
      <c r="M170" s="6"/>
      <c r="N170" s="1"/>
      <c r="O170" s="6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>
      <c r="A171" s="5">
        <v>222</v>
      </c>
      <c r="B171" s="6">
        <v>2000</v>
      </c>
      <c r="C171" s="323"/>
      <c r="D171" s="7"/>
      <c r="E171" s="7"/>
      <c r="F171" s="7"/>
      <c r="G171" s="8" t="s">
        <v>1107</v>
      </c>
      <c r="H171" s="7" t="s">
        <v>1108</v>
      </c>
      <c r="I171" s="201" t="s">
        <v>2386</v>
      </c>
      <c r="J171" s="6"/>
      <c r="K171" s="7"/>
      <c r="L171" s="25"/>
      <c r="M171" s="6"/>
      <c r="N171" s="1"/>
      <c r="O171" s="6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>
      <c r="A172" s="5">
        <v>223</v>
      </c>
      <c r="B172" s="6">
        <v>2000</v>
      </c>
      <c r="C172" s="324"/>
      <c r="D172" s="7"/>
      <c r="E172" s="7"/>
      <c r="F172" s="7"/>
      <c r="G172" s="8" t="s">
        <v>1109</v>
      </c>
      <c r="H172" s="7" t="s">
        <v>1110</v>
      </c>
      <c r="I172" s="21" t="s">
        <v>2385</v>
      </c>
      <c r="J172" s="6">
        <v>1112053002</v>
      </c>
      <c r="K172" s="7"/>
      <c r="L172" s="10" t="s">
        <v>23</v>
      </c>
      <c r="M172" s="12" t="s">
        <v>252</v>
      </c>
      <c r="N172" s="1">
        <v>85</v>
      </c>
      <c r="O172" s="12" t="s">
        <v>83</v>
      </c>
      <c r="P172" s="31" t="s">
        <v>1013</v>
      </c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/>
    <row r="174" spans="1:26" ht="15.75" customHeight="1">
      <c r="A174" s="69"/>
      <c r="B174" s="202"/>
      <c r="C174" s="203">
        <v>44646</v>
      </c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 spans="1:26" ht="15.75" customHeight="1"/>
    <row r="176" spans="1:26" ht="15.75" customHeight="1">
      <c r="A176" s="5" t="str">
        <f t="shared" ref="A176:A215" si="5">RIGHT(G176,3)</f>
        <v>352</v>
      </c>
      <c r="B176" s="39">
        <v>2000</v>
      </c>
      <c r="C176" s="416" t="s">
        <v>1170</v>
      </c>
      <c r="D176" s="40" t="s">
        <v>1171</v>
      </c>
      <c r="E176" s="40" t="s">
        <v>1172</v>
      </c>
      <c r="F176" s="41" t="s">
        <v>1173</v>
      </c>
      <c r="G176" s="8" t="s">
        <v>1174</v>
      </c>
      <c r="H176" s="41" t="s">
        <v>1172</v>
      </c>
      <c r="I176" s="41" t="s">
        <v>1</v>
      </c>
      <c r="J176" s="42">
        <v>1112014201</v>
      </c>
      <c r="K176" s="41" t="s">
        <v>1139</v>
      </c>
      <c r="L176" s="43" t="s">
        <v>23</v>
      </c>
      <c r="M176" s="44" t="s">
        <v>252</v>
      </c>
      <c r="N176" s="45">
        <v>85</v>
      </c>
      <c r="O176" s="46" t="s">
        <v>83</v>
      </c>
      <c r="P176" s="47" t="s">
        <v>1175</v>
      </c>
      <c r="Q176" s="47"/>
      <c r="R176" s="47"/>
      <c r="S176" s="47"/>
      <c r="T176" s="47"/>
      <c r="U176" s="47"/>
      <c r="V176" s="47"/>
      <c r="W176" s="47"/>
      <c r="X176" s="47"/>
      <c r="Y176" s="47"/>
      <c r="Z176" s="47"/>
    </row>
    <row r="177" spans="1:26" ht="15.75" customHeight="1">
      <c r="A177" s="5" t="str">
        <f t="shared" si="5"/>
        <v>353</v>
      </c>
      <c r="B177" s="39">
        <v>2000</v>
      </c>
      <c r="C177" s="323"/>
      <c r="D177" s="40" t="s">
        <v>1176</v>
      </c>
      <c r="E177" s="40" t="s">
        <v>1177</v>
      </c>
      <c r="F177" s="41" t="s">
        <v>1178</v>
      </c>
      <c r="G177" s="8" t="s">
        <v>1179</v>
      </c>
      <c r="H177" s="41" t="s">
        <v>1177</v>
      </c>
      <c r="I177" s="41" t="s">
        <v>1</v>
      </c>
      <c r="J177" s="42">
        <v>1112014202</v>
      </c>
      <c r="K177" s="41" t="s">
        <v>1139</v>
      </c>
      <c r="L177" s="43" t="s">
        <v>23</v>
      </c>
      <c r="M177" s="44" t="s">
        <v>252</v>
      </c>
      <c r="N177" s="45">
        <v>85</v>
      </c>
      <c r="O177" s="46" t="s">
        <v>83</v>
      </c>
      <c r="P177" s="47" t="s">
        <v>1175</v>
      </c>
      <c r="Q177" s="47"/>
      <c r="R177" s="47"/>
      <c r="S177" s="47"/>
      <c r="T177" s="47"/>
      <c r="U177" s="47"/>
      <c r="V177" s="47"/>
      <c r="W177" s="47"/>
      <c r="X177" s="47"/>
      <c r="Y177" s="47"/>
      <c r="Z177" s="47"/>
    </row>
    <row r="178" spans="1:26" ht="15.75" customHeight="1">
      <c r="A178" s="5" t="str">
        <f t="shared" si="5"/>
        <v>354</v>
      </c>
      <c r="B178" s="39">
        <v>2000</v>
      </c>
      <c r="C178" s="323"/>
      <c r="D178" s="40" t="s">
        <v>1180</v>
      </c>
      <c r="E178" s="40" t="s">
        <v>1181</v>
      </c>
      <c r="F178" s="41" t="s">
        <v>1182</v>
      </c>
      <c r="G178" s="8" t="s">
        <v>1183</v>
      </c>
      <c r="H178" s="41" t="s">
        <v>1181</v>
      </c>
      <c r="I178" s="41" t="s">
        <v>1</v>
      </c>
      <c r="J178" s="42">
        <v>1112014203</v>
      </c>
      <c r="K178" s="41" t="s">
        <v>1139</v>
      </c>
      <c r="L178" s="48" t="s">
        <v>23</v>
      </c>
      <c r="M178" s="46" t="s">
        <v>252</v>
      </c>
      <c r="N178" s="45">
        <v>85</v>
      </c>
      <c r="O178" s="46" t="s">
        <v>83</v>
      </c>
      <c r="P178" s="47" t="s">
        <v>1175</v>
      </c>
      <c r="Q178" s="47"/>
      <c r="R178" s="47"/>
      <c r="S178" s="47"/>
      <c r="T178" s="47"/>
      <c r="U178" s="47"/>
      <c r="V178" s="47"/>
      <c r="W178" s="47"/>
      <c r="X178" s="47"/>
      <c r="Y178" s="47"/>
      <c r="Z178" s="47"/>
    </row>
    <row r="179" spans="1:26" ht="15.75" customHeight="1">
      <c r="A179" s="5" t="str">
        <f t="shared" si="5"/>
        <v>355</v>
      </c>
      <c r="B179" s="39">
        <v>2000</v>
      </c>
      <c r="C179" s="323"/>
      <c r="D179" s="40" t="s">
        <v>1184</v>
      </c>
      <c r="E179" s="40" t="s">
        <v>1185</v>
      </c>
      <c r="F179" s="41" t="s">
        <v>1186</v>
      </c>
      <c r="G179" s="8" t="s">
        <v>1187</v>
      </c>
      <c r="H179" s="41" t="s">
        <v>1185</v>
      </c>
      <c r="I179" s="41" t="s">
        <v>1</v>
      </c>
      <c r="J179" s="42">
        <v>1112014204</v>
      </c>
      <c r="K179" s="41" t="s">
        <v>1139</v>
      </c>
      <c r="L179" s="48" t="s">
        <v>23</v>
      </c>
      <c r="M179" s="46" t="s">
        <v>252</v>
      </c>
      <c r="N179" s="45">
        <v>85</v>
      </c>
      <c r="O179" s="46" t="s">
        <v>83</v>
      </c>
      <c r="P179" s="47" t="s">
        <v>1175</v>
      </c>
      <c r="Q179" s="47"/>
      <c r="R179" s="47"/>
      <c r="S179" s="47"/>
      <c r="T179" s="47"/>
      <c r="U179" s="47"/>
      <c r="V179" s="47"/>
      <c r="W179" s="47"/>
      <c r="X179" s="47"/>
      <c r="Y179" s="47"/>
      <c r="Z179" s="47"/>
    </row>
    <row r="180" spans="1:26" ht="15.75" customHeight="1">
      <c r="A180" s="5" t="str">
        <f t="shared" si="5"/>
        <v>356</v>
      </c>
      <c r="B180" s="39">
        <v>2000</v>
      </c>
      <c r="C180" s="323"/>
      <c r="D180" s="40" t="s">
        <v>1188</v>
      </c>
      <c r="E180" s="40" t="s">
        <v>1189</v>
      </c>
      <c r="F180" s="41" t="s">
        <v>1190</v>
      </c>
      <c r="G180" s="8" t="s">
        <v>1191</v>
      </c>
      <c r="H180" s="41" t="s">
        <v>1189</v>
      </c>
      <c r="I180" s="41" t="s">
        <v>1</v>
      </c>
      <c r="J180" s="42">
        <v>1112014205</v>
      </c>
      <c r="K180" s="41" t="s">
        <v>1139</v>
      </c>
      <c r="L180" s="48" t="s">
        <v>23</v>
      </c>
      <c r="M180" s="46" t="s">
        <v>252</v>
      </c>
      <c r="N180" s="45">
        <v>85</v>
      </c>
      <c r="O180" s="46" t="s">
        <v>83</v>
      </c>
      <c r="P180" s="47" t="s">
        <v>1175</v>
      </c>
      <c r="Q180" s="47"/>
      <c r="R180" s="47"/>
      <c r="S180" s="47"/>
      <c r="T180" s="47"/>
      <c r="U180" s="47"/>
      <c r="V180" s="47"/>
      <c r="W180" s="47"/>
      <c r="X180" s="47"/>
      <c r="Y180" s="47"/>
      <c r="Z180" s="47"/>
    </row>
    <row r="181" spans="1:26" ht="15.75" customHeight="1">
      <c r="A181" s="5" t="str">
        <f t="shared" si="5"/>
        <v>357</v>
      </c>
      <c r="B181" s="39">
        <v>2000</v>
      </c>
      <c r="C181" s="323"/>
      <c r="D181" s="40" t="s">
        <v>1192</v>
      </c>
      <c r="E181" s="40" t="s">
        <v>1193</v>
      </c>
      <c r="F181" s="41" t="s">
        <v>1194</v>
      </c>
      <c r="G181" s="8" t="s">
        <v>1195</v>
      </c>
      <c r="H181" s="41" t="s">
        <v>1193</v>
      </c>
      <c r="I181" s="41" t="s">
        <v>1</v>
      </c>
      <c r="J181" s="42">
        <v>1112014206</v>
      </c>
      <c r="K181" s="41" t="s">
        <v>1139</v>
      </c>
      <c r="L181" s="43" t="s">
        <v>23</v>
      </c>
      <c r="M181" s="44" t="s">
        <v>252</v>
      </c>
      <c r="N181" s="45">
        <v>85</v>
      </c>
      <c r="O181" s="46" t="s">
        <v>83</v>
      </c>
      <c r="P181" s="47" t="s">
        <v>1175</v>
      </c>
      <c r="Q181" s="47"/>
      <c r="R181" s="47"/>
      <c r="S181" s="47"/>
      <c r="T181" s="47"/>
      <c r="U181" s="47"/>
      <c r="V181" s="47"/>
      <c r="W181" s="47"/>
      <c r="X181" s="47"/>
      <c r="Y181" s="47"/>
      <c r="Z181" s="47"/>
    </row>
    <row r="182" spans="1:26" ht="15.75" customHeight="1">
      <c r="A182" s="5" t="str">
        <f t="shared" si="5"/>
        <v>215</v>
      </c>
      <c r="B182" s="6">
        <v>2000</v>
      </c>
      <c r="C182" s="323"/>
      <c r="D182" s="24" t="s">
        <v>1196</v>
      </c>
      <c r="E182" s="24" t="s">
        <v>1197</v>
      </c>
      <c r="F182" s="7" t="s">
        <v>1198</v>
      </c>
      <c r="G182" s="8" t="s">
        <v>1074</v>
      </c>
      <c r="H182" s="7" t="s">
        <v>1197</v>
      </c>
      <c r="I182" s="21" t="s">
        <v>2383</v>
      </c>
      <c r="J182" s="49">
        <v>1112014002</v>
      </c>
      <c r="K182" s="7" t="s">
        <v>1139</v>
      </c>
      <c r="L182" s="50" t="s">
        <v>23</v>
      </c>
      <c r="M182" s="51" t="s">
        <v>252</v>
      </c>
      <c r="N182" s="1">
        <v>85</v>
      </c>
      <c r="O182" s="37" t="s">
        <v>83</v>
      </c>
      <c r="P182" s="13" t="s">
        <v>1175</v>
      </c>
    </row>
    <row r="183" spans="1:26" ht="15.75" customHeight="1">
      <c r="A183" s="5" t="str">
        <f t="shared" si="5"/>
        <v>216</v>
      </c>
      <c r="B183" s="6">
        <v>2000</v>
      </c>
      <c r="C183" s="323"/>
      <c r="D183" s="24" t="s">
        <v>1200</v>
      </c>
      <c r="E183" s="24" t="s">
        <v>1201</v>
      </c>
      <c r="F183" s="7" t="s">
        <v>1202</v>
      </c>
      <c r="G183" s="8" t="s">
        <v>1079</v>
      </c>
      <c r="H183" s="7" t="s">
        <v>1201</v>
      </c>
      <c r="I183" s="21" t="s">
        <v>2383</v>
      </c>
      <c r="J183" s="49">
        <v>1112014003</v>
      </c>
      <c r="K183" s="7" t="s">
        <v>1139</v>
      </c>
      <c r="L183" s="50" t="s">
        <v>23</v>
      </c>
      <c r="M183" s="51" t="s">
        <v>252</v>
      </c>
      <c r="N183" s="1">
        <v>85</v>
      </c>
      <c r="O183" s="37" t="s">
        <v>83</v>
      </c>
      <c r="P183" s="13" t="s">
        <v>1175</v>
      </c>
    </row>
    <row r="184" spans="1:26" ht="15.75" customHeight="1">
      <c r="A184" s="5" t="str">
        <f t="shared" si="5"/>
        <v>217</v>
      </c>
      <c r="B184" s="6">
        <v>2000</v>
      </c>
      <c r="C184" s="323"/>
      <c r="D184" s="24" t="s">
        <v>1203</v>
      </c>
      <c r="E184" s="24" t="s">
        <v>1204</v>
      </c>
      <c r="F184" s="7" t="s">
        <v>1205</v>
      </c>
      <c r="G184" s="8" t="s">
        <v>1084</v>
      </c>
      <c r="H184" s="7" t="s">
        <v>1204</v>
      </c>
      <c r="I184" s="21" t="s">
        <v>2383</v>
      </c>
      <c r="J184" s="49">
        <v>1112014004</v>
      </c>
      <c r="K184" s="7" t="s">
        <v>1139</v>
      </c>
      <c r="L184" s="50" t="s">
        <v>23</v>
      </c>
      <c r="M184" s="51" t="s">
        <v>252</v>
      </c>
      <c r="N184" s="1">
        <v>85</v>
      </c>
      <c r="O184" s="37" t="s">
        <v>83</v>
      </c>
      <c r="P184" s="13" t="s">
        <v>1175</v>
      </c>
    </row>
    <row r="185" spans="1:26" ht="15.75" customHeight="1">
      <c r="A185" s="5" t="str">
        <f t="shared" si="5"/>
        <v>218</v>
      </c>
      <c r="B185" s="6">
        <v>2000</v>
      </c>
      <c r="C185" s="323"/>
      <c r="D185" s="24" t="s">
        <v>1206</v>
      </c>
      <c r="E185" s="24" t="s">
        <v>1207</v>
      </c>
      <c r="F185" s="7" t="s">
        <v>1208</v>
      </c>
      <c r="G185" s="8" t="s">
        <v>1089</v>
      </c>
      <c r="H185" s="7" t="s">
        <v>1207</v>
      </c>
      <c r="I185" s="21" t="s">
        <v>2383</v>
      </c>
      <c r="J185" s="49">
        <v>1112014005</v>
      </c>
      <c r="K185" s="7" t="s">
        <v>1139</v>
      </c>
      <c r="L185" s="50" t="s">
        <v>23</v>
      </c>
      <c r="M185" s="51" t="s">
        <v>252</v>
      </c>
      <c r="N185" s="1">
        <v>85</v>
      </c>
      <c r="O185" s="37" t="s">
        <v>83</v>
      </c>
      <c r="P185" s="13" t="s">
        <v>1175</v>
      </c>
    </row>
    <row r="186" spans="1:26" ht="15.75" customHeight="1">
      <c r="A186" s="5" t="str">
        <f t="shared" si="5"/>
        <v>219</v>
      </c>
      <c r="B186" s="6">
        <v>2000</v>
      </c>
      <c r="C186" s="323"/>
      <c r="D186" s="24" t="s">
        <v>1209</v>
      </c>
      <c r="E186" s="24" t="s">
        <v>1210</v>
      </c>
      <c r="F186" s="7" t="s">
        <v>1211</v>
      </c>
      <c r="G186" s="8" t="s">
        <v>1094</v>
      </c>
      <c r="H186" s="7" t="s">
        <v>1210</v>
      </c>
      <c r="I186" s="21" t="s">
        <v>2383</v>
      </c>
      <c r="J186" s="49">
        <v>1112014006</v>
      </c>
      <c r="K186" s="7" t="s">
        <v>1139</v>
      </c>
      <c r="L186" s="50" t="s">
        <v>23</v>
      </c>
      <c r="M186" s="51" t="s">
        <v>252</v>
      </c>
      <c r="N186" s="1">
        <v>85</v>
      </c>
      <c r="O186" s="37" t="s">
        <v>83</v>
      </c>
      <c r="P186" s="13" t="s">
        <v>1175</v>
      </c>
    </row>
    <row r="187" spans="1:26" ht="15.75" customHeight="1">
      <c r="A187" s="5" t="str">
        <f t="shared" si="5"/>
        <v>220</v>
      </c>
      <c r="B187" s="6">
        <v>2000</v>
      </c>
      <c r="C187" s="323"/>
      <c r="D187" s="24" t="s">
        <v>1212</v>
      </c>
      <c r="E187" s="24" t="s">
        <v>1213</v>
      </c>
      <c r="F187" s="7" t="s">
        <v>1214</v>
      </c>
      <c r="G187" s="8" t="s">
        <v>1099</v>
      </c>
      <c r="H187" s="7" t="s">
        <v>1213</v>
      </c>
      <c r="I187" s="21" t="s">
        <v>2383</v>
      </c>
      <c r="J187" s="49">
        <v>1112014007</v>
      </c>
      <c r="K187" s="7" t="s">
        <v>1139</v>
      </c>
      <c r="L187" s="50" t="s">
        <v>23</v>
      </c>
      <c r="M187" s="51" t="s">
        <v>252</v>
      </c>
      <c r="N187" s="1">
        <v>85</v>
      </c>
      <c r="O187" s="37" t="s">
        <v>83</v>
      </c>
      <c r="P187" s="13" t="s">
        <v>1175</v>
      </c>
    </row>
    <row r="188" spans="1:26" ht="15.75" customHeight="1">
      <c r="A188" s="5" t="str">
        <f t="shared" si="5"/>
        <v>221</v>
      </c>
      <c r="B188" s="6">
        <v>2000</v>
      </c>
      <c r="C188" s="323"/>
      <c r="D188" s="24" t="s">
        <v>1215</v>
      </c>
      <c r="E188" s="24" t="s">
        <v>1216</v>
      </c>
      <c r="F188" s="7" t="s">
        <v>1217</v>
      </c>
      <c r="G188" s="8" t="s">
        <v>1114</v>
      </c>
      <c r="H188" s="7" t="s">
        <v>1216</v>
      </c>
      <c r="I188" s="21" t="s">
        <v>2383</v>
      </c>
      <c r="J188" s="49">
        <v>1112014008</v>
      </c>
      <c r="K188" s="7" t="s">
        <v>1139</v>
      </c>
      <c r="L188" s="50" t="s">
        <v>23</v>
      </c>
      <c r="M188" s="51" t="s">
        <v>252</v>
      </c>
      <c r="N188" s="1">
        <v>85</v>
      </c>
      <c r="O188" s="37" t="s">
        <v>83</v>
      </c>
      <c r="P188" s="13" t="s">
        <v>1175</v>
      </c>
    </row>
    <row r="189" spans="1:26" ht="15.75" customHeight="1">
      <c r="A189" s="5" t="str">
        <f t="shared" si="5"/>
        <v>358</v>
      </c>
      <c r="B189" s="39">
        <v>2000</v>
      </c>
      <c r="C189" s="323"/>
      <c r="D189" s="40" t="s">
        <v>1218</v>
      </c>
      <c r="E189" s="40" t="s">
        <v>1219</v>
      </c>
      <c r="F189" s="41" t="s">
        <v>1220</v>
      </c>
      <c r="G189" s="8" t="s">
        <v>1221</v>
      </c>
      <c r="H189" s="41" t="s">
        <v>1219</v>
      </c>
      <c r="I189" s="41" t="s">
        <v>1</v>
      </c>
      <c r="J189" s="42">
        <v>1112014009</v>
      </c>
      <c r="K189" s="41" t="s">
        <v>1139</v>
      </c>
      <c r="L189" s="43" t="s">
        <v>23</v>
      </c>
      <c r="M189" s="44" t="s">
        <v>252</v>
      </c>
      <c r="N189" s="45">
        <v>85</v>
      </c>
      <c r="O189" s="46" t="s">
        <v>83</v>
      </c>
      <c r="P189" s="47" t="s">
        <v>1175</v>
      </c>
      <c r="Q189" s="47"/>
      <c r="R189" s="47"/>
      <c r="S189" s="47"/>
      <c r="T189" s="47"/>
      <c r="U189" s="47"/>
      <c r="V189" s="47"/>
      <c r="W189" s="47"/>
      <c r="X189" s="47"/>
      <c r="Y189" s="47"/>
      <c r="Z189" s="47"/>
    </row>
    <row r="190" spans="1:26" ht="15.75" customHeight="1">
      <c r="A190" s="5" t="str">
        <f t="shared" si="5"/>
        <v>222</v>
      </c>
      <c r="B190" s="6">
        <v>2000</v>
      </c>
      <c r="C190" s="323"/>
      <c r="D190" s="24" t="s">
        <v>1222</v>
      </c>
      <c r="E190" s="24" t="s">
        <v>1223</v>
      </c>
      <c r="F190" s="7" t="s">
        <v>1224</v>
      </c>
      <c r="G190" s="8" t="s">
        <v>1118</v>
      </c>
      <c r="H190" s="21" t="s">
        <v>1223</v>
      </c>
      <c r="I190" s="21" t="s">
        <v>2387</v>
      </c>
      <c r="J190" s="21" t="s">
        <v>1225</v>
      </c>
      <c r="K190" s="7" t="s">
        <v>1139</v>
      </c>
      <c r="L190" s="52" t="s">
        <v>23</v>
      </c>
      <c r="M190" s="37" t="s">
        <v>252</v>
      </c>
      <c r="N190" s="1">
        <v>85</v>
      </c>
      <c r="O190" s="37" t="s">
        <v>83</v>
      </c>
      <c r="P190" s="13" t="s">
        <v>1175</v>
      </c>
    </row>
    <row r="191" spans="1:26" ht="15.75" customHeight="1">
      <c r="A191" s="5" t="str">
        <f t="shared" si="5"/>
        <v>359</v>
      </c>
      <c r="B191" s="39">
        <v>2000</v>
      </c>
      <c r="C191" s="323"/>
      <c r="D191" s="40" t="s">
        <v>1226</v>
      </c>
      <c r="E191" s="40" t="s">
        <v>1227</v>
      </c>
      <c r="F191" s="41" t="s">
        <v>1228</v>
      </c>
      <c r="G191" s="8" t="s">
        <v>1229</v>
      </c>
      <c r="H191" s="41" t="s">
        <v>1227</v>
      </c>
      <c r="I191" s="41" t="s">
        <v>1</v>
      </c>
      <c r="J191" s="42">
        <v>1112014102</v>
      </c>
      <c r="K191" s="41" t="s">
        <v>1139</v>
      </c>
      <c r="L191" s="43" t="s">
        <v>23</v>
      </c>
      <c r="M191" s="44" t="s">
        <v>252</v>
      </c>
      <c r="N191" s="45">
        <v>85</v>
      </c>
      <c r="O191" s="46" t="s">
        <v>83</v>
      </c>
      <c r="P191" s="47" t="s">
        <v>1175</v>
      </c>
      <c r="Q191" s="47"/>
      <c r="R191" s="47"/>
      <c r="S191" s="47"/>
      <c r="T191" s="47"/>
      <c r="U191" s="47"/>
      <c r="V191" s="47"/>
      <c r="W191" s="47"/>
      <c r="X191" s="47"/>
      <c r="Y191" s="47"/>
      <c r="Z191" s="47"/>
    </row>
    <row r="192" spans="1:26" ht="15.75" customHeight="1">
      <c r="A192" s="5" t="str">
        <f t="shared" si="5"/>
        <v>360</v>
      </c>
      <c r="B192" s="39">
        <v>2000</v>
      </c>
      <c r="C192" s="323"/>
      <c r="D192" s="40" t="s">
        <v>1230</v>
      </c>
      <c r="E192" s="40" t="s">
        <v>1231</v>
      </c>
      <c r="F192" s="41" t="s">
        <v>1232</v>
      </c>
      <c r="G192" s="8" t="s">
        <v>1233</v>
      </c>
      <c r="H192" s="41" t="s">
        <v>1231</v>
      </c>
      <c r="I192" s="41" t="s">
        <v>1</v>
      </c>
      <c r="J192" s="42">
        <v>1112014103</v>
      </c>
      <c r="K192" s="41" t="s">
        <v>1139</v>
      </c>
      <c r="L192" s="43" t="s">
        <v>23</v>
      </c>
      <c r="M192" s="44" t="s">
        <v>252</v>
      </c>
      <c r="N192" s="45">
        <v>85</v>
      </c>
      <c r="O192" s="46" t="s">
        <v>83</v>
      </c>
      <c r="P192" s="47" t="s">
        <v>1175</v>
      </c>
      <c r="Q192" s="47"/>
      <c r="R192" s="47"/>
      <c r="S192" s="47"/>
      <c r="T192" s="47"/>
      <c r="U192" s="47"/>
      <c r="V192" s="47"/>
      <c r="W192" s="47"/>
      <c r="X192" s="47"/>
      <c r="Y192" s="47"/>
      <c r="Z192" s="47"/>
    </row>
    <row r="193" spans="1:26" ht="15.75" customHeight="1">
      <c r="A193" s="5" t="str">
        <f t="shared" si="5"/>
        <v>361</v>
      </c>
      <c r="B193" s="39">
        <v>2000</v>
      </c>
      <c r="C193" s="323"/>
      <c r="D193" s="40" t="s">
        <v>1234</v>
      </c>
      <c r="E193" s="40" t="s">
        <v>1235</v>
      </c>
      <c r="F193" s="41" t="s">
        <v>1236</v>
      </c>
      <c r="G193" s="8" t="s">
        <v>1237</v>
      </c>
      <c r="H193" s="41" t="s">
        <v>1235</v>
      </c>
      <c r="I193" s="41" t="s">
        <v>1</v>
      </c>
      <c r="J193" s="42">
        <v>1112014104</v>
      </c>
      <c r="K193" s="41" t="s">
        <v>1139</v>
      </c>
      <c r="L193" s="43" t="s">
        <v>23</v>
      </c>
      <c r="M193" s="44" t="s">
        <v>252</v>
      </c>
      <c r="N193" s="45">
        <v>85</v>
      </c>
      <c r="O193" s="46" t="s">
        <v>83</v>
      </c>
      <c r="P193" s="47" t="s">
        <v>1175</v>
      </c>
      <c r="Q193" s="47"/>
      <c r="R193" s="47"/>
      <c r="S193" s="47"/>
      <c r="T193" s="47"/>
      <c r="U193" s="47"/>
      <c r="V193" s="47"/>
      <c r="W193" s="47"/>
      <c r="X193" s="47"/>
      <c r="Y193" s="47"/>
      <c r="Z193" s="47"/>
    </row>
    <row r="194" spans="1:26" ht="15.75" customHeight="1">
      <c r="A194" s="5" t="str">
        <f t="shared" si="5"/>
        <v>362</v>
      </c>
      <c r="B194" s="39">
        <v>2000</v>
      </c>
      <c r="C194" s="323"/>
      <c r="D194" s="40" t="s">
        <v>1238</v>
      </c>
      <c r="E194" s="40" t="s">
        <v>1239</v>
      </c>
      <c r="F194" s="41" t="s">
        <v>1240</v>
      </c>
      <c r="G194" s="8" t="s">
        <v>1241</v>
      </c>
      <c r="H194" s="41" t="s">
        <v>1239</v>
      </c>
      <c r="I194" s="41" t="s">
        <v>1</v>
      </c>
      <c r="J194" s="42">
        <v>1112014105</v>
      </c>
      <c r="K194" s="41" t="s">
        <v>1139</v>
      </c>
      <c r="L194" s="43" t="s">
        <v>23</v>
      </c>
      <c r="M194" s="44" t="s">
        <v>252</v>
      </c>
      <c r="N194" s="45">
        <v>85</v>
      </c>
      <c r="O194" s="46" t="s">
        <v>83</v>
      </c>
      <c r="P194" s="47" t="s">
        <v>1175</v>
      </c>
      <c r="Q194" s="47"/>
      <c r="R194" s="47"/>
      <c r="S194" s="47"/>
      <c r="T194" s="47"/>
      <c r="U194" s="47"/>
      <c r="V194" s="47"/>
      <c r="W194" s="47"/>
      <c r="X194" s="47"/>
      <c r="Y194" s="47"/>
      <c r="Z194" s="47"/>
    </row>
    <row r="195" spans="1:26" ht="15.75" customHeight="1">
      <c r="A195" s="5" t="str">
        <f t="shared" si="5"/>
        <v>363</v>
      </c>
      <c r="B195" s="39">
        <v>2000</v>
      </c>
      <c r="C195" s="324"/>
      <c r="D195" s="40" t="s">
        <v>1242</v>
      </c>
      <c r="E195" s="40" t="s">
        <v>1243</v>
      </c>
      <c r="F195" s="41" t="s">
        <v>1244</v>
      </c>
      <c r="G195" s="8" t="s">
        <v>1245</v>
      </c>
      <c r="H195" s="41" t="s">
        <v>1243</v>
      </c>
      <c r="I195" s="41" t="s">
        <v>1</v>
      </c>
      <c r="J195" s="42">
        <v>1112014106</v>
      </c>
      <c r="K195" s="41" t="s">
        <v>1139</v>
      </c>
      <c r="L195" s="43" t="s">
        <v>23</v>
      </c>
      <c r="M195" s="44" t="s">
        <v>252</v>
      </c>
      <c r="N195" s="45">
        <v>85</v>
      </c>
      <c r="O195" s="46" t="s">
        <v>83</v>
      </c>
      <c r="P195" s="47" t="s">
        <v>1175</v>
      </c>
      <c r="Q195" s="47"/>
      <c r="R195" s="47"/>
      <c r="S195" s="47"/>
      <c r="T195" s="47"/>
      <c r="U195" s="47"/>
      <c r="V195" s="47"/>
      <c r="W195" s="47"/>
      <c r="X195" s="47"/>
      <c r="Y195" s="47"/>
      <c r="Z195" s="47"/>
    </row>
    <row r="196" spans="1:26" ht="15.75" customHeight="1">
      <c r="A196" s="5" t="str">
        <f t="shared" si="5"/>
        <v>228</v>
      </c>
      <c r="B196" s="6">
        <v>2000</v>
      </c>
      <c r="C196" s="422" t="s">
        <v>1266</v>
      </c>
      <c r="D196" s="7" t="s">
        <v>1267</v>
      </c>
      <c r="E196" s="7" t="s">
        <v>1268</v>
      </c>
      <c r="F196" s="7" t="s">
        <v>1025</v>
      </c>
      <c r="G196" s="8" t="s">
        <v>1143</v>
      </c>
      <c r="H196" s="7" t="s">
        <v>1268</v>
      </c>
      <c r="I196" s="21" t="s">
        <v>2388</v>
      </c>
      <c r="J196" s="6" t="s">
        <v>1269</v>
      </c>
      <c r="K196" s="7" t="s">
        <v>1139</v>
      </c>
      <c r="L196" s="10" t="s">
        <v>23</v>
      </c>
      <c r="M196" s="53" t="s">
        <v>252</v>
      </c>
      <c r="N196" s="1">
        <v>85</v>
      </c>
      <c r="O196" s="53" t="s">
        <v>83</v>
      </c>
      <c r="P196" s="31" t="s">
        <v>1175</v>
      </c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>
      <c r="A197" s="5" t="str">
        <f t="shared" si="5"/>
        <v>229</v>
      </c>
      <c r="B197" s="6">
        <v>2000</v>
      </c>
      <c r="C197" s="323"/>
      <c r="D197" s="7" t="s">
        <v>1270</v>
      </c>
      <c r="E197" s="7" t="s">
        <v>1271</v>
      </c>
      <c r="F197" s="7" t="s">
        <v>1030</v>
      </c>
      <c r="G197" s="8" t="s">
        <v>1147</v>
      </c>
      <c r="H197" s="7" t="s">
        <v>1271</v>
      </c>
      <c r="I197" s="21" t="s">
        <v>2388</v>
      </c>
      <c r="J197" s="6" t="s">
        <v>1272</v>
      </c>
      <c r="K197" s="7" t="s">
        <v>1139</v>
      </c>
      <c r="L197" s="10" t="s">
        <v>23</v>
      </c>
      <c r="M197" s="53" t="s">
        <v>252</v>
      </c>
      <c r="N197" s="1">
        <v>85</v>
      </c>
      <c r="O197" s="53" t="s">
        <v>83</v>
      </c>
      <c r="P197" s="31" t="s">
        <v>1175</v>
      </c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>
      <c r="A198" s="5" t="str">
        <f t="shared" si="5"/>
        <v>230</v>
      </c>
      <c r="B198" s="6">
        <v>2000</v>
      </c>
      <c r="C198" s="323"/>
      <c r="D198" s="7" t="s">
        <v>1273</v>
      </c>
      <c r="E198" s="7" t="s">
        <v>1274</v>
      </c>
      <c r="F198" s="7" t="s">
        <v>1275</v>
      </c>
      <c r="G198" s="8" t="s">
        <v>1151</v>
      </c>
      <c r="H198" s="7" t="s">
        <v>1274</v>
      </c>
      <c r="I198" s="21" t="s">
        <v>2388</v>
      </c>
      <c r="J198" s="6" t="s">
        <v>1276</v>
      </c>
      <c r="K198" s="7" t="s">
        <v>1139</v>
      </c>
      <c r="L198" s="10" t="s">
        <v>23</v>
      </c>
      <c r="M198" s="53" t="s">
        <v>252</v>
      </c>
      <c r="N198" s="1">
        <v>85</v>
      </c>
      <c r="O198" s="53" t="s">
        <v>83</v>
      </c>
      <c r="P198" s="31" t="s">
        <v>1175</v>
      </c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>
      <c r="A199" s="5" t="str">
        <f t="shared" si="5"/>
        <v>364</v>
      </c>
      <c r="B199" s="39">
        <v>2000</v>
      </c>
      <c r="C199" s="323"/>
      <c r="D199" s="41" t="s">
        <v>1277</v>
      </c>
      <c r="E199" s="41" t="s">
        <v>1278</v>
      </c>
      <c r="F199" s="41" t="s">
        <v>1279</v>
      </c>
      <c r="G199" s="8" t="s">
        <v>1280</v>
      </c>
      <c r="H199" s="41" t="s">
        <v>1278</v>
      </c>
      <c r="I199" s="41" t="s">
        <v>1</v>
      </c>
      <c r="J199" s="39" t="s">
        <v>1281</v>
      </c>
      <c r="K199" s="41" t="s">
        <v>1139</v>
      </c>
      <c r="L199" s="54" t="s">
        <v>23</v>
      </c>
      <c r="M199" s="204" t="s">
        <v>252</v>
      </c>
      <c r="N199" s="45">
        <v>85</v>
      </c>
      <c r="O199" s="204" t="s">
        <v>83</v>
      </c>
      <c r="P199" s="47" t="s">
        <v>1175</v>
      </c>
      <c r="Q199" s="47"/>
      <c r="R199" s="47"/>
      <c r="S199" s="47"/>
      <c r="T199" s="47"/>
      <c r="U199" s="47"/>
      <c r="V199" s="47"/>
      <c r="W199" s="47"/>
      <c r="X199" s="47"/>
      <c r="Y199" s="47"/>
      <c r="Z199" s="47"/>
    </row>
    <row r="200" spans="1:26" ht="15.75" customHeight="1">
      <c r="A200" s="5" t="str">
        <f t="shared" si="5"/>
        <v>365</v>
      </c>
      <c r="B200" s="39">
        <v>2000</v>
      </c>
      <c r="C200" s="323"/>
      <c r="D200" s="41" t="s">
        <v>1282</v>
      </c>
      <c r="E200" s="41" t="s">
        <v>1283</v>
      </c>
      <c r="F200" s="41" t="s">
        <v>1284</v>
      </c>
      <c r="G200" s="8" t="s">
        <v>1285</v>
      </c>
      <c r="H200" s="41" t="s">
        <v>1283</v>
      </c>
      <c r="I200" s="41" t="s">
        <v>1</v>
      </c>
      <c r="J200" s="39" t="s">
        <v>1286</v>
      </c>
      <c r="K200" s="41" t="s">
        <v>1139</v>
      </c>
      <c r="L200" s="54" t="s">
        <v>23</v>
      </c>
      <c r="M200" s="204" t="s">
        <v>252</v>
      </c>
      <c r="N200" s="45">
        <v>85</v>
      </c>
      <c r="O200" s="204" t="s">
        <v>83</v>
      </c>
      <c r="P200" s="47" t="s">
        <v>1175</v>
      </c>
      <c r="Q200" s="47"/>
      <c r="R200" s="47"/>
      <c r="S200" s="47"/>
      <c r="T200" s="47"/>
      <c r="U200" s="47"/>
      <c r="V200" s="47"/>
      <c r="W200" s="47"/>
      <c r="X200" s="47"/>
      <c r="Y200" s="47"/>
      <c r="Z200" s="47"/>
    </row>
    <row r="201" spans="1:26" ht="15.75" customHeight="1">
      <c r="A201" s="5" t="str">
        <f t="shared" si="5"/>
        <v>366</v>
      </c>
      <c r="B201" s="39">
        <v>2000</v>
      </c>
      <c r="C201" s="323"/>
      <c r="D201" s="41" t="s">
        <v>1287</v>
      </c>
      <c r="E201" s="41" t="s">
        <v>1288</v>
      </c>
      <c r="F201" s="41" t="s">
        <v>1289</v>
      </c>
      <c r="G201" s="8" t="s">
        <v>1290</v>
      </c>
      <c r="H201" s="41" t="s">
        <v>1288</v>
      </c>
      <c r="I201" s="41" t="s">
        <v>1</v>
      </c>
      <c r="J201" s="39" t="s">
        <v>1291</v>
      </c>
      <c r="K201" s="41" t="s">
        <v>1139</v>
      </c>
      <c r="L201" s="54" t="s">
        <v>23</v>
      </c>
      <c r="M201" s="204" t="s">
        <v>252</v>
      </c>
      <c r="N201" s="45">
        <v>85</v>
      </c>
      <c r="O201" s="204" t="s">
        <v>83</v>
      </c>
      <c r="P201" s="47" t="s">
        <v>1175</v>
      </c>
      <c r="Q201" s="47"/>
      <c r="R201" s="47"/>
      <c r="S201" s="47"/>
      <c r="T201" s="47"/>
      <c r="U201" s="47"/>
      <c r="V201" s="47"/>
      <c r="W201" s="47"/>
      <c r="X201" s="47"/>
      <c r="Y201" s="47"/>
      <c r="Z201" s="47"/>
    </row>
    <row r="202" spans="1:26" ht="15.75" customHeight="1">
      <c r="A202" s="5" t="str">
        <f t="shared" si="5"/>
        <v>367</v>
      </c>
      <c r="B202" s="39">
        <v>2000</v>
      </c>
      <c r="C202" s="323"/>
      <c r="D202" s="41" t="s">
        <v>1292</v>
      </c>
      <c r="E202" s="41" t="s">
        <v>1293</v>
      </c>
      <c r="F202" s="41" t="s">
        <v>1294</v>
      </c>
      <c r="G202" s="8" t="s">
        <v>1295</v>
      </c>
      <c r="H202" s="41" t="s">
        <v>1293</v>
      </c>
      <c r="I202" s="41" t="s">
        <v>1</v>
      </c>
      <c r="J202" s="39" t="s">
        <v>1296</v>
      </c>
      <c r="K202" s="41" t="s">
        <v>1139</v>
      </c>
      <c r="L202" s="54" t="s">
        <v>23</v>
      </c>
      <c r="M202" s="204" t="s">
        <v>252</v>
      </c>
      <c r="N202" s="45">
        <v>85</v>
      </c>
      <c r="O202" s="204" t="s">
        <v>83</v>
      </c>
      <c r="P202" s="47" t="s">
        <v>1175</v>
      </c>
      <c r="Q202" s="47"/>
      <c r="R202" s="47"/>
      <c r="S202" s="47"/>
      <c r="T202" s="47"/>
      <c r="U202" s="47"/>
      <c r="V202" s="47"/>
      <c r="W202" s="47"/>
      <c r="X202" s="47"/>
      <c r="Y202" s="47"/>
      <c r="Z202" s="47"/>
    </row>
    <row r="203" spans="1:26" ht="15.75" customHeight="1">
      <c r="A203" s="5" t="str">
        <f t="shared" si="5"/>
        <v>368</v>
      </c>
      <c r="B203" s="39">
        <v>2000</v>
      </c>
      <c r="C203" s="323"/>
      <c r="D203" s="41" t="s">
        <v>1297</v>
      </c>
      <c r="E203" s="41" t="s">
        <v>1298</v>
      </c>
      <c r="F203" s="41" t="s">
        <v>1299</v>
      </c>
      <c r="G203" s="8" t="s">
        <v>1300</v>
      </c>
      <c r="H203" s="41" t="s">
        <v>1298</v>
      </c>
      <c r="I203" s="41" t="s">
        <v>1</v>
      </c>
      <c r="J203" s="39" t="s">
        <v>1301</v>
      </c>
      <c r="K203" s="41" t="s">
        <v>1139</v>
      </c>
      <c r="L203" s="54" t="s">
        <v>23</v>
      </c>
      <c r="M203" s="204" t="s">
        <v>252</v>
      </c>
      <c r="N203" s="45">
        <v>85</v>
      </c>
      <c r="O203" s="204" t="s">
        <v>83</v>
      </c>
      <c r="P203" s="47" t="s">
        <v>1175</v>
      </c>
      <c r="Q203" s="47"/>
      <c r="R203" s="47"/>
      <c r="S203" s="47"/>
      <c r="T203" s="47"/>
      <c r="U203" s="47"/>
      <c r="V203" s="47"/>
      <c r="W203" s="47"/>
      <c r="X203" s="47"/>
      <c r="Y203" s="47"/>
      <c r="Z203" s="47"/>
    </row>
    <row r="204" spans="1:26" ht="15.75" customHeight="1">
      <c r="A204" s="5" t="str">
        <f t="shared" si="5"/>
        <v>369</v>
      </c>
      <c r="B204" s="39">
        <v>2000</v>
      </c>
      <c r="C204" s="323"/>
      <c r="D204" s="41" t="s">
        <v>1302</v>
      </c>
      <c r="E204" s="41" t="s">
        <v>1303</v>
      </c>
      <c r="F204" s="41" t="s">
        <v>1304</v>
      </c>
      <c r="G204" s="8" t="s">
        <v>1305</v>
      </c>
      <c r="H204" s="41" t="s">
        <v>1303</v>
      </c>
      <c r="I204" s="41" t="s">
        <v>1</v>
      </c>
      <c r="J204" s="39" t="s">
        <v>1272</v>
      </c>
      <c r="K204" s="41" t="s">
        <v>1139</v>
      </c>
      <c r="L204" s="54" t="s">
        <v>23</v>
      </c>
      <c r="M204" s="204" t="s">
        <v>252</v>
      </c>
      <c r="N204" s="45">
        <v>85</v>
      </c>
      <c r="O204" s="204" t="s">
        <v>83</v>
      </c>
      <c r="P204" s="47" t="s">
        <v>1175</v>
      </c>
      <c r="Q204" s="47"/>
      <c r="R204" s="47"/>
      <c r="S204" s="47"/>
      <c r="T204" s="47"/>
      <c r="U204" s="47"/>
      <c r="V204" s="47"/>
      <c r="W204" s="47"/>
      <c r="X204" s="47"/>
      <c r="Y204" s="47"/>
      <c r="Z204" s="47"/>
    </row>
    <row r="205" spans="1:26" ht="15.75" customHeight="1">
      <c r="A205" s="5" t="str">
        <f t="shared" si="5"/>
        <v>370</v>
      </c>
      <c r="B205" s="39">
        <v>2000</v>
      </c>
      <c r="C205" s="323"/>
      <c r="D205" s="41" t="s">
        <v>1306</v>
      </c>
      <c r="E205" s="41" t="s">
        <v>1307</v>
      </c>
      <c r="F205" s="41" t="s">
        <v>1308</v>
      </c>
      <c r="G205" s="8" t="s">
        <v>1309</v>
      </c>
      <c r="H205" s="41" t="s">
        <v>1307</v>
      </c>
      <c r="I205" s="41" t="s">
        <v>1</v>
      </c>
      <c r="J205" s="39">
        <v>1112016010</v>
      </c>
      <c r="K205" s="41" t="s">
        <v>1139</v>
      </c>
      <c r="L205" s="54" t="s">
        <v>23</v>
      </c>
      <c r="M205" s="204" t="s">
        <v>252</v>
      </c>
      <c r="N205" s="45">
        <v>85</v>
      </c>
      <c r="O205" s="204" t="s">
        <v>83</v>
      </c>
      <c r="P205" s="47" t="s">
        <v>1175</v>
      </c>
      <c r="Q205" s="47"/>
      <c r="R205" s="47"/>
      <c r="S205" s="47"/>
      <c r="T205" s="47"/>
      <c r="U205" s="47"/>
      <c r="V205" s="47"/>
      <c r="W205" s="47"/>
      <c r="X205" s="47"/>
      <c r="Y205" s="47"/>
      <c r="Z205" s="47"/>
    </row>
    <row r="206" spans="1:26" ht="15.75" customHeight="1">
      <c r="A206" s="5" t="str">
        <f t="shared" si="5"/>
        <v>371</v>
      </c>
      <c r="B206" s="39">
        <v>2000</v>
      </c>
      <c r="C206" s="323"/>
      <c r="D206" s="41" t="s">
        <v>1310</v>
      </c>
      <c r="E206" s="41" t="s">
        <v>1311</v>
      </c>
      <c r="F206" s="41" t="s">
        <v>1312</v>
      </c>
      <c r="G206" s="8" t="s">
        <v>1313</v>
      </c>
      <c r="H206" s="41" t="s">
        <v>1311</v>
      </c>
      <c r="I206" s="41" t="s">
        <v>1</v>
      </c>
      <c r="J206" s="39">
        <v>1112016011</v>
      </c>
      <c r="K206" s="41" t="s">
        <v>1139</v>
      </c>
      <c r="L206" s="54" t="s">
        <v>23</v>
      </c>
      <c r="M206" s="204" t="s">
        <v>252</v>
      </c>
      <c r="N206" s="45">
        <v>85</v>
      </c>
      <c r="O206" s="204" t="s">
        <v>83</v>
      </c>
      <c r="P206" s="47" t="s">
        <v>1175</v>
      </c>
      <c r="Q206" s="47"/>
      <c r="R206" s="47"/>
      <c r="S206" s="47"/>
      <c r="T206" s="47"/>
      <c r="U206" s="47"/>
      <c r="V206" s="47"/>
      <c r="W206" s="47"/>
      <c r="X206" s="47"/>
      <c r="Y206" s="47"/>
      <c r="Z206" s="47"/>
    </row>
    <row r="207" spans="1:26" ht="15.75" customHeight="1">
      <c r="A207" s="5" t="str">
        <f t="shared" si="5"/>
        <v>372</v>
      </c>
      <c r="B207" s="39">
        <v>2000</v>
      </c>
      <c r="C207" s="323"/>
      <c r="D207" s="41" t="s">
        <v>1314</v>
      </c>
      <c r="E207" s="41" t="s">
        <v>1315</v>
      </c>
      <c r="F207" s="41" t="s">
        <v>1316</v>
      </c>
      <c r="G207" s="8" t="s">
        <v>1317</v>
      </c>
      <c r="H207" s="41" t="s">
        <v>1315</v>
      </c>
      <c r="I207" s="41" t="s">
        <v>1</v>
      </c>
      <c r="J207" s="39">
        <v>1112016012</v>
      </c>
      <c r="K207" s="41" t="s">
        <v>1139</v>
      </c>
      <c r="L207" s="54" t="s">
        <v>23</v>
      </c>
      <c r="M207" s="204" t="s">
        <v>252</v>
      </c>
      <c r="N207" s="45">
        <v>85</v>
      </c>
      <c r="O207" s="204" t="s">
        <v>83</v>
      </c>
      <c r="P207" s="47" t="s">
        <v>1175</v>
      </c>
      <c r="Q207" s="47"/>
      <c r="R207" s="47"/>
      <c r="S207" s="47"/>
      <c r="T207" s="47"/>
      <c r="U207" s="47"/>
      <c r="V207" s="47"/>
      <c r="W207" s="47"/>
      <c r="X207" s="47"/>
      <c r="Y207" s="47"/>
      <c r="Z207" s="47"/>
    </row>
    <row r="208" spans="1:26" ht="15.75" customHeight="1">
      <c r="A208" s="5" t="str">
        <f t="shared" si="5"/>
        <v>373</v>
      </c>
      <c r="B208" s="39">
        <v>2000</v>
      </c>
      <c r="C208" s="323"/>
      <c r="D208" s="41" t="s">
        <v>1318</v>
      </c>
      <c r="E208" s="41" t="s">
        <v>1319</v>
      </c>
      <c r="F208" s="41" t="s">
        <v>1320</v>
      </c>
      <c r="G208" s="8" t="s">
        <v>1321</v>
      </c>
      <c r="H208" s="41" t="s">
        <v>1319</v>
      </c>
      <c r="I208" s="41" t="s">
        <v>1</v>
      </c>
      <c r="J208" s="39">
        <v>1112016013</v>
      </c>
      <c r="K208" s="41" t="s">
        <v>1139</v>
      </c>
      <c r="L208" s="54" t="s">
        <v>23</v>
      </c>
      <c r="M208" s="204" t="s">
        <v>252</v>
      </c>
      <c r="N208" s="45">
        <v>85</v>
      </c>
      <c r="O208" s="204" t="s">
        <v>83</v>
      </c>
      <c r="P208" s="47" t="s">
        <v>1175</v>
      </c>
      <c r="Q208" s="47"/>
      <c r="R208" s="47"/>
      <c r="S208" s="47"/>
      <c r="T208" s="47"/>
      <c r="U208" s="47"/>
      <c r="V208" s="47"/>
      <c r="W208" s="47"/>
      <c r="X208" s="47"/>
      <c r="Y208" s="47"/>
      <c r="Z208" s="47"/>
    </row>
    <row r="209" spans="1:26" ht="15.75" customHeight="1">
      <c r="A209" s="5" t="str">
        <f t="shared" si="5"/>
        <v>374</v>
      </c>
      <c r="B209" s="39">
        <v>2000</v>
      </c>
      <c r="C209" s="323"/>
      <c r="D209" s="41" t="s">
        <v>1322</v>
      </c>
      <c r="E209" s="41" t="s">
        <v>1323</v>
      </c>
      <c r="F209" s="41" t="s">
        <v>1324</v>
      </c>
      <c r="G209" s="8" t="s">
        <v>1325</v>
      </c>
      <c r="H209" s="41" t="s">
        <v>1323</v>
      </c>
      <c r="I209" s="41" t="s">
        <v>1</v>
      </c>
      <c r="J209" s="39">
        <v>1112016014</v>
      </c>
      <c r="K209" s="41" t="s">
        <v>1139</v>
      </c>
      <c r="L209" s="54" t="s">
        <v>23</v>
      </c>
      <c r="M209" s="204" t="s">
        <v>252</v>
      </c>
      <c r="N209" s="45">
        <v>85</v>
      </c>
      <c r="O209" s="204" t="s">
        <v>83</v>
      </c>
      <c r="P209" s="47" t="s">
        <v>1175</v>
      </c>
      <c r="Q209" s="47"/>
      <c r="R209" s="47"/>
      <c r="S209" s="47"/>
      <c r="T209" s="47"/>
      <c r="U209" s="47"/>
      <c r="V209" s="47"/>
      <c r="W209" s="47"/>
      <c r="X209" s="47"/>
      <c r="Y209" s="47"/>
      <c r="Z209" s="47"/>
    </row>
    <row r="210" spans="1:26" ht="15.75" customHeight="1">
      <c r="A210" s="5" t="str">
        <f t="shared" si="5"/>
        <v>375</v>
      </c>
      <c r="B210" s="39">
        <v>2000</v>
      </c>
      <c r="C210" s="323"/>
      <c r="D210" s="41" t="s">
        <v>1326</v>
      </c>
      <c r="E210" s="41" t="s">
        <v>1327</v>
      </c>
      <c r="F210" s="41" t="s">
        <v>1328</v>
      </c>
      <c r="G210" s="8" t="s">
        <v>1329</v>
      </c>
      <c r="H210" s="41" t="s">
        <v>1327</v>
      </c>
      <c r="I210" s="41" t="s">
        <v>1</v>
      </c>
      <c r="J210" s="39" t="s">
        <v>1276</v>
      </c>
      <c r="K210" s="41" t="s">
        <v>1139</v>
      </c>
      <c r="L210" s="54" t="s">
        <v>23</v>
      </c>
      <c r="M210" s="204" t="s">
        <v>252</v>
      </c>
      <c r="N210" s="45">
        <v>85</v>
      </c>
      <c r="O210" s="204" t="s">
        <v>83</v>
      </c>
      <c r="P210" s="47" t="s">
        <v>1175</v>
      </c>
      <c r="Q210" s="47"/>
      <c r="R210" s="47"/>
      <c r="S210" s="47"/>
      <c r="T210" s="47"/>
      <c r="U210" s="47"/>
      <c r="V210" s="47"/>
      <c r="W210" s="47"/>
      <c r="X210" s="47"/>
      <c r="Y210" s="47"/>
      <c r="Z210" s="47"/>
    </row>
    <row r="211" spans="1:26" ht="15.75" customHeight="1">
      <c r="A211" s="5" t="str">
        <f t="shared" si="5"/>
        <v>376</v>
      </c>
      <c r="B211" s="39">
        <v>2000</v>
      </c>
      <c r="C211" s="323"/>
      <c r="D211" s="41" t="s">
        <v>1330</v>
      </c>
      <c r="E211" s="41" t="s">
        <v>1331</v>
      </c>
      <c r="F211" s="41" t="s">
        <v>1332</v>
      </c>
      <c r="G211" s="8" t="s">
        <v>1333</v>
      </c>
      <c r="H211" s="41" t="s">
        <v>1331</v>
      </c>
      <c r="I211" s="41" t="s">
        <v>1</v>
      </c>
      <c r="J211" s="39">
        <v>1112016016</v>
      </c>
      <c r="K211" s="41" t="s">
        <v>1139</v>
      </c>
      <c r="L211" s="54" t="s">
        <v>23</v>
      </c>
      <c r="M211" s="204" t="s">
        <v>252</v>
      </c>
      <c r="N211" s="45">
        <v>85</v>
      </c>
      <c r="O211" s="204" t="s">
        <v>83</v>
      </c>
      <c r="P211" s="47" t="s">
        <v>1175</v>
      </c>
      <c r="Q211" s="47"/>
      <c r="R211" s="47"/>
      <c r="S211" s="47"/>
      <c r="T211" s="47"/>
      <c r="U211" s="47"/>
      <c r="V211" s="47"/>
      <c r="W211" s="47"/>
      <c r="X211" s="47"/>
      <c r="Y211" s="47"/>
      <c r="Z211" s="47"/>
    </row>
    <row r="212" spans="1:26" ht="15.75" customHeight="1">
      <c r="A212" s="5" t="str">
        <f t="shared" si="5"/>
        <v>377</v>
      </c>
      <c r="B212" s="39">
        <v>2000</v>
      </c>
      <c r="C212" s="323"/>
      <c r="D212" s="41" t="s">
        <v>1334</v>
      </c>
      <c r="E212" s="41" t="s">
        <v>1335</v>
      </c>
      <c r="F212" s="41" t="s">
        <v>1336</v>
      </c>
      <c r="G212" s="8" t="s">
        <v>1337</v>
      </c>
      <c r="H212" s="41" t="s">
        <v>1335</v>
      </c>
      <c r="I212" s="41" t="s">
        <v>1</v>
      </c>
      <c r="J212" s="39">
        <v>1112016017</v>
      </c>
      <c r="K212" s="41" t="s">
        <v>1139</v>
      </c>
      <c r="L212" s="54" t="s">
        <v>23</v>
      </c>
      <c r="M212" s="204" t="s">
        <v>252</v>
      </c>
      <c r="N212" s="45">
        <v>85</v>
      </c>
      <c r="O212" s="204" t="s">
        <v>83</v>
      </c>
      <c r="P212" s="47" t="s">
        <v>1175</v>
      </c>
      <c r="Q212" s="47"/>
      <c r="R212" s="47"/>
      <c r="S212" s="47"/>
      <c r="T212" s="47"/>
      <c r="U212" s="47"/>
      <c r="V212" s="47"/>
      <c r="W212" s="47"/>
      <c r="X212" s="47"/>
      <c r="Y212" s="47"/>
      <c r="Z212" s="47"/>
    </row>
    <row r="213" spans="1:26" ht="15.75" customHeight="1">
      <c r="A213" s="5" t="str">
        <f t="shared" si="5"/>
        <v>378</v>
      </c>
      <c r="B213" s="39">
        <v>2000</v>
      </c>
      <c r="C213" s="323"/>
      <c r="D213" s="41" t="s">
        <v>1338</v>
      </c>
      <c r="E213" s="41" t="s">
        <v>1339</v>
      </c>
      <c r="F213" s="41" t="s">
        <v>1340</v>
      </c>
      <c r="G213" s="8" t="s">
        <v>1341</v>
      </c>
      <c r="H213" s="41" t="s">
        <v>1339</v>
      </c>
      <c r="I213" s="41" t="s">
        <v>1</v>
      </c>
      <c r="J213" s="39">
        <v>1112016018</v>
      </c>
      <c r="K213" s="41" t="s">
        <v>1139</v>
      </c>
      <c r="L213" s="54" t="s">
        <v>23</v>
      </c>
      <c r="M213" s="204" t="s">
        <v>252</v>
      </c>
      <c r="N213" s="45">
        <v>85</v>
      </c>
      <c r="O213" s="204" t="s">
        <v>83</v>
      </c>
      <c r="P213" s="47" t="s">
        <v>1175</v>
      </c>
      <c r="Q213" s="47"/>
      <c r="R213" s="47"/>
      <c r="S213" s="47"/>
      <c r="T213" s="47"/>
      <c r="U213" s="47"/>
      <c r="V213" s="47"/>
      <c r="W213" s="47"/>
      <c r="X213" s="47"/>
      <c r="Y213" s="47"/>
      <c r="Z213" s="47"/>
    </row>
    <row r="214" spans="1:26" ht="15.75" customHeight="1">
      <c r="A214" s="5" t="str">
        <f t="shared" si="5"/>
        <v>379</v>
      </c>
      <c r="B214" s="39">
        <v>2000</v>
      </c>
      <c r="C214" s="323"/>
      <c r="D214" s="41" t="s">
        <v>1342</v>
      </c>
      <c r="E214" s="41" t="s">
        <v>1343</v>
      </c>
      <c r="F214" s="41" t="s">
        <v>1344</v>
      </c>
      <c r="G214" s="8" t="s">
        <v>1345</v>
      </c>
      <c r="H214" s="41" t="s">
        <v>1343</v>
      </c>
      <c r="I214" s="41" t="s">
        <v>1</v>
      </c>
      <c r="J214" s="39">
        <v>1112016019</v>
      </c>
      <c r="K214" s="41" t="s">
        <v>1139</v>
      </c>
      <c r="L214" s="54" t="s">
        <v>23</v>
      </c>
      <c r="M214" s="204" t="s">
        <v>252</v>
      </c>
      <c r="N214" s="45">
        <v>85</v>
      </c>
      <c r="O214" s="204" t="s">
        <v>83</v>
      </c>
      <c r="P214" s="47" t="s">
        <v>1175</v>
      </c>
      <c r="Q214" s="47"/>
      <c r="R214" s="47"/>
      <c r="S214" s="47"/>
      <c r="T214" s="47"/>
      <c r="U214" s="47"/>
      <c r="V214" s="47"/>
      <c r="W214" s="47"/>
      <c r="X214" s="47"/>
      <c r="Y214" s="47"/>
      <c r="Z214" s="47"/>
    </row>
    <row r="215" spans="1:26" ht="15.75" customHeight="1">
      <c r="A215" s="5" t="str">
        <f t="shared" si="5"/>
        <v>380</v>
      </c>
      <c r="B215" s="39">
        <v>2000</v>
      </c>
      <c r="C215" s="324"/>
      <c r="D215" s="41" t="s">
        <v>1346</v>
      </c>
      <c r="E215" s="41" t="s">
        <v>1347</v>
      </c>
      <c r="F215" s="41" t="s">
        <v>1348</v>
      </c>
      <c r="G215" s="8" t="s">
        <v>1349</v>
      </c>
      <c r="H215" s="41" t="s">
        <v>1347</v>
      </c>
      <c r="I215" s="41" t="s">
        <v>1</v>
      </c>
      <c r="J215" s="39">
        <v>1112016020</v>
      </c>
      <c r="K215" s="41" t="s">
        <v>1139</v>
      </c>
      <c r="L215" s="54" t="s">
        <v>23</v>
      </c>
      <c r="M215" s="204" t="s">
        <v>252</v>
      </c>
      <c r="N215" s="45">
        <v>85</v>
      </c>
      <c r="O215" s="204" t="s">
        <v>83</v>
      </c>
      <c r="P215" s="47" t="s">
        <v>1175</v>
      </c>
      <c r="Q215" s="47"/>
      <c r="R215" s="47"/>
      <c r="S215" s="47"/>
      <c r="T215" s="47"/>
      <c r="U215" s="47"/>
      <c r="V215" s="47"/>
      <c r="W215" s="47"/>
      <c r="X215" s="47"/>
      <c r="Y215" s="47"/>
      <c r="Z215" s="47"/>
    </row>
    <row r="216" spans="1:26" ht="15.75" customHeight="1"/>
    <row r="217" spans="1:26" ht="15.75" customHeight="1">
      <c r="A217" s="5" t="str">
        <f t="shared" ref="A217:A222" si="6">RIGHT(G217,3)</f>
        <v>314</v>
      </c>
      <c r="B217" s="6">
        <v>2000</v>
      </c>
      <c r="C217" s="416" t="s">
        <v>1720</v>
      </c>
      <c r="D217" s="7" t="s">
        <v>1721</v>
      </c>
      <c r="E217" s="7" t="s">
        <v>1722</v>
      </c>
      <c r="F217" s="7" t="s">
        <v>1333</v>
      </c>
      <c r="G217" s="8" t="s">
        <v>1501</v>
      </c>
      <c r="H217" s="7" t="s">
        <v>1722</v>
      </c>
      <c r="I217" s="21" t="s">
        <v>1723</v>
      </c>
      <c r="J217" s="6" t="s">
        <v>1724</v>
      </c>
      <c r="K217" s="7" t="s">
        <v>1679</v>
      </c>
      <c r="L217" s="58" t="s">
        <v>23</v>
      </c>
      <c r="M217" s="58" t="s">
        <v>252</v>
      </c>
      <c r="N217" s="1">
        <v>85</v>
      </c>
      <c r="O217" s="58" t="s">
        <v>83</v>
      </c>
      <c r="P217" s="13" t="s">
        <v>1680</v>
      </c>
    </row>
    <row r="218" spans="1:26" ht="15.75" customHeight="1">
      <c r="A218" s="5" t="str">
        <f t="shared" si="6"/>
        <v>315</v>
      </c>
      <c r="B218" s="6">
        <v>2000</v>
      </c>
      <c r="C218" s="323"/>
      <c r="D218" s="7" t="s">
        <v>1725</v>
      </c>
      <c r="E218" s="7" t="s">
        <v>1726</v>
      </c>
      <c r="F218" s="7" t="s">
        <v>1337</v>
      </c>
      <c r="G218" s="8" t="s">
        <v>1504</v>
      </c>
      <c r="H218" s="7" t="s">
        <v>1726</v>
      </c>
      <c r="I218" s="21" t="s">
        <v>1723</v>
      </c>
      <c r="J218" s="6" t="s">
        <v>1727</v>
      </c>
      <c r="K218" s="7" t="s">
        <v>1679</v>
      </c>
      <c r="L218" s="58" t="s">
        <v>23</v>
      </c>
      <c r="M218" s="58" t="s">
        <v>252</v>
      </c>
      <c r="N218" s="1">
        <v>85</v>
      </c>
      <c r="O218" s="58" t="s">
        <v>83</v>
      </c>
      <c r="P218" s="13" t="s">
        <v>1680</v>
      </c>
    </row>
    <row r="219" spans="1:26" ht="15.75" customHeight="1">
      <c r="A219" s="5" t="str">
        <f t="shared" si="6"/>
        <v>316</v>
      </c>
      <c r="B219" s="6">
        <v>2000</v>
      </c>
      <c r="C219" s="323"/>
      <c r="D219" s="7" t="s">
        <v>1728</v>
      </c>
      <c r="E219" s="7" t="s">
        <v>1729</v>
      </c>
      <c r="F219" s="7" t="s">
        <v>1341</v>
      </c>
      <c r="G219" s="8" t="s">
        <v>1507</v>
      </c>
      <c r="H219" s="7" t="s">
        <v>1729</v>
      </c>
      <c r="I219" s="21" t="s">
        <v>1723</v>
      </c>
      <c r="J219" s="6" t="s">
        <v>1730</v>
      </c>
      <c r="K219" s="7" t="s">
        <v>1679</v>
      </c>
      <c r="L219" s="58" t="s">
        <v>23</v>
      </c>
      <c r="M219" s="58" t="s">
        <v>252</v>
      </c>
      <c r="N219" s="1">
        <v>85</v>
      </c>
      <c r="O219" s="58" t="s">
        <v>83</v>
      </c>
      <c r="P219" s="13" t="s">
        <v>1680</v>
      </c>
    </row>
    <row r="220" spans="1:26" ht="15.75" customHeight="1">
      <c r="A220" s="5" t="str">
        <f t="shared" si="6"/>
        <v>381</v>
      </c>
      <c r="B220" s="39">
        <v>2000</v>
      </c>
      <c r="C220" s="323"/>
      <c r="D220" s="41" t="s">
        <v>1731</v>
      </c>
      <c r="E220" s="41" t="s">
        <v>1732</v>
      </c>
      <c r="F220" s="41" t="s">
        <v>1345</v>
      </c>
      <c r="G220" s="8" t="s">
        <v>1733</v>
      </c>
      <c r="H220" s="41" t="s">
        <v>1732</v>
      </c>
      <c r="I220" s="41" t="s">
        <v>1</v>
      </c>
      <c r="J220" s="39" t="s">
        <v>1734</v>
      </c>
      <c r="K220" s="41" t="s">
        <v>1679</v>
      </c>
      <c r="L220" s="59" t="s">
        <v>23</v>
      </c>
      <c r="M220" s="59" t="s">
        <v>252</v>
      </c>
      <c r="N220" s="45">
        <v>85</v>
      </c>
      <c r="O220" s="59" t="s">
        <v>83</v>
      </c>
      <c r="P220" s="47" t="s">
        <v>1680</v>
      </c>
      <c r="Q220" s="47"/>
      <c r="R220" s="47"/>
      <c r="S220" s="47"/>
      <c r="T220" s="47"/>
      <c r="U220" s="47"/>
      <c r="V220" s="47"/>
      <c r="W220" s="47"/>
      <c r="X220" s="47"/>
      <c r="Y220" s="47"/>
      <c r="Z220" s="47"/>
    </row>
    <row r="221" spans="1:26" ht="15.75" customHeight="1">
      <c r="A221" s="5" t="str">
        <f t="shared" si="6"/>
        <v>382</v>
      </c>
      <c r="B221" s="39">
        <v>2000</v>
      </c>
      <c r="C221" s="323"/>
      <c r="D221" s="41"/>
      <c r="E221" s="41"/>
      <c r="F221" s="41"/>
      <c r="G221" s="8" t="s">
        <v>1735</v>
      </c>
      <c r="H221" s="41" t="s">
        <v>1736</v>
      </c>
      <c r="I221" s="41" t="s">
        <v>1</v>
      </c>
      <c r="J221" s="39"/>
      <c r="K221" s="41" t="s">
        <v>1679</v>
      </c>
      <c r="L221" s="59" t="s">
        <v>23</v>
      </c>
      <c r="M221" s="59" t="s">
        <v>252</v>
      </c>
      <c r="N221" s="45">
        <v>85</v>
      </c>
      <c r="O221" s="59" t="s">
        <v>83</v>
      </c>
      <c r="P221" s="47" t="s">
        <v>1680</v>
      </c>
      <c r="Q221" s="47"/>
      <c r="R221" s="47"/>
      <c r="S221" s="47"/>
      <c r="T221" s="47"/>
      <c r="U221" s="47"/>
      <c r="V221" s="47"/>
      <c r="W221" s="47"/>
      <c r="X221" s="47"/>
      <c r="Y221" s="47"/>
      <c r="Z221" s="47"/>
    </row>
    <row r="222" spans="1:26" ht="15.75" customHeight="1">
      <c r="A222" s="5" t="str">
        <f t="shared" si="6"/>
        <v>383</v>
      </c>
      <c r="B222" s="39">
        <v>2000</v>
      </c>
      <c r="C222" s="324"/>
      <c r="D222" s="41"/>
      <c r="E222" s="41"/>
      <c r="F222" s="41"/>
      <c r="G222" s="8" t="s">
        <v>1737</v>
      </c>
      <c r="H222" s="41" t="s">
        <v>1738</v>
      </c>
      <c r="I222" s="41" t="s">
        <v>1</v>
      </c>
      <c r="J222" s="39"/>
      <c r="K222" s="41" t="s">
        <v>1679</v>
      </c>
      <c r="L222" s="59" t="s">
        <v>23</v>
      </c>
      <c r="M222" s="59" t="s">
        <v>252</v>
      </c>
      <c r="N222" s="45">
        <v>85</v>
      </c>
      <c r="O222" s="59" t="s">
        <v>83</v>
      </c>
      <c r="P222" s="47" t="s">
        <v>1680</v>
      </c>
      <c r="Q222" s="47"/>
      <c r="R222" s="47"/>
      <c r="S222" s="47"/>
      <c r="T222" s="47"/>
      <c r="U222" s="47"/>
      <c r="V222" s="47"/>
      <c r="W222" s="47"/>
      <c r="X222" s="47"/>
      <c r="Y222" s="47"/>
      <c r="Z222" s="47"/>
    </row>
    <row r="223" spans="1:26" ht="15.75" customHeight="1"/>
    <row r="224" spans="1:26" ht="15.75" customHeight="1"/>
    <row r="225" spans="1:26" ht="15.75" customHeight="1">
      <c r="A225" s="69"/>
      <c r="B225" s="202"/>
      <c r="C225" s="203">
        <v>44679</v>
      </c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 spans="1:26" ht="15.75" customHeight="1"/>
    <row r="227" spans="1:26" ht="18.75" customHeight="1">
      <c r="A227" s="5" t="str">
        <f t="shared" ref="A227:A236" si="7">RIGHT(G227,3)</f>
        <v>384</v>
      </c>
      <c r="B227" s="6"/>
      <c r="C227" s="416" t="s">
        <v>1639</v>
      </c>
      <c r="D227" s="7"/>
      <c r="E227" s="7"/>
      <c r="F227" s="7"/>
      <c r="G227" s="8" t="s">
        <v>1642</v>
      </c>
      <c r="H227" s="41" t="s">
        <v>1643</v>
      </c>
      <c r="I227" s="41" t="s">
        <v>2389</v>
      </c>
      <c r="J227" s="6"/>
      <c r="K227" s="7"/>
      <c r="L227" s="12" t="s">
        <v>23</v>
      </c>
      <c r="M227" s="12" t="s">
        <v>252</v>
      </c>
      <c r="N227" s="1">
        <v>85</v>
      </c>
      <c r="O227" s="12" t="s">
        <v>83</v>
      </c>
      <c r="P227" s="13" t="s">
        <v>1554</v>
      </c>
    </row>
    <row r="228" spans="1:26" ht="15.75" customHeight="1">
      <c r="A228" s="5" t="str">
        <f t="shared" si="7"/>
        <v>303</v>
      </c>
      <c r="B228" s="6">
        <v>2000</v>
      </c>
      <c r="C228" s="323"/>
      <c r="D228" s="7" t="s">
        <v>1644</v>
      </c>
      <c r="E228" s="7" t="s">
        <v>1645</v>
      </c>
      <c r="F228" s="7" t="s">
        <v>1187</v>
      </c>
      <c r="G228" s="8" t="s">
        <v>1459</v>
      </c>
      <c r="H228" s="41" t="s">
        <v>1646</v>
      </c>
      <c r="I228" s="41" t="s">
        <v>2390</v>
      </c>
      <c r="J228" s="6">
        <v>1112042007</v>
      </c>
      <c r="K228" s="7"/>
      <c r="L228" s="12" t="s">
        <v>23</v>
      </c>
      <c r="M228" s="12" t="s">
        <v>252</v>
      </c>
      <c r="N228" s="1">
        <v>85</v>
      </c>
      <c r="O228" s="12" t="s">
        <v>83</v>
      </c>
      <c r="P228" s="13" t="s">
        <v>1554</v>
      </c>
    </row>
    <row r="229" spans="1:26" ht="15.75" customHeight="1">
      <c r="A229" s="5" t="str">
        <f t="shared" si="7"/>
        <v>385</v>
      </c>
      <c r="B229" s="6">
        <v>2000</v>
      </c>
      <c r="C229" s="323"/>
      <c r="D229" s="7"/>
      <c r="E229" s="7"/>
      <c r="F229" s="7" t="s">
        <v>1191</v>
      </c>
      <c r="G229" s="8" t="s">
        <v>1647</v>
      </c>
      <c r="H229" s="41" t="s">
        <v>1648</v>
      </c>
      <c r="I229" s="41" t="s">
        <v>2391</v>
      </c>
      <c r="J229" s="6"/>
      <c r="K229" s="7"/>
      <c r="L229" s="12" t="s">
        <v>23</v>
      </c>
      <c r="M229" s="12" t="s">
        <v>252</v>
      </c>
      <c r="N229" s="1">
        <v>85</v>
      </c>
      <c r="O229" s="12" t="s">
        <v>83</v>
      </c>
      <c r="P229" s="31" t="s">
        <v>1554</v>
      </c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>
      <c r="A230" s="5" t="str">
        <f t="shared" si="7"/>
        <v>386</v>
      </c>
      <c r="B230" s="6">
        <v>2000</v>
      </c>
      <c r="C230" s="323"/>
      <c r="D230" s="7"/>
      <c r="E230" s="7"/>
      <c r="F230" s="7" t="s">
        <v>1195</v>
      </c>
      <c r="G230" s="8" t="s">
        <v>1649</v>
      </c>
      <c r="H230" s="41" t="s">
        <v>1650</v>
      </c>
      <c r="I230" s="41" t="s">
        <v>2391</v>
      </c>
      <c r="J230" s="6"/>
      <c r="K230" s="7"/>
      <c r="L230" s="12" t="s">
        <v>23</v>
      </c>
      <c r="M230" s="12" t="s">
        <v>252</v>
      </c>
      <c r="N230" s="1">
        <v>85</v>
      </c>
      <c r="O230" s="12" t="s">
        <v>83</v>
      </c>
      <c r="P230" s="31" t="s">
        <v>1554</v>
      </c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>
      <c r="A231" s="5" t="str">
        <f t="shared" si="7"/>
        <v>387</v>
      </c>
      <c r="B231" s="6">
        <v>2000</v>
      </c>
      <c r="C231" s="323"/>
      <c r="D231" s="7" t="s">
        <v>1651</v>
      </c>
      <c r="E231" s="7" t="s">
        <v>1652</v>
      </c>
      <c r="F231" s="7"/>
      <c r="G231" s="8" t="s">
        <v>1653</v>
      </c>
      <c r="H231" s="41" t="s">
        <v>1654</v>
      </c>
      <c r="I231" s="41" t="s">
        <v>2391</v>
      </c>
      <c r="J231" s="6"/>
      <c r="K231" s="7"/>
      <c r="L231" s="12" t="s">
        <v>23</v>
      </c>
      <c r="M231" s="12" t="s">
        <v>252</v>
      </c>
      <c r="N231" s="1">
        <v>85</v>
      </c>
      <c r="O231" s="12" t="s">
        <v>83</v>
      </c>
      <c r="P231" s="31" t="s">
        <v>1554</v>
      </c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>
      <c r="A232" s="5" t="str">
        <f t="shared" si="7"/>
        <v>388</v>
      </c>
      <c r="B232" s="6">
        <v>2000</v>
      </c>
      <c r="C232" s="323"/>
      <c r="D232" s="7"/>
      <c r="E232" s="7"/>
      <c r="F232" s="7"/>
      <c r="G232" s="8" t="s">
        <v>1655</v>
      </c>
      <c r="H232" s="41" t="s">
        <v>1656</v>
      </c>
      <c r="I232" s="41" t="s">
        <v>2391</v>
      </c>
      <c r="J232" s="6"/>
      <c r="K232" s="7"/>
      <c r="L232" s="12" t="s">
        <v>23</v>
      </c>
      <c r="M232" s="12" t="s">
        <v>252</v>
      </c>
      <c r="N232" s="1">
        <v>85</v>
      </c>
      <c r="O232" s="12" t="s">
        <v>83</v>
      </c>
      <c r="P232" s="31" t="s">
        <v>1554</v>
      </c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>
      <c r="A233" s="5" t="str">
        <f t="shared" si="7"/>
        <v>389</v>
      </c>
      <c r="B233" s="6">
        <v>2000</v>
      </c>
      <c r="C233" s="323"/>
      <c r="D233" s="7"/>
      <c r="E233" s="7"/>
      <c r="F233" s="7"/>
      <c r="G233" s="8" t="s">
        <v>1657</v>
      </c>
      <c r="H233" s="41" t="s">
        <v>1658</v>
      </c>
      <c r="I233" s="41" t="s">
        <v>2391</v>
      </c>
      <c r="J233" s="6"/>
      <c r="K233" s="7"/>
      <c r="L233" s="12" t="s">
        <v>23</v>
      </c>
      <c r="M233" s="12" t="s">
        <v>252</v>
      </c>
      <c r="N233" s="1">
        <v>85</v>
      </c>
      <c r="O233" s="12" t="s">
        <v>83</v>
      </c>
      <c r="P233" s="31" t="s">
        <v>1554</v>
      </c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>
      <c r="A234" s="5" t="str">
        <f t="shared" si="7"/>
        <v>390</v>
      </c>
      <c r="B234" s="6">
        <v>2000</v>
      </c>
      <c r="C234" s="323"/>
      <c r="D234" s="7" t="s">
        <v>1659</v>
      </c>
      <c r="E234" s="7" t="s">
        <v>1660</v>
      </c>
      <c r="F234" s="7"/>
      <c r="G234" s="8" t="s">
        <v>1661</v>
      </c>
      <c r="H234" s="41" t="s">
        <v>1662</v>
      </c>
      <c r="I234" s="41" t="s">
        <v>2391</v>
      </c>
      <c r="J234" s="6"/>
      <c r="K234" s="7"/>
      <c r="L234" s="12" t="s">
        <v>23</v>
      </c>
      <c r="M234" s="12" t="s">
        <v>252</v>
      </c>
      <c r="N234" s="1">
        <v>85</v>
      </c>
      <c r="O234" s="12" t="s">
        <v>83</v>
      </c>
      <c r="P234" s="31" t="s">
        <v>1554</v>
      </c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>
      <c r="A235" s="5" t="str">
        <f t="shared" si="7"/>
        <v>391</v>
      </c>
      <c r="B235" s="6">
        <v>2000</v>
      </c>
      <c r="C235" s="323"/>
      <c r="D235" s="7"/>
      <c r="E235" s="7"/>
      <c r="F235" s="7"/>
      <c r="G235" s="8" t="s">
        <v>1663</v>
      </c>
      <c r="H235" s="41" t="s">
        <v>1664</v>
      </c>
      <c r="I235" s="41" t="s">
        <v>2391</v>
      </c>
      <c r="J235" s="6"/>
      <c r="K235" s="7"/>
      <c r="L235" s="12" t="s">
        <v>23</v>
      </c>
      <c r="M235" s="12" t="s">
        <v>252</v>
      </c>
      <c r="N235" s="1">
        <v>85</v>
      </c>
      <c r="O235" s="12" t="s">
        <v>83</v>
      </c>
      <c r="P235" s="31" t="s">
        <v>1554</v>
      </c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>
      <c r="A236" s="5" t="str">
        <f t="shared" si="7"/>
        <v>392</v>
      </c>
      <c r="B236" s="6">
        <v>2000</v>
      </c>
      <c r="C236" s="324"/>
      <c r="D236" s="7"/>
      <c r="E236" s="7"/>
      <c r="F236" s="7"/>
      <c r="G236" s="8" t="s">
        <v>1665</v>
      </c>
      <c r="H236" s="41" t="s">
        <v>1666</v>
      </c>
      <c r="I236" s="41" t="s">
        <v>2391</v>
      </c>
      <c r="J236" s="6"/>
      <c r="K236" s="7"/>
      <c r="L236" s="12" t="s">
        <v>23</v>
      </c>
      <c r="M236" s="12" t="s">
        <v>252</v>
      </c>
      <c r="N236" s="1">
        <v>85</v>
      </c>
      <c r="O236" s="12" t="s">
        <v>83</v>
      </c>
      <c r="P236" s="31" t="s">
        <v>1554</v>
      </c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/>
    <row r="238" spans="1:26" ht="15.75" customHeight="1"/>
    <row r="239" spans="1:26" ht="15.75" customHeight="1"/>
    <row r="240" spans="1:26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8">
    <mergeCell ref="D2:E2"/>
    <mergeCell ref="F2:H2"/>
    <mergeCell ref="H4:H6"/>
    <mergeCell ref="J4:J6"/>
    <mergeCell ref="K4:K9"/>
    <mergeCell ref="J7:J9"/>
    <mergeCell ref="C11:C19"/>
    <mergeCell ref="K29:K32"/>
    <mergeCell ref="L29:L32"/>
    <mergeCell ref="K14:K16"/>
    <mergeCell ref="K17:K19"/>
    <mergeCell ref="J21:J24"/>
    <mergeCell ref="L21:L24"/>
    <mergeCell ref="J25:J28"/>
    <mergeCell ref="L25:L28"/>
    <mergeCell ref="J29:J32"/>
    <mergeCell ref="J11:J13"/>
    <mergeCell ref="K11:K13"/>
    <mergeCell ref="H14:H16"/>
    <mergeCell ref="J14:J16"/>
    <mergeCell ref="H43:H45"/>
    <mergeCell ref="H47:H48"/>
    <mergeCell ref="H7:H9"/>
    <mergeCell ref="H11:H13"/>
    <mergeCell ref="H21:H24"/>
    <mergeCell ref="H25:H28"/>
    <mergeCell ref="H29:H32"/>
    <mergeCell ref="H34:H36"/>
    <mergeCell ref="H38:H39"/>
    <mergeCell ref="J34:J36"/>
    <mergeCell ref="K34:K36"/>
    <mergeCell ref="J38:J39"/>
    <mergeCell ref="K38:K39"/>
    <mergeCell ref="J43:J45"/>
    <mergeCell ref="K43:K45"/>
    <mergeCell ref="J47:J48"/>
    <mergeCell ref="J70:J71"/>
    <mergeCell ref="J72:J73"/>
    <mergeCell ref="K47:K48"/>
    <mergeCell ref="K50:K54"/>
    <mergeCell ref="H67:H68"/>
    <mergeCell ref="J67:J68"/>
    <mergeCell ref="K67:K68"/>
    <mergeCell ref="H70:H71"/>
    <mergeCell ref="H72:H73"/>
    <mergeCell ref="H74:H75"/>
    <mergeCell ref="J74:J75"/>
    <mergeCell ref="H76:H77"/>
    <mergeCell ref="J76:J77"/>
    <mergeCell ref="H78:H79"/>
    <mergeCell ref="J78:J79"/>
    <mergeCell ref="J80:J81"/>
    <mergeCell ref="H114:H116"/>
    <mergeCell ref="H118:H120"/>
    <mergeCell ref="H135:H136"/>
    <mergeCell ref="H144:H146"/>
    <mergeCell ref="J122:J124"/>
    <mergeCell ref="J135:J136"/>
    <mergeCell ref="J82:J83"/>
    <mergeCell ref="J84:J86"/>
    <mergeCell ref="J88:J93"/>
    <mergeCell ref="J94:J99"/>
    <mergeCell ref="J100:J105"/>
    <mergeCell ref="J109:J112"/>
    <mergeCell ref="J114:J116"/>
    <mergeCell ref="H147:H149"/>
    <mergeCell ref="I152:I155"/>
    <mergeCell ref="H80:H81"/>
    <mergeCell ref="H82:H83"/>
    <mergeCell ref="H84:H86"/>
    <mergeCell ref="H88:H93"/>
    <mergeCell ref="H94:H99"/>
    <mergeCell ref="H100:H105"/>
    <mergeCell ref="H109:H112"/>
    <mergeCell ref="C217:C222"/>
    <mergeCell ref="C227:C236"/>
    <mergeCell ref="C109:C112"/>
    <mergeCell ref="C114:C116"/>
    <mergeCell ref="C118:C120"/>
    <mergeCell ref="C122:C124"/>
    <mergeCell ref="C126:C129"/>
    <mergeCell ref="C131:C133"/>
    <mergeCell ref="C135:C136"/>
    <mergeCell ref="C138:C142"/>
    <mergeCell ref="C144:C149"/>
    <mergeCell ref="C152:C172"/>
    <mergeCell ref="C176:C195"/>
    <mergeCell ref="C196:C215"/>
  </mergeCells>
  <pageMargins left="0.7" right="0.7" top="0.75" bottom="0.75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C60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2578125" defaultRowHeight="15" customHeight="1"/>
  <cols>
    <col min="1" max="1" width="7.28515625" customWidth="1"/>
    <col min="2" max="2" width="12.28515625" customWidth="1"/>
    <col min="3" max="3" width="11" customWidth="1"/>
    <col min="4" max="4" width="48.7109375" customWidth="1"/>
    <col min="5" max="15" width="9.140625" customWidth="1"/>
    <col min="16" max="16" width="24.42578125" customWidth="1"/>
    <col min="17" max="30" width="9.140625" customWidth="1"/>
    <col min="31" max="31" width="11" customWidth="1"/>
    <col min="32" max="55" width="8.7109375" customWidth="1"/>
  </cols>
  <sheetData>
    <row r="1" spans="1:55" ht="84" customHeight="1">
      <c r="A1" s="166" t="s">
        <v>1993</v>
      </c>
      <c r="B1" s="166" t="s">
        <v>1994</v>
      </c>
      <c r="C1" s="166" t="s">
        <v>2392</v>
      </c>
      <c r="D1" s="166" t="s">
        <v>2393</v>
      </c>
      <c r="E1" s="166" t="s">
        <v>2394</v>
      </c>
      <c r="F1" s="166" t="s">
        <v>2395</v>
      </c>
      <c r="G1" s="166" t="s">
        <v>1995</v>
      </c>
      <c r="H1" s="166" t="s">
        <v>2054</v>
      </c>
      <c r="I1" s="166" t="s">
        <v>2054</v>
      </c>
      <c r="J1" s="166" t="s">
        <v>2054</v>
      </c>
      <c r="K1" s="166" t="s">
        <v>2054</v>
      </c>
      <c r="L1" s="166" t="s">
        <v>2054</v>
      </c>
      <c r="M1" s="166" t="s">
        <v>2054</v>
      </c>
      <c r="N1" s="166" t="s">
        <v>2396</v>
      </c>
      <c r="O1" s="166" t="s">
        <v>1996</v>
      </c>
      <c r="P1" s="205" t="s">
        <v>2397</v>
      </c>
      <c r="Q1" s="166" t="s">
        <v>2398</v>
      </c>
      <c r="R1" s="206" t="s">
        <v>2399</v>
      </c>
      <c r="S1" s="206" t="s">
        <v>2400</v>
      </c>
      <c r="T1" s="166" t="s">
        <v>2401</v>
      </c>
      <c r="U1" s="166" t="s">
        <v>2402</v>
      </c>
      <c r="V1" s="166" t="s">
        <v>2403</v>
      </c>
      <c r="W1" s="166" t="s">
        <v>2404</v>
      </c>
      <c r="X1" s="166" t="s">
        <v>2405</v>
      </c>
      <c r="Y1" s="166" t="s">
        <v>2406</v>
      </c>
      <c r="Z1" s="166" t="s">
        <v>2407</v>
      </c>
      <c r="AA1" s="166" t="s">
        <v>2408</v>
      </c>
      <c r="AB1" s="166" t="s">
        <v>2409</v>
      </c>
      <c r="AC1" s="166" t="s">
        <v>2396</v>
      </c>
      <c r="AD1" s="166" t="s">
        <v>1997</v>
      </c>
      <c r="AE1" s="205" t="s">
        <v>2410</v>
      </c>
      <c r="AF1" s="166" t="s">
        <v>1998</v>
      </c>
      <c r="AG1" s="166" t="s">
        <v>1998</v>
      </c>
      <c r="AH1" s="166" t="s">
        <v>1998</v>
      </c>
      <c r="AI1" s="166" t="s">
        <v>1998</v>
      </c>
      <c r="AJ1" s="166" t="s">
        <v>1998</v>
      </c>
      <c r="AK1" s="166" t="s">
        <v>1998</v>
      </c>
      <c r="AL1" s="166" t="s">
        <v>1999</v>
      </c>
      <c r="AM1" s="166" t="s">
        <v>1999</v>
      </c>
      <c r="AN1" s="166" t="s">
        <v>1999</v>
      </c>
      <c r="AO1" s="166" t="s">
        <v>1999</v>
      </c>
      <c r="AP1" s="166" t="s">
        <v>1999</v>
      </c>
      <c r="AQ1" s="166" t="s">
        <v>1999</v>
      </c>
      <c r="AR1" s="166" t="s">
        <v>2000</v>
      </c>
      <c r="AS1" s="166" t="s">
        <v>2000</v>
      </c>
      <c r="AT1" s="166" t="s">
        <v>2000</v>
      </c>
      <c r="AU1" s="166" t="s">
        <v>2000</v>
      </c>
      <c r="AV1" s="166" t="s">
        <v>2000</v>
      </c>
      <c r="AW1" s="166" t="s">
        <v>2000</v>
      </c>
      <c r="AX1" s="166" t="s">
        <v>2411</v>
      </c>
      <c r="AY1" s="166" t="s">
        <v>2411</v>
      </c>
      <c r="AZ1" s="166" t="s">
        <v>2411</v>
      </c>
      <c r="BA1" s="166" t="s">
        <v>2411</v>
      </c>
      <c r="BB1" s="166" t="s">
        <v>2411</v>
      </c>
      <c r="BC1" s="166" t="s">
        <v>2411</v>
      </c>
    </row>
    <row r="2" spans="1:55">
      <c r="A2" s="30">
        <v>1000</v>
      </c>
      <c r="B2" s="207" t="s">
        <v>20</v>
      </c>
      <c r="C2" s="208" t="s">
        <v>2412</v>
      </c>
      <c r="D2" s="30" t="s">
        <v>19</v>
      </c>
      <c r="E2" s="30" t="s">
        <v>25</v>
      </c>
      <c r="F2" s="208" t="s">
        <v>2413</v>
      </c>
      <c r="G2" s="30" t="s">
        <v>2414</v>
      </c>
      <c r="H2" s="30" t="s">
        <v>2077</v>
      </c>
      <c r="I2" s="30" t="s">
        <v>2077</v>
      </c>
      <c r="J2" s="30" t="s">
        <v>2077</v>
      </c>
      <c r="K2" s="30" t="s">
        <v>2077</v>
      </c>
      <c r="L2" s="30" t="s">
        <v>2077</v>
      </c>
      <c r="M2" s="30" t="s">
        <v>2077</v>
      </c>
      <c r="N2" s="208" t="s">
        <v>2415</v>
      </c>
      <c r="O2" s="30" t="s">
        <v>2416</v>
      </c>
      <c r="P2" s="30" t="str">
        <f t="shared" ref="P2:Q2" si="0">D2</f>
        <v>SAWMILL CUTTING UTAMA</v>
      </c>
      <c r="Q2" s="30" t="str">
        <f t="shared" si="0"/>
        <v>1SM</v>
      </c>
      <c r="R2" s="209" t="s">
        <v>23</v>
      </c>
      <c r="S2" s="210">
        <v>0.70833333333333337</v>
      </c>
      <c r="T2" s="30">
        <v>85</v>
      </c>
      <c r="U2" s="208" t="s">
        <v>24</v>
      </c>
      <c r="V2" s="30">
        <v>1</v>
      </c>
      <c r="W2" s="30" t="s">
        <v>2417</v>
      </c>
      <c r="X2" s="30" t="s">
        <v>1924</v>
      </c>
      <c r="Y2" s="30" t="s">
        <v>2073</v>
      </c>
      <c r="Z2" s="30" t="s">
        <v>2073</v>
      </c>
      <c r="AA2" s="30" t="s">
        <v>2073</v>
      </c>
      <c r="AB2" s="30" t="s">
        <v>1924</v>
      </c>
      <c r="AC2" s="208" t="s">
        <v>2415</v>
      </c>
      <c r="AD2" s="30" t="s">
        <v>2416</v>
      </c>
      <c r="AE2" s="69" t="s">
        <v>21</v>
      </c>
      <c r="AF2" s="30" t="s">
        <v>2418</v>
      </c>
      <c r="AG2" s="30" t="s">
        <v>2419</v>
      </c>
      <c r="AH2" s="30" t="s">
        <v>2420</v>
      </c>
      <c r="AI2" s="30" t="s">
        <v>2421</v>
      </c>
      <c r="AJ2" s="30" t="s">
        <v>2422</v>
      </c>
      <c r="AK2" s="30" t="s">
        <v>2416</v>
      </c>
      <c r="AL2" s="30" t="s">
        <v>2077</v>
      </c>
      <c r="AM2" s="30" t="s">
        <v>2077</v>
      </c>
      <c r="AN2" s="30" t="s">
        <v>2077</v>
      </c>
      <c r="AO2" s="30" t="s">
        <v>2077</v>
      </c>
      <c r="AP2" s="30" t="s">
        <v>2077</v>
      </c>
      <c r="AQ2" s="30" t="s">
        <v>2077</v>
      </c>
      <c r="AR2" s="30" t="s">
        <v>2418</v>
      </c>
      <c r="AS2" s="30" t="s">
        <v>2419</v>
      </c>
      <c r="AT2" s="30" t="s">
        <v>2420</v>
      </c>
      <c r="AU2" s="30" t="s">
        <v>2421</v>
      </c>
      <c r="AV2" s="30" t="s">
        <v>2422</v>
      </c>
      <c r="AW2" s="30" t="s">
        <v>2416</v>
      </c>
      <c r="AX2" s="30" t="s">
        <v>2073</v>
      </c>
      <c r="AY2" s="30" t="s">
        <v>2073</v>
      </c>
      <c r="AZ2" s="30" t="s">
        <v>2073</v>
      </c>
      <c r="BA2" s="30" t="s">
        <v>2073</v>
      </c>
      <c r="BB2" s="30" t="s">
        <v>2073</v>
      </c>
      <c r="BC2" s="30" t="s">
        <v>2073</v>
      </c>
    </row>
    <row r="3" spans="1:55">
      <c r="A3" s="13">
        <v>1000</v>
      </c>
      <c r="B3" s="7" t="s">
        <v>28</v>
      </c>
      <c r="C3" s="211" t="s">
        <v>2412</v>
      </c>
      <c r="D3" s="13" t="s">
        <v>27</v>
      </c>
      <c r="E3" s="13" t="s">
        <v>25</v>
      </c>
      <c r="F3" s="211" t="s">
        <v>2413</v>
      </c>
      <c r="G3" s="13" t="s">
        <v>2414</v>
      </c>
      <c r="H3" s="13" t="s">
        <v>2077</v>
      </c>
      <c r="I3" s="13" t="s">
        <v>2077</v>
      </c>
      <c r="J3" s="13" t="s">
        <v>2077</v>
      </c>
      <c r="K3" s="13" t="s">
        <v>2077</v>
      </c>
      <c r="L3" s="13" t="s">
        <v>2077</v>
      </c>
      <c r="M3" s="13" t="s">
        <v>2077</v>
      </c>
      <c r="N3" s="211" t="s">
        <v>2415</v>
      </c>
      <c r="O3" s="13" t="s">
        <v>2416</v>
      </c>
      <c r="P3" s="69" t="str">
        <f t="shared" ref="P3:Q3" si="1">D3</f>
        <v>SAWMILL CUTTING UKURAN A</v>
      </c>
      <c r="Q3" s="13" t="str">
        <f t="shared" si="1"/>
        <v>1SM</v>
      </c>
      <c r="R3" s="212" t="s">
        <v>23</v>
      </c>
      <c r="S3" s="213">
        <v>0.70833333333333337</v>
      </c>
      <c r="T3" s="13">
        <v>85</v>
      </c>
      <c r="U3" s="211" t="s">
        <v>24</v>
      </c>
      <c r="V3" s="13">
        <v>1</v>
      </c>
      <c r="W3" s="13" t="s">
        <v>2417</v>
      </c>
      <c r="X3" s="13" t="s">
        <v>1924</v>
      </c>
      <c r="Y3" s="13" t="s">
        <v>2073</v>
      </c>
      <c r="Z3" s="13" t="s">
        <v>2073</v>
      </c>
      <c r="AA3" s="13" t="s">
        <v>2073</v>
      </c>
      <c r="AB3" s="13" t="s">
        <v>1924</v>
      </c>
      <c r="AC3" s="211" t="s">
        <v>2415</v>
      </c>
      <c r="AD3" s="13" t="s">
        <v>2416</v>
      </c>
      <c r="AE3" s="69" t="s">
        <v>29</v>
      </c>
      <c r="AF3" s="13" t="s">
        <v>2418</v>
      </c>
      <c r="AG3" s="13" t="s">
        <v>2419</v>
      </c>
      <c r="AH3" s="13" t="s">
        <v>2420</v>
      </c>
      <c r="AI3" s="13" t="s">
        <v>2421</v>
      </c>
      <c r="AJ3" s="13" t="s">
        <v>2422</v>
      </c>
      <c r="AK3" s="13" t="s">
        <v>2416</v>
      </c>
      <c r="AL3" s="13" t="s">
        <v>2077</v>
      </c>
      <c r="AM3" s="13" t="s">
        <v>2077</v>
      </c>
      <c r="AN3" s="13" t="s">
        <v>2077</v>
      </c>
      <c r="AO3" s="13" t="s">
        <v>2077</v>
      </c>
      <c r="AP3" s="13" t="s">
        <v>2077</v>
      </c>
      <c r="AQ3" s="13" t="s">
        <v>2077</v>
      </c>
      <c r="AR3" s="13" t="s">
        <v>2418</v>
      </c>
      <c r="AS3" s="13" t="s">
        <v>2419</v>
      </c>
      <c r="AT3" s="13" t="s">
        <v>2420</v>
      </c>
      <c r="AU3" s="13" t="s">
        <v>2421</v>
      </c>
      <c r="AV3" s="13" t="s">
        <v>2422</v>
      </c>
      <c r="AW3" s="13" t="s">
        <v>2416</v>
      </c>
      <c r="AX3" s="13" t="s">
        <v>2073</v>
      </c>
      <c r="AY3" s="13" t="s">
        <v>2073</v>
      </c>
      <c r="AZ3" s="13" t="s">
        <v>2073</v>
      </c>
      <c r="BA3" s="13" t="s">
        <v>2073</v>
      </c>
      <c r="BB3" s="13" t="s">
        <v>2073</v>
      </c>
      <c r="BC3" s="13" t="s">
        <v>2073</v>
      </c>
    </row>
    <row r="4" spans="1:55">
      <c r="A4" s="13">
        <v>1000</v>
      </c>
      <c r="B4" s="7" t="s">
        <v>32</v>
      </c>
      <c r="C4" s="211" t="s">
        <v>2412</v>
      </c>
      <c r="D4" s="13" t="s">
        <v>31</v>
      </c>
      <c r="E4" s="13" t="s">
        <v>25</v>
      </c>
      <c r="F4" s="211" t="s">
        <v>2413</v>
      </c>
      <c r="G4" s="13" t="s">
        <v>2414</v>
      </c>
      <c r="H4" s="13" t="s">
        <v>2077</v>
      </c>
      <c r="I4" s="13" t="s">
        <v>2077</v>
      </c>
      <c r="J4" s="13" t="s">
        <v>2077</v>
      </c>
      <c r="K4" s="13" t="s">
        <v>2077</v>
      </c>
      <c r="L4" s="13" t="s">
        <v>2077</v>
      </c>
      <c r="M4" s="13" t="s">
        <v>2077</v>
      </c>
      <c r="N4" s="211" t="s">
        <v>2415</v>
      </c>
      <c r="O4" s="13" t="s">
        <v>2416</v>
      </c>
      <c r="P4" s="69" t="str">
        <f t="shared" ref="P4:Q4" si="2">D4</f>
        <v>SAWMILL CUTTING UKURAN B</v>
      </c>
      <c r="Q4" s="13" t="str">
        <f t="shared" si="2"/>
        <v>1SM</v>
      </c>
      <c r="R4" s="212" t="s">
        <v>23</v>
      </c>
      <c r="S4" s="213">
        <v>0.70833333333333337</v>
      </c>
      <c r="T4" s="13">
        <v>85</v>
      </c>
      <c r="U4" s="211" t="s">
        <v>24</v>
      </c>
      <c r="V4" s="13">
        <v>1</v>
      </c>
      <c r="W4" s="13" t="s">
        <v>2417</v>
      </c>
      <c r="X4" s="13" t="s">
        <v>1924</v>
      </c>
      <c r="Y4" s="13" t="s">
        <v>2073</v>
      </c>
      <c r="Z4" s="13" t="s">
        <v>2073</v>
      </c>
      <c r="AA4" s="13" t="s">
        <v>2073</v>
      </c>
      <c r="AB4" s="13" t="s">
        <v>1924</v>
      </c>
      <c r="AC4" s="211" t="s">
        <v>2415</v>
      </c>
      <c r="AD4" s="13" t="s">
        <v>2416</v>
      </c>
      <c r="AE4" s="69" t="s">
        <v>33</v>
      </c>
      <c r="AF4" s="13" t="s">
        <v>2418</v>
      </c>
      <c r="AG4" s="13" t="s">
        <v>2419</v>
      </c>
      <c r="AH4" s="13" t="s">
        <v>2420</v>
      </c>
      <c r="AI4" s="13" t="s">
        <v>2421</v>
      </c>
      <c r="AJ4" s="13" t="s">
        <v>2422</v>
      </c>
      <c r="AK4" s="13" t="s">
        <v>2416</v>
      </c>
      <c r="AL4" s="13" t="s">
        <v>2077</v>
      </c>
      <c r="AM4" s="13" t="s">
        <v>2077</v>
      </c>
      <c r="AN4" s="13" t="s">
        <v>2077</v>
      </c>
      <c r="AO4" s="13" t="s">
        <v>2077</v>
      </c>
      <c r="AP4" s="13" t="s">
        <v>2077</v>
      </c>
      <c r="AQ4" s="13" t="s">
        <v>2077</v>
      </c>
      <c r="AR4" s="13" t="s">
        <v>2418</v>
      </c>
      <c r="AS4" s="13" t="s">
        <v>2419</v>
      </c>
      <c r="AT4" s="13" t="s">
        <v>2420</v>
      </c>
      <c r="AU4" s="13" t="s">
        <v>2421</v>
      </c>
      <c r="AV4" s="13" t="s">
        <v>2422</v>
      </c>
      <c r="AW4" s="13" t="s">
        <v>2416</v>
      </c>
      <c r="AX4" s="13" t="s">
        <v>2073</v>
      </c>
      <c r="AY4" s="13" t="s">
        <v>2073</v>
      </c>
      <c r="AZ4" s="13" t="s">
        <v>2073</v>
      </c>
      <c r="BA4" s="13" t="s">
        <v>2073</v>
      </c>
      <c r="BB4" s="13" t="s">
        <v>2073</v>
      </c>
      <c r="BC4" s="13" t="s">
        <v>2073</v>
      </c>
    </row>
    <row r="5" spans="1:55">
      <c r="A5" s="13">
        <v>1000</v>
      </c>
      <c r="B5" s="7" t="s">
        <v>37</v>
      </c>
      <c r="C5" s="211" t="s">
        <v>2412</v>
      </c>
      <c r="D5" s="13" t="s">
        <v>36</v>
      </c>
      <c r="E5" s="13" t="s">
        <v>25</v>
      </c>
      <c r="F5" s="211" t="s">
        <v>2413</v>
      </c>
      <c r="G5" s="13" t="s">
        <v>2414</v>
      </c>
      <c r="H5" s="13" t="s">
        <v>2077</v>
      </c>
      <c r="I5" s="13" t="s">
        <v>2077</v>
      </c>
      <c r="J5" s="13" t="s">
        <v>2077</v>
      </c>
      <c r="K5" s="13" t="s">
        <v>2077</v>
      </c>
      <c r="L5" s="13" t="s">
        <v>2077</v>
      </c>
      <c r="M5" s="13" t="s">
        <v>2077</v>
      </c>
      <c r="N5" s="211" t="s">
        <v>2415</v>
      </c>
      <c r="O5" s="13" t="s">
        <v>2416</v>
      </c>
      <c r="P5" s="69" t="str">
        <f t="shared" ref="P5:Q5" si="3">D5</f>
        <v xml:space="preserve">SAWMILL CROSS CUT </v>
      </c>
      <c r="Q5" s="13" t="str">
        <f t="shared" si="3"/>
        <v>1SM</v>
      </c>
      <c r="R5" s="212" t="s">
        <v>23</v>
      </c>
      <c r="S5" s="213">
        <v>0.70833333333333337</v>
      </c>
      <c r="T5" s="13">
        <v>85</v>
      </c>
      <c r="U5" s="211" t="s">
        <v>24</v>
      </c>
      <c r="V5" s="13">
        <v>1</v>
      </c>
      <c r="W5" s="13" t="s">
        <v>2417</v>
      </c>
      <c r="X5" s="13" t="s">
        <v>1924</v>
      </c>
      <c r="Y5" s="13" t="s">
        <v>2073</v>
      </c>
      <c r="Z5" s="13" t="s">
        <v>2073</v>
      </c>
      <c r="AA5" s="13" t="s">
        <v>2073</v>
      </c>
      <c r="AB5" s="13" t="s">
        <v>1924</v>
      </c>
      <c r="AC5" s="211" t="s">
        <v>2415</v>
      </c>
      <c r="AD5" s="13" t="s">
        <v>2416</v>
      </c>
      <c r="AE5" s="69" t="s">
        <v>33</v>
      </c>
      <c r="AF5" s="13" t="s">
        <v>2418</v>
      </c>
      <c r="AG5" s="13" t="s">
        <v>2419</v>
      </c>
      <c r="AH5" s="13" t="s">
        <v>2420</v>
      </c>
      <c r="AI5" s="13" t="s">
        <v>2421</v>
      </c>
      <c r="AJ5" s="13" t="s">
        <v>2422</v>
      </c>
      <c r="AK5" s="13" t="s">
        <v>2416</v>
      </c>
      <c r="AL5" s="13" t="s">
        <v>2077</v>
      </c>
      <c r="AM5" s="13" t="s">
        <v>2077</v>
      </c>
      <c r="AN5" s="13" t="s">
        <v>2077</v>
      </c>
      <c r="AO5" s="13" t="s">
        <v>2077</v>
      </c>
      <c r="AP5" s="13" t="s">
        <v>2077</v>
      </c>
      <c r="AQ5" s="13" t="s">
        <v>2077</v>
      </c>
      <c r="AR5" s="13" t="s">
        <v>2418</v>
      </c>
      <c r="AS5" s="13" t="s">
        <v>2419</v>
      </c>
      <c r="AT5" s="13" t="s">
        <v>2420</v>
      </c>
      <c r="AU5" s="13" t="s">
        <v>2421</v>
      </c>
      <c r="AV5" s="13" t="s">
        <v>2422</v>
      </c>
      <c r="AW5" s="13" t="s">
        <v>2416</v>
      </c>
      <c r="AX5" s="13" t="s">
        <v>2073</v>
      </c>
      <c r="AY5" s="13" t="s">
        <v>2073</v>
      </c>
      <c r="AZ5" s="13" t="s">
        <v>2073</v>
      </c>
      <c r="BA5" s="13" t="s">
        <v>2073</v>
      </c>
      <c r="BB5" s="13" t="s">
        <v>2073</v>
      </c>
      <c r="BC5" s="13" t="s">
        <v>2073</v>
      </c>
    </row>
    <row r="6" spans="1:55">
      <c r="A6" s="13">
        <v>1000</v>
      </c>
      <c r="B6" s="7" t="s">
        <v>41</v>
      </c>
      <c r="C6" s="211" t="s">
        <v>2412</v>
      </c>
      <c r="D6" s="13" t="s">
        <v>40</v>
      </c>
      <c r="E6" s="13" t="s">
        <v>25</v>
      </c>
      <c r="F6" s="211" t="s">
        <v>2413</v>
      </c>
      <c r="G6" s="13" t="s">
        <v>2414</v>
      </c>
      <c r="H6" s="13" t="s">
        <v>2077</v>
      </c>
      <c r="I6" s="13" t="s">
        <v>2077</v>
      </c>
      <c r="J6" s="13" t="s">
        <v>2077</v>
      </c>
      <c r="K6" s="13" t="s">
        <v>2077</v>
      </c>
      <c r="L6" s="13" t="s">
        <v>2077</v>
      </c>
      <c r="M6" s="13" t="s">
        <v>2077</v>
      </c>
      <c r="N6" s="211" t="s">
        <v>2415</v>
      </c>
      <c r="O6" s="13" t="s">
        <v>2416</v>
      </c>
      <c r="P6" s="69" t="str">
        <f t="shared" ref="P6:Q6" si="4">D6</f>
        <v>SAWMILL GRADING</v>
      </c>
      <c r="Q6" s="13" t="str">
        <f t="shared" si="4"/>
        <v>1SM</v>
      </c>
      <c r="R6" s="212" t="s">
        <v>23</v>
      </c>
      <c r="S6" s="213">
        <v>0.70833333333333337</v>
      </c>
      <c r="T6" s="13">
        <v>85</v>
      </c>
      <c r="U6" s="211" t="s">
        <v>24</v>
      </c>
      <c r="V6" s="13">
        <v>1</v>
      </c>
      <c r="W6" s="13" t="s">
        <v>2417</v>
      </c>
      <c r="X6" s="13" t="s">
        <v>1924</v>
      </c>
      <c r="Y6" s="13" t="s">
        <v>2073</v>
      </c>
      <c r="Z6" s="13" t="s">
        <v>2073</v>
      </c>
      <c r="AA6" s="13" t="s">
        <v>2073</v>
      </c>
      <c r="AB6" s="13" t="s">
        <v>1924</v>
      </c>
      <c r="AC6" s="211" t="s">
        <v>2415</v>
      </c>
      <c r="AD6" s="13" t="s">
        <v>2416</v>
      </c>
      <c r="AE6" s="69">
        <v>1111150004</v>
      </c>
      <c r="AF6" s="13" t="s">
        <v>2418</v>
      </c>
      <c r="AG6" s="13" t="s">
        <v>2419</v>
      </c>
      <c r="AH6" s="13" t="s">
        <v>2420</v>
      </c>
      <c r="AI6" s="13" t="s">
        <v>2421</v>
      </c>
      <c r="AJ6" s="13" t="s">
        <v>2422</v>
      </c>
      <c r="AK6" s="13" t="s">
        <v>2416</v>
      </c>
      <c r="AL6" s="13" t="s">
        <v>2077</v>
      </c>
      <c r="AM6" s="13" t="s">
        <v>2077</v>
      </c>
      <c r="AN6" s="13" t="s">
        <v>2077</v>
      </c>
      <c r="AO6" s="13" t="s">
        <v>2077</v>
      </c>
      <c r="AP6" s="13" t="s">
        <v>2077</v>
      </c>
      <c r="AQ6" s="13" t="s">
        <v>2077</v>
      </c>
      <c r="AR6" s="13" t="s">
        <v>2418</v>
      </c>
      <c r="AS6" s="13" t="s">
        <v>2419</v>
      </c>
      <c r="AT6" s="13" t="s">
        <v>2420</v>
      </c>
      <c r="AU6" s="13" t="s">
        <v>2421</v>
      </c>
      <c r="AV6" s="13" t="s">
        <v>2422</v>
      </c>
      <c r="AW6" s="13" t="s">
        <v>2416</v>
      </c>
      <c r="AX6" s="13" t="s">
        <v>2073</v>
      </c>
      <c r="AY6" s="13" t="s">
        <v>2073</v>
      </c>
      <c r="AZ6" s="13" t="s">
        <v>2073</v>
      </c>
      <c r="BA6" s="13" t="s">
        <v>2073</v>
      </c>
      <c r="BB6" s="13" t="s">
        <v>2073</v>
      </c>
      <c r="BC6" s="13" t="s">
        <v>2073</v>
      </c>
    </row>
    <row r="7" spans="1:55">
      <c r="A7" s="13">
        <v>1000</v>
      </c>
      <c r="B7" s="7" t="s">
        <v>44</v>
      </c>
      <c r="C7" s="211" t="s">
        <v>2412</v>
      </c>
      <c r="D7" s="13" t="s">
        <v>43</v>
      </c>
      <c r="E7" s="13" t="s">
        <v>25</v>
      </c>
      <c r="F7" s="211" t="s">
        <v>2413</v>
      </c>
      <c r="G7" s="13" t="s">
        <v>2414</v>
      </c>
      <c r="H7" s="13" t="s">
        <v>2077</v>
      </c>
      <c r="I7" s="13" t="s">
        <v>2077</v>
      </c>
      <c r="J7" s="13" t="s">
        <v>2077</v>
      </c>
      <c r="K7" s="13" t="s">
        <v>2077</v>
      </c>
      <c r="L7" s="13" t="s">
        <v>2077</v>
      </c>
      <c r="M7" s="13" t="s">
        <v>2077</v>
      </c>
      <c r="N7" s="211" t="s">
        <v>2415</v>
      </c>
      <c r="O7" s="13" t="s">
        <v>2416</v>
      </c>
      <c r="P7" s="69" t="str">
        <f t="shared" ref="P7:Q7" si="5">D7</f>
        <v>SM PROSES PENGOBATAN</v>
      </c>
      <c r="Q7" s="13" t="str">
        <f t="shared" si="5"/>
        <v>1SM</v>
      </c>
      <c r="R7" s="212" t="s">
        <v>23</v>
      </c>
      <c r="S7" s="213">
        <v>0.70833333333333337</v>
      </c>
      <c r="T7" s="13">
        <v>85</v>
      </c>
      <c r="U7" s="211" t="s">
        <v>24</v>
      </c>
      <c r="V7" s="13">
        <v>1</v>
      </c>
      <c r="W7" s="13" t="s">
        <v>2417</v>
      </c>
      <c r="X7" s="13" t="s">
        <v>1924</v>
      </c>
      <c r="Y7" s="13" t="s">
        <v>2073</v>
      </c>
      <c r="Z7" s="13" t="s">
        <v>2073</v>
      </c>
      <c r="AA7" s="13" t="s">
        <v>2073</v>
      </c>
      <c r="AB7" s="13" t="s">
        <v>1924</v>
      </c>
      <c r="AC7" s="211" t="s">
        <v>2415</v>
      </c>
      <c r="AD7" s="13" t="s">
        <v>2416</v>
      </c>
      <c r="AE7" s="69">
        <v>1111150005</v>
      </c>
      <c r="AF7" s="13" t="s">
        <v>2418</v>
      </c>
      <c r="AG7" s="13" t="s">
        <v>2419</v>
      </c>
      <c r="AH7" s="13" t="s">
        <v>2420</v>
      </c>
      <c r="AI7" s="13" t="s">
        <v>2421</v>
      </c>
      <c r="AJ7" s="13" t="s">
        <v>2422</v>
      </c>
      <c r="AK7" s="13" t="s">
        <v>2416</v>
      </c>
      <c r="AL7" s="13" t="s">
        <v>2077</v>
      </c>
      <c r="AM7" s="13" t="s">
        <v>2077</v>
      </c>
      <c r="AN7" s="13" t="s">
        <v>2077</v>
      </c>
      <c r="AO7" s="13" t="s">
        <v>2077</v>
      </c>
      <c r="AP7" s="13" t="s">
        <v>2077</v>
      </c>
      <c r="AQ7" s="13" t="s">
        <v>2077</v>
      </c>
      <c r="AR7" s="13" t="s">
        <v>2418</v>
      </c>
      <c r="AS7" s="13" t="s">
        <v>2419</v>
      </c>
      <c r="AT7" s="13" t="s">
        <v>2420</v>
      </c>
      <c r="AU7" s="13" t="s">
        <v>2421</v>
      </c>
      <c r="AV7" s="13" t="s">
        <v>2422</v>
      </c>
      <c r="AW7" s="13" t="s">
        <v>2416</v>
      </c>
      <c r="AX7" s="13" t="s">
        <v>2073</v>
      </c>
      <c r="AY7" s="13" t="s">
        <v>2073</v>
      </c>
      <c r="AZ7" s="13" t="s">
        <v>2073</v>
      </c>
      <c r="BA7" s="13" t="s">
        <v>2073</v>
      </c>
      <c r="BB7" s="13" t="s">
        <v>2073</v>
      </c>
      <c r="BC7" s="13" t="s">
        <v>2073</v>
      </c>
    </row>
    <row r="8" spans="1:55">
      <c r="A8" s="13">
        <v>1000</v>
      </c>
      <c r="B8" s="7" t="s">
        <v>47</v>
      </c>
      <c r="C8" s="211" t="s">
        <v>2412</v>
      </c>
      <c r="D8" s="13" t="s">
        <v>46</v>
      </c>
      <c r="E8" s="13" t="s">
        <v>25</v>
      </c>
      <c r="F8" s="211" t="s">
        <v>2413</v>
      </c>
      <c r="G8" s="13" t="s">
        <v>2414</v>
      </c>
      <c r="H8" s="13" t="s">
        <v>2077</v>
      </c>
      <c r="I8" s="13" t="s">
        <v>2077</v>
      </c>
      <c r="J8" s="13" t="s">
        <v>2077</v>
      </c>
      <c r="K8" s="13" t="s">
        <v>2077</v>
      </c>
      <c r="L8" s="13" t="s">
        <v>2077</v>
      </c>
      <c r="M8" s="13" t="s">
        <v>2077</v>
      </c>
      <c r="N8" s="211" t="s">
        <v>2415</v>
      </c>
      <c r="O8" s="13" t="s">
        <v>2416</v>
      </c>
      <c r="P8" s="69" t="str">
        <f t="shared" ref="P8:Q8" si="6">D8</f>
        <v>SM PROSES TALLY</v>
      </c>
      <c r="Q8" s="13" t="str">
        <f t="shared" si="6"/>
        <v>1SM</v>
      </c>
      <c r="R8" s="212" t="s">
        <v>23</v>
      </c>
      <c r="S8" s="213">
        <v>0.70833333333333337</v>
      </c>
      <c r="T8" s="13">
        <v>85</v>
      </c>
      <c r="U8" s="211" t="s">
        <v>24</v>
      </c>
      <c r="V8" s="13">
        <v>1</v>
      </c>
      <c r="W8" s="13" t="s">
        <v>2417</v>
      </c>
      <c r="X8" s="13" t="s">
        <v>1924</v>
      </c>
      <c r="Y8" s="13" t="s">
        <v>2073</v>
      </c>
      <c r="Z8" s="13" t="s">
        <v>2073</v>
      </c>
      <c r="AA8" s="13" t="s">
        <v>2073</v>
      </c>
      <c r="AB8" s="13" t="s">
        <v>1924</v>
      </c>
      <c r="AC8" s="211" t="s">
        <v>2415</v>
      </c>
      <c r="AD8" s="13" t="s">
        <v>2416</v>
      </c>
      <c r="AE8" s="69">
        <v>1111150007</v>
      </c>
      <c r="AF8" s="13" t="s">
        <v>2418</v>
      </c>
      <c r="AG8" s="13" t="s">
        <v>2419</v>
      </c>
      <c r="AH8" s="13" t="s">
        <v>2420</v>
      </c>
      <c r="AI8" s="13" t="s">
        <v>2421</v>
      </c>
      <c r="AJ8" s="13" t="s">
        <v>2422</v>
      </c>
      <c r="AK8" s="13" t="s">
        <v>2416</v>
      </c>
      <c r="AL8" s="13" t="s">
        <v>2077</v>
      </c>
      <c r="AM8" s="13" t="s">
        <v>2077</v>
      </c>
      <c r="AN8" s="13" t="s">
        <v>2077</v>
      </c>
      <c r="AO8" s="13" t="s">
        <v>2077</v>
      </c>
      <c r="AP8" s="13" t="s">
        <v>2077</v>
      </c>
      <c r="AQ8" s="13" t="s">
        <v>2077</v>
      </c>
      <c r="AR8" s="13" t="s">
        <v>2418</v>
      </c>
      <c r="AS8" s="13" t="s">
        <v>2419</v>
      </c>
      <c r="AT8" s="13" t="s">
        <v>2420</v>
      </c>
      <c r="AU8" s="13" t="s">
        <v>2421</v>
      </c>
      <c r="AV8" s="13" t="s">
        <v>2422</v>
      </c>
      <c r="AW8" s="13" t="s">
        <v>2416</v>
      </c>
      <c r="AX8" s="13" t="s">
        <v>2073</v>
      </c>
      <c r="AY8" s="13" t="s">
        <v>2073</v>
      </c>
      <c r="AZ8" s="13" t="s">
        <v>2073</v>
      </c>
      <c r="BA8" s="13" t="s">
        <v>2073</v>
      </c>
      <c r="BB8" s="13" t="s">
        <v>2073</v>
      </c>
      <c r="BC8" s="13" t="s">
        <v>2073</v>
      </c>
    </row>
    <row r="9" spans="1:55">
      <c r="A9" s="13">
        <v>1000</v>
      </c>
      <c r="B9" s="7" t="s">
        <v>50</v>
      </c>
      <c r="C9" s="211" t="s">
        <v>2412</v>
      </c>
      <c r="D9" s="13" t="s">
        <v>49</v>
      </c>
      <c r="E9" s="13" t="s">
        <v>25</v>
      </c>
      <c r="F9" s="211" t="s">
        <v>2413</v>
      </c>
      <c r="G9" s="13" t="s">
        <v>2414</v>
      </c>
      <c r="H9" s="13" t="s">
        <v>2077</v>
      </c>
      <c r="I9" s="13" t="s">
        <v>2077</v>
      </c>
      <c r="J9" s="13" t="s">
        <v>2077</v>
      </c>
      <c r="K9" s="13" t="s">
        <v>2077</v>
      </c>
      <c r="L9" s="13" t="s">
        <v>2077</v>
      </c>
      <c r="M9" s="13" t="s">
        <v>2077</v>
      </c>
      <c r="N9" s="211" t="s">
        <v>2415</v>
      </c>
      <c r="O9" s="13" t="s">
        <v>2416</v>
      </c>
      <c r="P9" s="69" t="str">
        <f t="shared" ref="P9:Q9" si="7">D9</f>
        <v>SM PROSES BARCODE</v>
      </c>
      <c r="Q9" s="13" t="str">
        <f t="shared" si="7"/>
        <v>1SM</v>
      </c>
      <c r="R9" s="212" t="s">
        <v>23</v>
      </c>
      <c r="S9" s="213">
        <v>0.70833333333333337</v>
      </c>
      <c r="T9" s="13">
        <v>85</v>
      </c>
      <c r="U9" s="211" t="s">
        <v>24</v>
      </c>
      <c r="V9" s="13">
        <v>1</v>
      </c>
      <c r="W9" s="13" t="s">
        <v>2417</v>
      </c>
      <c r="X9" s="13" t="s">
        <v>1924</v>
      </c>
      <c r="Y9" s="13" t="s">
        <v>2073</v>
      </c>
      <c r="Z9" s="13" t="s">
        <v>2073</v>
      </c>
      <c r="AA9" s="13" t="s">
        <v>2073</v>
      </c>
      <c r="AB9" s="13" t="s">
        <v>1924</v>
      </c>
      <c r="AC9" s="211" t="s">
        <v>2415</v>
      </c>
      <c r="AD9" s="13" t="s">
        <v>2416</v>
      </c>
      <c r="AE9" s="69">
        <v>1111150006</v>
      </c>
      <c r="AF9" s="13" t="s">
        <v>2418</v>
      </c>
      <c r="AG9" s="13" t="s">
        <v>2419</v>
      </c>
      <c r="AH9" s="13" t="s">
        <v>2420</v>
      </c>
      <c r="AI9" s="13" t="s">
        <v>2421</v>
      </c>
      <c r="AJ9" s="13" t="s">
        <v>2422</v>
      </c>
      <c r="AK9" s="13" t="s">
        <v>2416</v>
      </c>
      <c r="AL9" s="13" t="s">
        <v>2077</v>
      </c>
      <c r="AM9" s="13" t="s">
        <v>2077</v>
      </c>
      <c r="AN9" s="13" t="s">
        <v>2077</v>
      </c>
      <c r="AO9" s="13" t="s">
        <v>2077</v>
      </c>
      <c r="AP9" s="13" t="s">
        <v>2077</v>
      </c>
      <c r="AQ9" s="13" t="s">
        <v>2077</v>
      </c>
      <c r="AR9" s="13" t="s">
        <v>2418</v>
      </c>
      <c r="AS9" s="13" t="s">
        <v>2419</v>
      </c>
      <c r="AT9" s="13" t="s">
        <v>2420</v>
      </c>
      <c r="AU9" s="13" t="s">
        <v>2421</v>
      </c>
      <c r="AV9" s="13" t="s">
        <v>2422</v>
      </c>
      <c r="AW9" s="13" t="s">
        <v>2416</v>
      </c>
      <c r="AX9" s="13" t="s">
        <v>2073</v>
      </c>
      <c r="AY9" s="13" t="s">
        <v>2073</v>
      </c>
      <c r="AZ9" s="13" t="s">
        <v>2073</v>
      </c>
      <c r="BA9" s="13" t="s">
        <v>2073</v>
      </c>
      <c r="BB9" s="13" t="s">
        <v>2073</v>
      </c>
      <c r="BC9" s="13" t="s">
        <v>2073</v>
      </c>
    </row>
    <row r="10" spans="1:55">
      <c r="A10" s="13">
        <v>1000</v>
      </c>
      <c r="B10" s="7" t="s">
        <v>54</v>
      </c>
      <c r="C10" s="211" t="s">
        <v>2412</v>
      </c>
      <c r="D10" s="13" t="s">
        <v>53</v>
      </c>
      <c r="E10" s="13" t="s">
        <v>56</v>
      </c>
      <c r="F10" s="211" t="s">
        <v>2413</v>
      </c>
      <c r="G10" s="13" t="s">
        <v>2414</v>
      </c>
      <c r="H10" s="13" t="s">
        <v>2077</v>
      </c>
      <c r="I10" s="13" t="s">
        <v>2077</v>
      </c>
      <c r="J10" s="13" t="s">
        <v>2077</v>
      </c>
      <c r="K10" s="13" t="s">
        <v>2077</v>
      </c>
      <c r="L10" s="13" t="s">
        <v>2077</v>
      </c>
      <c r="M10" s="13" t="s">
        <v>2077</v>
      </c>
      <c r="N10" s="211" t="s">
        <v>2415</v>
      </c>
      <c r="O10" s="13" t="s">
        <v>2416</v>
      </c>
      <c r="P10" s="69" t="str">
        <f t="shared" ref="P10:Q10" si="8">D10</f>
        <v>KILN DRY CHAMBER 1</v>
      </c>
      <c r="Q10" s="13" t="str">
        <f t="shared" si="8"/>
        <v>1KD</v>
      </c>
      <c r="R10" s="212" t="s">
        <v>23</v>
      </c>
      <c r="S10" s="212" t="s">
        <v>23</v>
      </c>
      <c r="T10" s="13">
        <v>85</v>
      </c>
      <c r="U10" s="211" t="s">
        <v>24</v>
      </c>
      <c r="V10" s="13">
        <v>1</v>
      </c>
      <c r="W10" s="13" t="s">
        <v>2417</v>
      </c>
      <c r="X10" s="13" t="s">
        <v>1924</v>
      </c>
      <c r="Y10" s="13" t="s">
        <v>2073</v>
      </c>
      <c r="Z10" s="13" t="s">
        <v>2073</v>
      </c>
      <c r="AA10" s="13" t="s">
        <v>2073</v>
      </c>
      <c r="AB10" s="13" t="s">
        <v>1924</v>
      </c>
      <c r="AC10" s="211" t="s">
        <v>2415</v>
      </c>
      <c r="AD10" s="13" t="s">
        <v>2416</v>
      </c>
      <c r="AE10" s="69" t="s">
        <v>55</v>
      </c>
      <c r="AF10" s="13" t="s">
        <v>2418</v>
      </c>
      <c r="AG10" s="13" t="s">
        <v>2419</v>
      </c>
      <c r="AH10" s="13" t="s">
        <v>2420</v>
      </c>
      <c r="AI10" s="13" t="s">
        <v>2421</v>
      </c>
      <c r="AJ10" s="13" t="s">
        <v>2422</v>
      </c>
      <c r="AK10" s="13" t="s">
        <v>2416</v>
      </c>
      <c r="AL10" s="13" t="s">
        <v>2077</v>
      </c>
      <c r="AM10" s="13" t="s">
        <v>2077</v>
      </c>
      <c r="AN10" s="13" t="s">
        <v>2077</v>
      </c>
      <c r="AO10" s="13" t="s">
        <v>2077</v>
      </c>
      <c r="AP10" s="13" t="s">
        <v>2077</v>
      </c>
      <c r="AQ10" s="13" t="s">
        <v>2077</v>
      </c>
      <c r="AR10" s="13" t="s">
        <v>2418</v>
      </c>
      <c r="AS10" s="13" t="s">
        <v>2419</v>
      </c>
      <c r="AT10" s="13" t="s">
        <v>2420</v>
      </c>
      <c r="AU10" s="13" t="s">
        <v>2421</v>
      </c>
      <c r="AV10" s="13" t="s">
        <v>2422</v>
      </c>
      <c r="AW10" s="13" t="s">
        <v>2416</v>
      </c>
      <c r="AX10" s="13" t="s">
        <v>2073</v>
      </c>
      <c r="AY10" s="13" t="s">
        <v>2073</v>
      </c>
      <c r="AZ10" s="13" t="s">
        <v>2073</v>
      </c>
      <c r="BA10" s="13" t="s">
        <v>2073</v>
      </c>
      <c r="BB10" s="13" t="s">
        <v>2073</v>
      </c>
      <c r="BC10" s="13" t="s">
        <v>2073</v>
      </c>
    </row>
    <row r="11" spans="1:55">
      <c r="A11" s="13">
        <v>1000</v>
      </c>
      <c r="B11" s="7" t="s">
        <v>59</v>
      </c>
      <c r="C11" s="211" t="s">
        <v>2412</v>
      </c>
      <c r="D11" s="13" t="s">
        <v>58</v>
      </c>
      <c r="E11" s="13" t="s">
        <v>56</v>
      </c>
      <c r="F11" s="211" t="s">
        <v>2413</v>
      </c>
      <c r="G11" s="13" t="s">
        <v>2414</v>
      </c>
      <c r="H11" s="13" t="s">
        <v>2077</v>
      </c>
      <c r="I11" s="13" t="s">
        <v>2077</v>
      </c>
      <c r="J11" s="13" t="s">
        <v>2077</v>
      </c>
      <c r="K11" s="13" t="s">
        <v>2077</v>
      </c>
      <c r="L11" s="13" t="s">
        <v>2077</v>
      </c>
      <c r="M11" s="13" t="s">
        <v>2077</v>
      </c>
      <c r="N11" s="211" t="s">
        <v>2415</v>
      </c>
      <c r="O11" s="13" t="s">
        <v>2416</v>
      </c>
      <c r="P11" s="69" t="str">
        <f t="shared" ref="P11:Q11" si="9">D11</f>
        <v>KILN DRY CHAMBER 2</v>
      </c>
      <c r="Q11" s="13" t="str">
        <f t="shared" si="9"/>
        <v>1KD</v>
      </c>
      <c r="R11" s="212" t="s">
        <v>23</v>
      </c>
      <c r="S11" s="212" t="s">
        <v>23</v>
      </c>
      <c r="T11" s="13">
        <v>85</v>
      </c>
      <c r="U11" s="211" t="s">
        <v>24</v>
      </c>
      <c r="V11" s="13">
        <v>1</v>
      </c>
      <c r="W11" s="13" t="s">
        <v>2417</v>
      </c>
      <c r="X11" s="13" t="s">
        <v>1924</v>
      </c>
      <c r="Y11" s="13" t="s">
        <v>2073</v>
      </c>
      <c r="Z11" s="13" t="s">
        <v>2073</v>
      </c>
      <c r="AA11" s="13" t="s">
        <v>2073</v>
      </c>
      <c r="AB11" s="13" t="s">
        <v>1924</v>
      </c>
      <c r="AC11" s="211" t="s">
        <v>2415</v>
      </c>
      <c r="AD11" s="13" t="s">
        <v>2416</v>
      </c>
      <c r="AE11" s="69" t="s">
        <v>55</v>
      </c>
      <c r="AF11" s="13" t="s">
        <v>2418</v>
      </c>
      <c r="AG11" s="13" t="s">
        <v>2419</v>
      </c>
      <c r="AH11" s="13" t="s">
        <v>2420</v>
      </c>
      <c r="AI11" s="13" t="s">
        <v>2421</v>
      </c>
      <c r="AJ11" s="13" t="s">
        <v>2422</v>
      </c>
      <c r="AK11" s="13" t="s">
        <v>2416</v>
      </c>
      <c r="AL11" s="13" t="s">
        <v>2077</v>
      </c>
      <c r="AM11" s="13" t="s">
        <v>2077</v>
      </c>
      <c r="AN11" s="13" t="s">
        <v>2077</v>
      </c>
      <c r="AO11" s="13" t="s">
        <v>2077</v>
      </c>
      <c r="AP11" s="13" t="s">
        <v>2077</v>
      </c>
      <c r="AQ11" s="13" t="s">
        <v>2077</v>
      </c>
      <c r="AR11" s="13" t="s">
        <v>2418</v>
      </c>
      <c r="AS11" s="13" t="s">
        <v>2419</v>
      </c>
      <c r="AT11" s="13" t="s">
        <v>2420</v>
      </c>
      <c r="AU11" s="13" t="s">
        <v>2421</v>
      </c>
      <c r="AV11" s="13" t="s">
        <v>2422</v>
      </c>
      <c r="AW11" s="13" t="s">
        <v>2416</v>
      </c>
      <c r="AX11" s="13" t="s">
        <v>2073</v>
      </c>
      <c r="AY11" s="13" t="s">
        <v>2073</v>
      </c>
      <c r="AZ11" s="13" t="s">
        <v>2073</v>
      </c>
      <c r="BA11" s="13" t="s">
        <v>2073</v>
      </c>
      <c r="BB11" s="13" t="s">
        <v>2073</v>
      </c>
      <c r="BC11" s="13" t="s">
        <v>2073</v>
      </c>
    </row>
    <row r="12" spans="1:55">
      <c r="A12" s="13">
        <v>1000</v>
      </c>
      <c r="B12" s="7" t="s">
        <v>62</v>
      </c>
      <c r="C12" s="211" t="s">
        <v>2412</v>
      </c>
      <c r="D12" s="13" t="s">
        <v>61</v>
      </c>
      <c r="E12" s="13" t="s">
        <v>56</v>
      </c>
      <c r="F12" s="211" t="s">
        <v>2413</v>
      </c>
      <c r="G12" s="13" t="s">
        <v>2414</v>
      </c>
      <c r="H12" s="13" t="s">
        <v>2077</v>
      </c>
      <c r="I12" s="13" t="s">
        <v>2077</v>
      </c>
      <c r="J12" s="13" t="s">
        <v>2077</v>
      </c>
      <c r="K12" s="13" t="s">
        <v>2077</v>
      </c>
      <c r="L12" s="13" t="s">
        <v>2077</v>
      </c>
      <c r="M12" s="13" t="s">
        <v>2077</v>
      </c>
      <c r="N12" s="211" t="s">
        <v>2415</v>
      </c>
      <c r="O12" s="13" t="s">
        <v>2416</v>
      </c>
      <c r="P12" s="69" t="str">
        <f t="shared" ref="P12:Q12" si="10">D12</f>
        <v>KILN DRY CHAMBER 3</v>
      </c>
      <c r="Q12" s="13" t="str">
        <f t="shared" si="10"/>
        <v>1KD</v>
      </c>
      <c r="R12" s="212" t="s">
        <v>23</v>
      </c>
      <c r="S12" s="212" t="s">
        <v>23</v>
      </c>
      <c r="T12" s="13">
        <v>85</v>
      </c>
      <c r="U12" s="211" t="s">
        <v>24</v>
      </c>
      <c r="V12" s="13">
        <v>1</v>
      </c>
      <c r="W12" s="13" t="s">
        <v>2417</v>
      </c>
      <c r="X12" s="13" t="s">
        <v>1924</v>
      </c>
      <c r="Y12" s="13" t="s">
        <v>2073</v>
      </c>
      <c r="Z12" s="13" t="s">
        <v>2073</v>
      </c>
      <c r="AA12" s="13" t="s">
        <v>2073</v>
      </c>
      <c r="AB12" s="13" t="s">
        <v>1924</v>
      </c>
      <c r="AC12" s="211" t="s">
        <v>2415</v>
      </c>
      <c r="AD12" s="13" t="s">
        <v>2416</v>
      </c>
      <c r="AE12" s="69" t="s">
        <v>55</v>
      </c>
      <c r="AF12" s="13" t="s">
        <v>2418</v>
      </c>
      <c r="AG12" s="13" t="s">
        <v>2419</v>
      </c>
      <c r="AH12" s="13" t="s">
        <v>2420</v>
      </c>
      <c r="AI12" s="13" t="s">
        <v>2421</v>
      </c>
      <c r="AJ12" s="13" t="s">
        <v>2422</v>
      </c>
      <c r="AK12" s="13" t="s">
        <v>2416</v>
      </c>
      <c r="AL12" s="13" t="s">
        <v>2077</v>
      </c>
      <c r="AM12" s="13" t="s">
        <v>2077</v>
      </c>
      <c r="AN12" s="13" t="s">
        <v>2077</v>
      </c>
      <c r="AO12" s="13" t="s">
        <v>2077</v>
      </c>
      <c r="AP12" s="13" t="s">
        <v>2077</v>
      </c>
      <c r="AQ12" s="13" t="s">
        <v>2077</v>
      </c>
      <c r="AR12" s="13" t="s">
        <v>2418</v>
      </c>
      <c r="AS12" s="13" t="s">
        <v>2419</v>
      </c>
      <c r="AT12" s="13" t="s">
        <v>2420</v>
      </c>
      <c r="AU12" s="13" t="s">
        <v>2421</v>
      </c>
      <c r="AV12" s="13" t="s">
        <v>2422</v>
      </c>
      <c r="AW12" s="13" t="s">
        <v>2416</v>
      </c>
      <c r="AX12" s="13" t="s">
        <v>2073</v>
      </c>
      <c r="AY12" s="13" t="s">
        <v>2073</v>
      </c>
      <c r="AZ12" s="13" t="s">
        <v>2073</v>
      </c>
      <c r="BA12" s="13" t="s">
        <v>2073</v>
      </c>
      <c r="BB12" s="13" t="s">
        <v>2073</v>
      </c>
      <c r="BC12" s="13" t="s">
        <v>2073</v>
      </c>
    </row>
    <row r="13" spans="1:55">
      <c r="A13" s="13">
        <v>1000</v>
      </c>
      <c r="B13" s="7" t="s">
        <v>65</v>
      </c>
      <c r="C13" s="211" t="s">
        <v>2412</v>
      </c>
      <c r="D13" s="13" t="s">
        <v>64</v>
      </c>
      <c r="E13" s="13" t="s">
        <v>56</v>
      </c>
      <c r="F13" s="211" t="s">
        <v>2413</v>
      </c>
      <c r="G13" s="13" t="s">
        <v>2414</v>
      </c>
      <c r="H13" s="13" t="s">
        <v>2077</v>
      </c>
      <c r="I13" s="13" t="s">
        <v>2077</v>
      </c>
      <c r="J13" s="13" t="s">
        <v>2077</v>
      </c>
      <c r="K13" s="13" t="s">
        <v>2077</v>
      </c>
      <c r="L13" s="13" t="s">
        <v>2077</v>
      </c>
      <c r="M13" s="13" t="s">
        <v>2077</v>
      </c>
      <c r="N13" s="211" t="s">
        <v>2415</v>
      </c>
      <c r="O13" s="13" t="s">
        <v>2416</v>
      </c>
      <c r="P13" s="69" t="str">
        <f t="shared" ref="P13:Q13" si="11">D13</f>
        <v>KILN DRY CHAMBER 4</v>
      </c>
      <c r="Q13" s="13" t="str">
        <f t="shared" si="11"/>
        <v>1KD</v>
      </c>
      <c r="R13" s="212" t="s">
        <v>23</v>
      </c>
      <c r="S13" s="212" t="s">
        <v>23</v>
      </c>
      <c r="T13" s="13">
        <v>85</v>
      </c>
      <c r="U13" s="211" t="s">
        <v>24</v>
      </c>
      <c r="V13" s="13">
        <v>1</v>
      </c>
      <c r="W13" s="13" t="s">
        <v>2417</v>
      </c>
      <c r="X13" s="13" t="s">
        <v>1924</v>
      </c>
      <c r="Y13" s="13" t="s">
        <v>2073</v>
      </c>
      <c r="Z13" s="13" t="s">
        <v>2073</v>
      </c>
      <c r="AA13" s="13" t="s">
        <v>2073</v>
      </c>
      <c r="AB13" s="13" t="s">
        <v>1924</v>
      </c>
      <c r="AC13" s="211" t="s">
        <v>2415</v>
      </c>
      <c r="AD13" s="13" t="s">
        <v>2416</v>
      </c>
      <c r="AE13" s="69" t="s">
        <v>55</v>
      </c>
      <c r="AF13" s="13" t="s">
        <v>2418</v>
      </c>
      <c r="AG13" s="13" t="s">
        <v>2419</v>
      </c>
      <c r="AH13" s="13" t="s">
        <v>2420</v>
      </c>
      <c r="AI13" s="13" t="s">
        <v>2421</v>
      </c>
      <c r="AJ13" s="13" t="s">
        <v>2422</v>
      </c>
      <c r="AK13" s="13" t="s">
        <v>2416</v>
      </c>
      <c r="AL13" s="13" t="s">
        <v>2077</v>
      </c>
      <c r="AM13" s="13" t="s">
        <v>2077</v>
      </c>
      <c r="AN13" s="13" t="s">
        <v>2077</v>
      </c>
      <c r="AO13" s="13" t="s">
        <v>2077</v>
      </c>
      <c r="AP13" s="13" t="s">
        <v>2077</v>
      </c>
      <c r="AQ13" s="13" t="s">
        <v>2077</v>
      </c>
      <c r="AR13" s="13" t="s">
        <v>2418</v>
      </c>
      <c r="AS13" s="13" t="s">
        <v>2419</v>
      </c>
      <c r="AT13" s="13" t="s">
        <v>2420</v>
      </c>
      <c r="AU13" s="13" t="s">
        <v>2421</v>
      </c>
      <c r="AV13" s="13" t="s">
        <v>2422</v>
      </c>
      <c r="AW13" s="13" t="s">
        <v>2416</v>
      </c>
      <c r="AX13" s="13" t="s">
        <v>2073</v>
      </c>
      <c r="AY13" s="13" t="s">
        <v>2073</v>
      </c>
      <c r="AZ13" s="13" t="s">
        <v>2073</v>
      </c>
      <c r="BA13" s="13" t="s">
        <v>2073</v>
      </c>
      <c r="BB13" s="13" t="s">
        <v>2073</v>
      </c>
      <c r="BC13" s="13" t="s">
        <v>2073</v>
      </c>
    </row>
    <row r="14" spans="1:55">
      <c r="A14" s="13">
        <v>1000</v>
      </c>
      <c r="B14" s="7" t="s">
        <v>68</v>
      </c>
      <c r="C14" s="211" t="s">
        <v>2412</v>
      </c>
      <c r="D14" s="13" t="s">
        <v>67</v>
      </c>
      <c r="E14" s="13" t="s">
        <v>56</v>
      </c>
      <c r="F14" s="211" t="s">
        <v>2413</v>
      </c>
      <c r="G14" s="13" t="s">
        <v>2414</v>
      </c>
      <c r="H14" s="13" t="s">
        <v>2077</v>
      </c>
      <c r="I14" s="13" t="s">
        <v>2077</v>
      </c>
      <c r="J14" s="13" t="s">
        <v>2077</v>
      </c>
      <c r="K14" s="13" t="s">
        <v>2077</v>
      </c>
      <c r="L14" s="13" t="s">
        <v>2077</v>
      </c>
      <c r="M14" s="13" t="s">
        <v>2077</v>
      </c>
      <c r="N14" s="211" t="s">
        <v>2415</v>
      </c>
      <c r="O14" s="13" t="s">
        <v>2416</v>
      </c>
      <c r="P14" s="69" t="str">
        <f t="shared" ref="P14:Q14" si="12">D14</f>
        <v>KILN DRY CHAMBER 5</v>
      </c>
      <c r="Q14" s="13" t="str">
        <f t="shared" si="12"/>
        <v>1KD</v>
      </c>
      <c r="R14" s="212" t="s">
        <v>23</v>
      </c>
      <c r="S14" s="212" t="s">
        <v>23</v>
      </c>
      <c r="T14" s="13">
        <v>85</v>
      </c>
      <c r="U14" s="211" t="s">
        <v>24</v>
      </c>
      <c r="V14" s="13">
        <v>1</v>
      </c>
      <c r="W14" s="13" t="s">
        <v>2417</v>
      </c>
      <c r="X14" s="13" t="s">
        <v>1924</v>
      </c>
      <c r="Y14" s="13" t="s">
        <v>2073</v>
      </c>
      <c r="Z14" s="13" t="s">
        <v>2073</v>
      </c>
      <c r="AA14" s="13" t="s">
        <v>2073</v>
      </c>
      <c r="AB14" s="13" t="s">
        <v>1924</v>
      </c>
      <c r="AC14" s="211" t="s">
        <v>2415</v>
      </c>
      <c r="AD14" s="13" t="s">
        <v>2416</v>
      </c>
      <c r="AE14" s="69" t="s">
        <v>55</v>
      </c>
      <c r="AF14" s="13" t="s">
        <v>2418</v>
      </c>
      <c r="AG14" s="13" t="s">
        <v>2419</v>
      </c>
      <c r="AH14" s="13" t="s">
        <v>2420</v>
      </c>
      <c r="AI14" s="13" t="s">
        <v>2421</v>
      </c>
      <c r="AJ14" s="13" t="s">
        <v>2422</v>
      </c>
      <c r="AK14" s="13" t="s">
        <v>2416</v>
      </c>
      <c r="AL14" s="13" t="s">
        <v>2077</v>
      </c>
      <c r="AM14" s="13" t="s">
        <v>2077</v>
      </c>
      <c r="AN14" s="13" t="s">
        <v>2077</v>
      </c>
      <c r="AO14" s="13" t="s">
        <v>2077</v>
      </c>
      <c r="AP14" s="13" t="s">
        <v>2077</v>
      </c>
      <c r="AQ14" s="13" t="s">
        <v>2077</v>
      </c>
      <c r="AR14" s="13" t="s">
        <v>2418</v>
      </c>
      <c r="AS14" s="13" t="s">
        <v>2419</v>
      </c>
      <c r="AT14" s="13" t="s">
        <v>2420</v>
      </c>
      <c r="AU14" s="13" t="s">
        <v>2421</v>
      </c>
      <c r="AV14" s="13" t="s">
        <v>2422</v>
      </c>
      <c r="AW14" s="13" t="s">
        <v>2416</v>
      </c>
      <c r="AX14" s="13" t="s">
        <v>2073</v>
      </c>
      <c r="AY14" s="13" t="s">
        <v>2073</v>
      </c>
      <c r="AZ14" s="13" t="s">
        <v>2073</v>
      </c>
      <c r="BA14" s="13" t="s">
        <v>2073</v>
      </c>
      <c r="BB14" s="13" t="s">
        <v>2073</v>
      </c>
      <c r="BC14" s="13" t="s">
        <v>2073</v>
      </c>
    </row>
    <row r="15" spans="1:55">
      <c r="A15" s="13">
        <v>1000</v>
      </c>
      <c r="B15" s="7" t="s">
        <v>71</v>
      </c>
      <c r="C15" s="211" t="s">
        <v>2412</v>
      </c>
      <c r="D15" s="13" t="s">
        <v>70</v>
      </c>
      <c r="E15" s="13" t="s">
        <v>56</v>
      </c>
      <c r="F15" s="211" t="s">
        <v>2413</v>
      </c>
      <c r="G15" s="13" t="s">
        <v>2414</v>
      </c>
      <c r="H15" s="13" t="s">
        <v>2077</v>
      </c>
      <c r="I15" s="13" t="s">
        <v>2077</v>
      </c>
      <c r="J15" s="13" t="s">
        <v>2077</v>
      </c>
      <c r="K15" s="13" t="s">
        <v>2077</v>
      </c>
      <c r="L15" s="13" t="s">
        <v>2077</v>
      </c>
      <c r="M15" s="13" t="s">
        <v>2077</v>
      </c>
      <c r="N15" s="211" t="s">
        <v>2415</v>
      </c>
      <c r="O15" s="13" t="s">
        <v>2416</v>
      </c>
      <c r="P15" s="69" t="str">
        <f t="shared" ref="P15:Q15" si="13">D15</f>
        <v>KILN DRY CHAMBER 6</v>
      </c>
      <c r="Q15" s="13" t="str">
        <f t="shared" si="13"/>
        <v>1KD</v>
      </c>
      <c r="R15" s="212" t="s">
        <v>23</v>
      </c>
      <c r="S15" s="212" t="s">
        <v>23</v>
      </c>
      <c r="T15" s="13">
        <v>85</v>
      </c>
      <c r="U15" s="211" t="s">
        <v>24</v>
      </c>
      <c r="V15" s="13">
        <v>1</v>
      </c>
      <c r="W15" s="13" t="s">
        <v>2417</v>
      </c>
      <c r="X15" s="13" t="s">
        <v>1924</v>
      </c>
      <c r="Y15" s="13" t="s">
        <v>2073</v>
      </c>
      <c r="Z15" s="13" t="s">
        <v>2073</v>
      </c>
      <c r="AA15" s="13" t="s">
        <v>2073</v>
      </c>
      <c r="AB15" s="13" t="s">
        <v>1924</v>
      </c>
      <c r="AC15" s="211" t="s">
        <v>2415</v>
      </c>
      <c r="AD15" s="13" t="s">
        <v>2416</v>
      </c>
      <c r="AE15" s="69" t="s">
        <v>55</v>
      </c>
      <c r="AF15" s="13" t="s">
        <v>2418</v>
      </c>
      <c r="AG15" s="13" t="s">
        <v>2419</v>
      </c>
      <c r="AH15" s="13" t="s">
        <v>2420</v>
      </c>
      <c r="AI15" s="13" t="s">
        <v>2421</v>
      </c>
      <c r="AJ15" s="13" t="s">
        <v>2422</v>
      </c>
      <c r="AK15" s="13" t="s">
        <v>2416</v>
      </c>
      <c r="AL15" s="13" t="s">
        <v>2077</v>
      </c>
      <c r="AM15" s="13" t="s">
        <v>2077</v>
      </c>
      <c r="AN15" s="13" t="s">
        <v>2077</v>
      </c>
      <c r="AO15" s="13" t="s">
        <v>2077</v>
      </c>
      <c r="AP15" s="13" t="s">
        <v>2077</v>
      </c>
      <c r="AQ15" s="13" t="s">
        <v>2077</v>
      </c>
      <c r="AR15" s="13" t="s">
        <v>2418</v>
      </c>
      <c r="AS15" s="13" t="s">
        <v>2419</v>
      </c>
      <c r="AT15" s="13" t="s">
        <v>2420</v>
      </c>
      <c r="AU15" s="13" t="s">
        <v>2421</v>
      </c>
      <c r="AV15" s="13" t="s">
        <v>2422</v>
      </c>
      <c r="AW15" s="13" t="s">
        <v>2416</v>
      </c>
      <c r="AX15" s="13" t="s">
        <v>2073</v>
      </c>
      <c r="AY15" s="13" t="s">
        <v>2073</v>
      </c>
      <c r="AZ15" s="13" t="s">
        <v>2073</v>
      </c>
      <c r="BA15" s="13" t="s">
        <v>2073</v>
      </c>
      <c r="BB15" s="13" t="s">
        <v>2073</v>
      </c>
      <c r="BC15" s="13" t="s">
        <v>2073</v>
      </c>
    </row>
    <row r="16" spans="1:55">
      <c r="A16" s="13">
        <v>1000</v>
      </c>
      <c r="B16" s="7" t="s">
        <v>74</v>
      </c>
      <c r="C16" s="211" t="s">
        <v>2412</v>
      </c>
      <c r="D16" s="13" t="s">
        <v>73</v>
      </c>
      <c r="E16" s="13" t="s">
        <v>56</v>
      </c>
      <c r="F16" s="211" t="s">
        <v>2413</v>
      </c>
      <c r="G16" s="13" t="s">
        <v>2414</v>
      </c>
      <c r="H16" s="13" t="s">
        <v>2077</v>
      </c>
      <c r="I16" s="13" t="s">
        <v>2077</v>
      </c>
      <c r="J16" s="13" t="s">
        <v>2077</v>
      </c>
      <c r="K16" s="13" t="s">
        <v>2077</v>
      </c>
      <c r="L16" s="13" t="s">
        <v>2077</v>
      </c>
      <c r="M16" s="13" t="s">
        <v>2077</v>
      </c>
      <c r="N16" s="211" t="s">
        <v>2415</v>
      </c>
      <c r="O16" s="13" t="s">
        <v>2416</v>
      </c>
      <c r="P16" s="69" t="str">
        <f t="shared" ref="P16:Q16" si="14">D16</f>
        <v>KILN DRY CHAMBER 7</v>
      </c>
      <c r="Q16" s="13" t="str">
        <f t="shared" si="14"/>
        <v>1KD</v>
      </c>
      <c r="R16" s="212" t="s">
        <v>23</v>
      </c>
      <c r="S16" s="212" t="s">
        <v>23</v>
      </c>
      <c r="T16" s="13">
        <v>85</v>
      </c>
      <c r="U16" s="211" t="s">
        <v>24</v>
      </c>
      <c r="V16" s="13">
        <v>1</v>
      </c>
      <c r="W16" s="13" t="s">
        <v>2417</v>
      </c>
      <c r="X16" s="13" t="s">
        <v>1924</v>
      </c>
      <c r="Y16" s="13" t="s">
        <v>2073</v>
      </c>
      <c r="Z16" s="13" t="s">
        <v>2073</v>
      </c>
      <c r="AA16" s="13" t="s">
        <v>2073</v>
      </c>
      <c r="AB16" s="13" t="s">
        <v>1924</v>
      </c>
      <c r="AC16" s="211" t="s">
        <v>2415</v>
      </c>
      <c r="AD16" s="13" t="s">
        <v>2416</v>
      </c>
      <c r="AE16" s="69" t="s">
        <v>55</v>
      </c>
      <c r="AF16" s="13" t="s">
        <v>2418</v>
      </c>
      <c r="AG16" s="13" t="s">
        <v>2419</v>
      </c>
      <c r="AH16" s="13" t="s">
        <v>2420</v>
      </c>
      <c r="AI16" s="13" t="s">
        <v>2421</v>
      </c>
      <c r="AJ16" s="13" t="s">
        <v>2422</v>
      </c>
      <c r="AK16" s="13" t="s">
        <v>2416</v>
      </c>
      <c r="AL16" s="13" t="s">
        <v>2077</v>
      </c>
      <c r="AM16" s="13" t="s">
        <v>2077</v>
      </c>
      <c r="AN16" s="13" t="s">
        <v>2077</v>
      </c>
      <c r="AO16" s="13" t="s">
        <v>2077</v>
      </c>
      <c r="AP16" s="13" t="s">
        <v>2077</v>
      </c>
      <c r="AQ16" s="13" t="s">
        <v>2077</v>
      </c>
      <c r="AR16" s="13" t="s">
        <v>2418</v>
      </c>
      <c r="AS16" s="13" t="s">
        <v>2419</v>
      </c>
      <c r="AT16" s="13" t="s">
        <v>2420</v>
      </c>
      <c r="AU16" s="13" t="s">
        <v>2421</v>
      </c>
      <c r="AV16" s="13" t="s">
        <v>2422</v>
      </c>
      <c r="AW16" s="13" t="s">
        <v>2416</v>
      </c>
      <c r="AX16" s="13" t="s">
        <v>2073</v>
      </c>
      <c r="AY16" s="13" t="s">
        <v>2073</v>
      </c>
      <c r="AZ16" s="13" t="s">
        <v>2073</v>
      </c>
      <c r="BA16" s="13" t="s">
        <v>2073</v>
      </c>
      <c r="BB16" s="13" t="s">
        <v>2073</v>
      </c>
      <c r="BC16" s="13" t="s">
        <v>2073</v>
      </c>
    </row>
    <row r="17" spans="1:55">
      <c r="A17" s="13">
        <v>1000</v>
      </c>
      <c r="B17" s="7" t="s">
        <v>77</v>
      </c>
      <c r="C17" s="211" t="s">
        <v>2412</v>
      </c>
      <c r="D17" s="13" t="s">
        <v>76</v>
      </c>
      <c r="E17" s="13" t="s">
        <v>56</v>
      </c>
      <c r="F17" s="211" t="s">
        <v>2413</v>
      </c>
      <c r="G17" s="13" t="s">
        <v>2414</v>
      </c>
      <c r="H17" s="13" t="s">
        <v>2077</v>
      </c>
      <c r="I17" s="13" t="s">
        <v>2077</v>
      </c>
      <c r="J17" s="13" t="s">
        <v>2077</v>
      </c>
      <c r="K17" s="13" t="s">
        <v>2077</v>
      </c>
      <c r="L17" s="13" t="s">
        <v>2077</v>
      </c>
      <c r="M17" s="13" t="s">
        <v>2077</v>
      </c>
      <c r="N17" s="211" t="s">
        <v>2415</v>
      </c>
      <c r="O17" s="13" t="s">
        <v>2416</v>
      </c>
      <c r="P17" s="69" t="str">
        <f t="shared" ref="P17:Q17" si="15">D17</f>
        <v>KILN DRY CHAMBER 8</v>
      </c>
      <c r="Q17" s="13" t="str">
        <f t="shared" si="15"/>
        <v>1KD</v>
      </c>
      <c r="R17" s="212" t="s">
        <v>23</v>
      </c>
      <c r="S17" s="212" t="s">
        <v>23</v>
      </c>
      <c r="T17" s="13">
        <v>85</v>
      </c>
      <c r="U17" s="211" t="s">
        <v>24</v>
      </c>
      <c r="V17" s="13">
        <v>1</v>
      </c>
      <c r="W17" s="13" t="s">
        <v>2417</v>
      </c>
      <c r="X17" s="13" t="s">
        <v>1924</v>
      </c>
      <c r="Y17" s="13" t="s">
        <v>2073</v>
      </c>
      <c r="Z17" s="13" t="s">
        <v>2073</v>
      </c>
      <c r="AA17" s="13" t="s">
        <v>2073</v>
      </c>
      <c r="AB17" s="13" t="s">
        <v>1924</v>
      </c>
      <c r="AC17" s="211" t="s">
        <v>2415</v>
      </c>
      <c r="AD17" s="13" t="s">
        <v>2416</v>
      </c>
      <c r="AE17" s="69" t="s">
        <v>55</v>
      </c>
      <c r="AF17" s="13" t="s">
        <v>2418</v>
      </c>
      <c r="AG17" s="13" t="s">
        <v>2419</v>
      </c>
      <c r="AH17" s="13" t="s">
        <v>2420</v>
      </c>
      <c r="AI17" s="13" t="s">
        <v>2421</v>
      </c>
      <c r="AJ17" s="13" t="s">
        <v>2422</v>
      </c>
      <c r="AK17" s="13" t="s">
        <v>2416</v>
      </c>
      <c r="AL17" s="13" t="s">
        <v>2077</v>
      </c>
      <c r="AM17" s="13" t="s">
        <v>2077</v>
      </c>
      <c r="AN17" s="13" t="s">
        <v>2077</v>
      </c>
      <c r="AO17" s="13" t="s">
        <v>2077</v>
      </c>
      <c r="AP17" s="13" t="s">
        <v>2077</v>
      </c>
      <c r="AQ17" s="13" t="s">
        <v>2077</v>
      </c>
      <c r="AR17" s="13" t="s">
        <v>2418</v>
      </c>
      <c r="AS17" s="13" t="s">
        <v>2419</v>
      </c>
      <c r="AT17" s="13" t="s">
        <v>2420</v>
      </c>
      <c r="AU17" s="13" t="s">
        <v>2421</v>
      </c>
      <c r="AV17" s="13" t="s">
        <v>2422</v>
      </c>
      <c r="AW17" s="13" t="s">
        <v>2416</v>
      </c>
      <c r="AX17" s="13" t="s">
        <v>2073</v>
      </c>
      <c r="AY17" s="13" t="s">
        <v>2073</v>
      </c>
      <c r="AZ17" s="13" t="s">
        <v>2073</v>
      </c>
      <c r="BA17" s="13" t="s">
        <v>2073</v>
      </c>
      <c r="BB17" s="13" t="s">
        <v>2073</v>
      </c>
      <c r="BC17" s="13" t="s">
        <v>2073</v>
      </c>
    </row>
    <row r="18" spans="1:55">
      <c r="A18" s="13">
        <v>1000</v>
      </c>
      <c r="B18" s="7" t="s">
        <v>81</v>
      </c>
      <c r="C18" s="211" t="s">
        <v>2412</v>
      </c>
      <c r="D18" s="13" t="s">
        <v>80</v>
      </c>
      <c r="E18" s="13" t="s">
        <v>84</v>
      </c>
      <c r="F18" s="211" t="s">
        <v>2413</v>
      </c>
      <c r="G18" s="13" t="s">
        <v>2414</v>
      </c>
      <c r="H18" s="13" t="s">
        <v>2077</v>
      </c>
      <c r="I18" s="13" t="s">
        <v>2077</v>
      </c>
      <c r="J18" s="13" t="s">
        <v>2077</v>
      </c>
      <c r="K18" s="13" t="s">
        <v>2077</v>
      </c>
      <c r="L18" s="13" t="s">
        <v>2077</v>
      </c>
      <c r="M18" s="13" t="s">
        <v>2077</v>
      </c>
      <c r="N18" s="211" t="s">
        <v>2415</v>
      </c>
      <c r="O18" s="13" t="s">
        <v>2416</v>
      </c>
      <c r="P18" s="69" t="str">
        <f t="shared" ref="P18:Q18" si="16">D18</f>
        <v>MP. SLICER</v>
      </c>
      <c r="Q18" s="13" t="str">
        <f t="shared" si="16"/>
        <v>1SL</v>
      </c>
      <c r="R18" s="212" t="s">
        <v>23</v>
      </c>
      <c r="S18" s="213">
        <v>0.97916666666666663</v>
      </c>
      <c r="T18" s="13">
        <v>85</v>
      </c>
      <c r="U18" s="211" t="s">
        <v>83</v>
      </c>
      <c r="V18" s="13">
        <v>1</v>
      </c>
      <c r="W18" s="13" t="s">
        <v>2417</v>
      </c>
      <c r="X18" s="13" t="s">
        <v>1924</v>
      </c>
      <c r="Y18" s="13" t="s">
        <v>2073</v>
      </c>
      <c r="Z18" s="13" t="s">
        <v>2073</v>
      </c>
      <c r="AA18" s="13" t="s">
        <v>2073</v>
      </c>
      <c r="AB18" s="13" t="s">
        <v>1924</v>
      </c>
      <c r="AC18" s="211" t="s">
        <v>2415</v>
      </c>
      <c r="AD18" s="13" t="s">
        <v>2416</v>
      </c>
      <c r="AE18" s="69" t="s">
        <v>82</v>
      </c>
      <c r="AF18" s="13" t="s">
        <v>2418</v>
      </c>
      <c r="AG18" s="13" t="s">
        <v>2419</v>
      </c>
      <c r="AH18" s="13" t="s">
        <v>2420</v>
      </c>
      <c r="AI18" s="13" t="s">
        <v>2421</v>
      </c>
      <c r="AJ18" s="13" t="s">
        <v>2422</v>
      </c>
      <c r="AK18" s="13" t="s">
        <v>2416</v>
      </c>
      <c r="AL18" s="13" t="s">
        <v>2077</v>
      </c>
      <c r="AM18" s="13" t="s">
        <v>2077</v>
      </c>
      <c r="AN18" s="13" t="s">
        <v>2077</v>
      </c>
      <c r="AO18" s="13" t="s">
        <v>2077</v>
      </c>
      <c r="AP18" s="13" t="s">
        <v>2077</v>
      </c>
      <c r="AQ18" s="13" t="s">
        <v>2077</v>
      </c>
      <c r="AR18" s="13" t="s">
        <v>2418</v>
      </c>
      <c r="AS18" s="13" t="s">
        <v>2419</v>
      </c>
      <c r="AT18" s="13" t="s">
        <v>2420</v>
      </c>
      <c r="AU18" s="13" t="s">
        <v>2421</v>
      </c>
      <c r="AV18" s="13" t="s">
        <v>2422</v>
      </c>
      <c r="AW18" s="13" t="s">
        <v>2416</v>
      </c>
      <c r="AX18" s="13" t="s">
        <v>2073</v>
      </c>
      <c r="AY18" s="13" t="s">
        <v>2073</v>
      </c>
      <c r="AZ18" s="13" t="s">
        <v>2073</v>
      </c>
      <c r="BA18" s="13" t="s">
        <v>2073</v>
      </c>
      <c r="BB18" s="13" t="s">
        <v>2073</v>
      </c>
      <c r="BC18" s="13" t="s">
        <v>2073</v>
      </c>
    </row>
    <row r="19" spans="1:55">
      <c r="A19" s="13">
        <v>1000</v>
      </c>
      <c r="B19" s="7" t="s">
        <v>87</v>
      </c>
      <c r="C19" s="211" t="s">
        <v>2412</v>
      </c>
      <c r="D19" s="13" t="s">
        <v>86</v>
      </c>
      <c r="E19" s="13" t="s">
        <v>84</v>
      </c>
      <c r="F19" s="211" t="s">
        <v>2413</v>
      </c>
      <c r="G19" s="13" t="s">
        <v>2414</v>
      </c>
      <c r="H19" s="13" t="s">
        <v>2077</v>
      </c>
      <c r="I19" s="13" t="s">
        <v>2077</v>
      </c>
      <c r="J19" s="13" t="s">
        <v>2077</v>
      </c>
      <c r="K19" s="13" t="s">
        <v>2077</v>
      </c>
      <c r="L19" s="13" t="s">
        <v>2077</v>
      </c>
      <c r="M19" s="13" t="s">
        <v>2077</v>
      </c>
      <c r="N19" s="211" t="s">
        <v>2415</v>
      </c>
      <c r="O19" s="13" t="s">
        <v>2416</v>
      </c>
      <c r="P19" s="69" t="str">
        <f t="shared" ref="P19:Q19" si="17">D19</f>
        <v>SLICER 1</v>
      </c>
      <c r="Q19" s="13" t="str">
        <f t="shared" si="17"/>
        <v>1SL</v>
      </c>
      <c r="R19" s="212" t="s">
        <v>23</v>
      </c>
      <c r="S19" s="213">
        <v>0.97916666666666663</v>
      </c>
      <c r="T19" s="13">
        <v>85</v>
      </c>
      <c r="U19" s="211" t="s">
        <v>83</v>
      </c>
      <c r="V19" s="13">
        <v>1</v>
      </c>
      <c r="W19" s="13" t="s">
        <v>2417</v>
      </c>
      <c r="X19" s="13" t="s">
        <v>1924</v>
      </c>
      <c r="Y19" s="13" t="s">
        <v>2073</v>
      </c>
      <c r="Z19" s="13" t="s">
        <v>2073</v>
      </c>
      <c r="AA19" s="13" t="s">
        <v>2073</v>
      </c>
      <c r="AB19" s="13" t="s">
        <v>1924</v>
      </c>
      <c r="AC19" s="211" t="s">
        <v>2415</v>
      </c>
      <c r="AD19" s="13" t="s">
        <v>2416</v>
      </c>
      <c r="AE19" s="69" t="s">
        <v>88</v>
      </c>
      <c r="AF19" s="13" t="s">
        <v>2418</v>
      </c>
      <c r="AG19" s="13" t="s">
        <v>2419</v>
      </c>
      <c r="AH19" s="13" t="s">
        <v>2420</v>
      </c>
      <c r="AI19" s="13" t="s">
        <v>2421</v>
      </c>
      <c r="AJ19" s="13" t="s">
        <v>2422</v>
      </c>
      <c r="AK19" s="13" t="s">
        <v>2416</v>
      </c>
      <c r="AL19" s="13" t="s">
        <v>2077</v>
      </c>
      <c r="AM19" s="13" t="s">
        <v>2077</v>
      </c>
      <c r="AN19" s="13" t="s">
        <v>2077</v>
      </c>
      <c r="AO19" s="13" t="s">
        <v>2077</v>
      </c>
      <c r="AP19" s="13" t="s">
        <v>2077</v>
      </c>
      <c r="AQ19" s="13" t="s">
        <v>2077</v>
      </c>
      <c r="AR19" s="13" t="s">
        <v>2418</v>
      </c>
      <c r="AS19" s="13" t="s">
        <v>2419</v>
      </c>
      <c r="AT19" s="13" t="s">
        <v>2420</v>
      </c>
      <c r="AU19" s="13" t="s">
        <v>2421</v>
      </c>
      <c r="AV19" s="13" t="s">
        <v>2422</v>
      </c>
      <c r="AW19" s="13" t="s">
        <v>2416</v>
      </c>
      <c r="AX19" s="13" t="s">
        <v>2073</v>
      </c>
      <c r="AY19" s="13" t="s">
        <v>2073</v>
      </c>
      <c r="AZ19" s="13" t="s">
        <v>2073</v>
      </c>
      <c r="BA19" s="13" t="s">
        <v>2073</v>
      </c>
      <c r="BB19" s="13" t="s">
        <v>2073</v>
      </c>
      <c r="BC19" s="13" t="s">
        <v>2073</v>
      </c>
    </row>
    <row r="20" spans="1:55">
      <c r="A20" s="13">
        <v>1000</v>
      </c>
      <c r="B20" s="7" t="s">
        <v>91</v>
      </c>
      <c r="C20" s="211" t="s">
        <v>2412</v>
      </c>
      <c r="D20" s="13" t="s">
        <v>90</v>
      </c>
      <c r="E20" s="13" t="s">
        <v>84</v>
      </c>
      <c r="F20" s="211" t="s">
        <v>2413</v>
      </c>
      <c r="G20" s="13" t="s">
        <v>2414</v>
      </c>
      <c r="H20" s="13" t="s">
        <v>2077</v>
      </c>
      <c r="I20" s="13" t="s">
        <v>2077</v>
      </c>
      <c r="J20" s="13" t="s">
        <v>2077</v>
      </c>
      <c r="K20" s="13" t="s">
        <v>2077</v>
      </c>
      <c r="L20" s="13" t="s">
        <v>2077</v>
      </c>
      <c r="M20" s="13" t="s">
        <v>2077</v>
      </c>
      <c r="N20" s="211" t="s">
        <v>2415</v>
      </c>
      <c r="O20" s="13" t="s">
        <v>2416</v>
      </c>
      <c r="P20" s="69" t="str">
        <f t="shared" ref="P20:Q20" si="18">D20</f>
        <v>SLICER 2</v>
      </c>
      <c r="Q20" s="13" t="str">
        <f t="shared" si="18"/>
        <v>1SL</v>
      </c>
      <c r="R20" s="212" t="s">
        <v>23</v>
      </c>
      <c r="S20" s="213">
        <v>0.97916666666666663</v>
      </c>
      <c r="T20" s="13">
        <v>85</v>
      </c>
      <c r="U20" s="211" t="s">
        <v>83</v>
      </c>
      <c r="V20" s="13">
        <v>1</v>
      </c>
      <c r="W20" s="13" t="s">
        <v>2417</v>
      </c>
      <c r="X20" s="13" t="s">
        <v>1924</v>
      </c>
      <c r="Y20" s="13" t="s">
        <v>2073</v>
      </c>
      <c r="Z20" s="13" t="s">
        <v>2073</v>
      </c>
      <c r="AA20" s="13" t="s">
        <v>2073</v>
      </c>
      <c r="AB20" s="13" t="s">
        <v>1924</v>
      </c>
      <c r="AC20" s="211" t="s">
        <v>2415</v>
      </c>
      <c r="AD20" s="13" t="s">
        <v>2416</v>
      </c>
      <c r="AE20" s="69" t="s">
        <v>88</v>
      </c>
      <c r="AF20" s="13" t="s">
        <v>2418</v>
      </c>
      <c r="AG20" s="13" t="s">
        <v>2419</v>
      </c>
      <c r="AH20" s="13" t="s">
        <v>2420</v>
      </c>
      <c r="AI20" s="13" t="s">
        <v>2421</v>
      </c>
      <c r="AJ20" s="13" t="s">
        <v>2422</v>
      </c>
      <c r="AK20" s="13" t="s">
        <v>2416</v>
      </c>
      <c r="AL20" s="13" t="s">
        <v>2077</v>
      </c>
      <c r="AM20" s="13" t="s">
        <v>2077</v>
      </c>
      <c r="AN20" s="13" t="s">
        <v>2077</v>
      </c>
      <c r="AO20" s="13" t="s">
        <v>2077</v>
      </c>
      <c r="AP20" s="13" t="s">
        <v>2077</v>
      </c>
      <c r="AQ20" s="13" t="s">
        <v>2077</v>
      </c>
      <c r="AR20" s="13" t="s">
        <v>2418</v>
      </c>
      <c r="AS20" s="13" t="s">
        <v>2419</v>
      </c>
      <c r="AT20" s="13" t="s">
        <v>2420</v>
      </c>
      <c r="AU20" s="13" t="s">
        <v>2421</v>
      </c>
      <c r="AV20" s="13" t="s">
        <v>2422</v>
      </c>
      <c r="AW20" s="13" t="s">
        <v>2416</v>
      </c>
      <c r="AX20" s="13" t="s">
        <v>2073</v>
      </c>
      <c r="AY20" s="13" t="s">
        <v>2073</v>
      </c>
      <c r="AZ20" s="13" t="s">
        <v>2073</v>
      </c>
      <c r="BA20" s="13" t="s">
        <v>2073</v>
      </c>
      <c r="BB20" s="13" t="s">
        <v>2073</v>
      </c>
      <c r="BC20" s="13" t="s">
        <v>2073</v>
      </c>
    </row>
    <row r="21" spans="1:55" ht="15.75" customHeight="1">
      <c r="A21" s="13">
        <v>1000</v>
      </c>
      <c r="B21" s="7" t="s">
        <v>94</v>
      </c>
      <c r="C21" s="211" t="s">
        <v>2412</v>
      </c>
      <c r="D21" s="13" t="s">
        <v>93</v>
      </c>
      <c r="E21" s="13" t="s">
        <v>84</v>
      </c>
      <c r="F21" s="211" t="s">
        <v>2413</v>
      </c>
      <c r="G21" s="13" t="s">
        <v>2414</v>
      </c>
      <c r="H21" s="13" t="s">
        <v>2077</v>
      </c>
      <c r="I21" s="13" t="s">
        <v>2077</v>
      </c>
      <c r="J21" s="13" t="s">
        <v>2077</v>
      </c>
      <c r="K21" s="13" t="s">
        <v>2077</v>
      </c>
      <c r="L21" s="13" t="s">
        <v>2077</v>
      </c>
      <c r="M21" s="13" t="s">
        <v>2077</v>
      </c>
      <c r="N21" s="211" t="s">
        <v>2415</v>
      </c>
      <c r="O21" s="13" t="s">
        <v>2416</v>
      </c>
      <c r="P21" s="69" t="str">
        <f t="shared" ref="P21:Q21" si="19">D21</f>
        <v>SLICER 3</v>
      </c>
      <c r="Q21" s="13" t="str">
        <f t="shared" si="19"/>
        <v>1SL</v>
      </c>
      <c r="R21" s="212" t="s">
        <v>23</v>
      </c>
      <c r="S21" s="213">
        <v>0.97916666666666663</v>
      </c>
      <c r="T21" s="13">
        <v>85</v>
      </c>
      <c r="U21" s="211" t="s">
        <v>83</v>
      </c>
      <c r="V21" s="13">
        <v>1</v>
      </c>
      <c r="W21" s="13" t="s">
        <v>2417</v>
      </c>
      <c r="X21" s="13" t="s">
        <v>1924</v>
      </c>
      <c r="Y21" s="13" t="s">
        <v>2073</v>
      </c>
      <c r="Z21" s="13" t="s">
        <v>2073</v>
      </c>
      <c r="AA21" s="13" t="s">
        <v>2073</v>
      </c>
      <c r="AB21" s="13" t="s">
        <v>1924</v>
      </c>
      <c r="AC21" s="211" t="s">
        <v>2415</v>
      </c>
      <c r="AD21" s="13" t="s">
        <v>2416</v>
      </c>
      <c r="AE21" s="69" t="s">
        <v>88</v>
      </c>
      <c r="AF21" s="13" t="s">
        <v>2418</v>
      </c>
      <c r="AG21" s="13" t="s">
        <v>2419</v>
      </c>
      <c r="AH21" s="13" t="s">
        <v>2420</v>
      </c>
      <c r="AI21" s="13" t="s">
        <v>2421</v>
      </c>
      <c r="AJ21" s="13" t="s">
        <v>2422</v>
      </c>
      <c r="AK21" s="13" t="s">
        <v>2416</v>
      </c>
      <c r="AL21" s="13" t="s">
        <v>2077</v>
      </c>
      <c r="AM21" s="13" t="s">
        <v>2077</v>
      </c>
      <c r="AN21" s="13" t="s">
        <v>2077</v>
      </c>
      <c r="AO21" s="13" t="s">
        <v>2077</v>
      </c>
      <c r="AP21" s="13" t="s">
        <v>2077</v>
      </c>
      <c r="AQ21" s="13" t="s">
        <v>2077</v>
      </c>
      <c r="AR21" s="13" t="s">
        <v>2418</v>
      </c>
      <c r="AS21" s="13" t="s">
        <v>2419</v>
      </c>
      <c r="AT21" s="13" t="s">
        <v>2420</v>
      </c>
      <c r="AU21" s="13" t="s">
        <v>2421</v>
      </c>
      <c r="AV21" s="13" t="s">
        <v>2422</v>
      </c>
      <c r="AW21" s="13" t="s">
        <v>2416</v>
      </c>
      <c r="AX21" s="13" t="s">
        <v>2073</v>
      </c>
      <c r="AY21" s="13" t="s">
        <v>2073</v>
      </c>
      <c r="AZ21" s="13" t="s">
        <v>2073</v>
      </c>
      <c r="BA21" s="13" t="s">
        <v>2073</v>
      </c>
      <c r="BB21" s="13" t="s">
        <v>2073</v>
      </c>
      <c r="BC21" s="13" t="s">
        <v>2073</v>
      </c>
    </row>
    <row r="22" spans="1:55" ht="15.75" customHeight="1">
      <c r="A22" s="13">
        <v>1000</v>
      </c>
      <c r="B22" s="7" t="s">
        <v>97</v>
      </c>
      <c r="C22" s="211" t="s">
        <v>2412</v>
      </c>
      <c r="D22" s="13" t="s">
        <v>96</v>
      </c>
      <c r="E22" s="13" t="s">
        <v>84</v>
      </c>
      <c r="F22" s="211" t="s">
        <v>2413</v>
      </c>
      <c r="G22" s="13" t="s">
        <v>2414</v>
      </c>
      <c r="H22" s="13" t="s">
        <v>2077</v>
      </c>
      <c r="I22" s="13" t="s">
        <v>2077</v>
      </c>
      <c r="J22" s="13" t="s">
        <v>2077</v>
      </c>
      <c r="K22" s="13" t="s">
        <v>2077</v>
      </c>
      <c r="L22" s="13" t="s">
        <v>2077</v>
      </c>
      <c r="M22" s="13" t="s">
        <v>2077</v>
      </c>
      <c r="N22" s="211" t="s">
        <v>2415</v>
      </c>
      <c r="O22" s="13" t="s">
        <v>2416</v>
      </c>
      <c r="P22" s="69" t="str">
        <f t="shared" ref="P22:Q22" si="20">D22</f>
        <v>DRYING MACHINERY</v>
      </c>
      <c r="Q22" s="13" t="str">
        <f t="shared" si="20"/>
        <v>1SL</v>
      </c>
      <c r="R22" s="212" t="s">
        <v>23</v>
      </c>
      <c r="S22" s="213">
        <v>0.97916666666666663</v>
      </c>
      <c r="T22" s="13">
        <v>85</v>
      </c>
      <c r="U22" s="211" t="s">
        <v>83</v>
      </c>
      <c r="V22" s="13">
        <v>1</v>
      </c>
      <c r="W22" s="13" t="s">
        <v>2417</v>
      </c>
      <c r="X22" s="13" t="s">
        <v>1924</v>
      </c>
      <c r="Y22" s="13" t="s">
        <v>2073</v>
      </c>
      <c r="Z22" s="13" t="s">
        <v>2073</v>
      </c>
      <c r="AA22" s="13" t="s">
        <v>2073</v>
      </c>
      <c r="AB22" s="13" t="s">
        <v>1924</v>
      </c>
      <c r="AC22" s="211" t="s">
        <v>2415</v>
      </c>
      <c r="AD22" s="13" t="s">
        <v>2416</v>
      </c>
      <c r="AE22" s="69" t="s">
        <v>98</v>
      </c>
      <c r="AF22" s="13" t="s">
        <v>2418</v>
      </c>
      <c r="AG22" s="13" t="s">
        <v>2419</v>
      </c>
      <c r="AH22" s="13" t="s">
        <v>2420</v>
      </c>
      <c r="AI22" s="13" t="s">
        <v>2421</v>
      </c>
      <c r="AJ22" s="13" t="s">
        <v>2422</v>
      </c>
      <c r="AK22" s="13" t="s">
        <v>2416</v>
      </c>
      <c r="AL22" s="13" t="s">
        <v>2077</v>
      </c>
      <c r="AM22" s="13" t="s">
        <v>2077</v>
      </c>
      <c r="AN22" s="13" t="s">
        <v>2077</v>
      </c>
      <c r="AO22" s="13" t="s">
        <v>2077</v>
      </c>
      <c r="AP22" s="13" t="s">
        <v>2077</v>
      </c>
      <c r="AQ22" s="13" t="s">
        <v>2077</v>
      </c>
      <c r="AR22" s="13" t="s">
        <v>2418</v>
      </c>
      <c r="AS22" s="13" t="s">
        <v>2419</v>
      </c>
      <c r="AT22" s="13" t="s">
        <v>2420</v>
      </c>
      <c r="AU22" s="13" t="s">
        <v>2421</v>
      </c>
      <c r="AV22" s="13" t="s">
        <v>2422</v>
      </c>
      <c r="AW22" s="13" t="s">
        <v>2416</v>
      </c>
      <c r="AX22" s="13" t="s">
        <v>2073</v>
      </c>
      <c r="AY22" s="13" t="s">
        <v>2073</v>
      </c>
      <c r="AZ22" s="13" t="s">
        <v>2073</v>
      </c>
      <c r="BA22" s="13" t="s">
        <v>2073</v>
      </c>
      <c r="BB22" s="13" t="s">
        <v>2073</v>
      </c>
      <c r="BC22" s="13" t="s">
        <v>2073</v>
      </c>
    </row>
    <row r="23" spans="1:55" ht="15.75" customHeight="1">
      <c r="A23" s="13">
        <v>1000</v>
      </c>
      <c r="B23" s="7" t="s">
        <v>102</v>
      </c>
      <c r="C23" s="211" t="s">
        <v>2412</v>
      </c>
      <c r="D23" s="13" t="s">
        <v>103</v>
      </c>
      <c r="E23" s="13" t="s">
        <v>106</v>
      </c>
      <c r="F23" s="211" t="s">
        <v>2413</v>
      </c>
      <c r="G23" s="13" t="s">
        <v>2414</v>
      </c>
      <c r="H23" s="13" t="s">
        <v>2077</v>
      </c>
      <c r="I23" s="13" t="s">
        <v>2077</v>
      </c>
      <c r="J23" s="13" t="s">
        <v>2077</v>
      </c>
      <c r="K23" s="13" t="s">
        <v>2077</v>
      </c>
      <c r="L23" s="13" t="s">
        <v>2077</v>
      </c>
      <c r="M23" s="13" t="s">
        <v>2077</v>
      </c>
      <c r="N23" s="211" t="s">
        <v>2415</v>
      </c>
      <c r="O23" s="13" t="s">
        <v>2416</v>
      </c>
      <c r="P23" s="69" t="str">
        <f t="shared" ref="P23:Q23" si="21">D23</f>
        <v>PACKING HARDWARE &amp; KACA</v>
      </c>
      <c r="Q23" s="13" t="str">
        <f t="shared" si="21"/>
        <v>1WH</v>
      </c>
      <c r="R23" s="212" t="s">
        <v>23</v>
      </c>
      <c r="S23" s="213">
        <v>0.70833333333333337</v>
      </c>
      <c r="T23" s="13">
        <v>85</v>
      </c>
      <c r="U23" s="211" t="s">
        <v>24</v>
      </c>
      <c r="V23" s="13">
        <v>1</v>
      </c>
      <c r="W23" s="13" t="s">
        <v>2417</v>
      </c>
      <c r="X23" s="13" t="s">
        <v>1924</v>
      </c>
      <c r="Y23" s="13" t="s">
        <v>2073</v>
      </c>
      <c r="Z23" s="13" t="s">
        <v>2073</v>
      </c>
      <c r="AA23" s="13" t="s">
        <v>2073</v>
      </c>
      <c r="AB23" s="13" t="s">
        <v>1924</v>
      </c>
      <c r="AC23" s="211" t="s">
        <v>2415</v>
      </c>
      <c r="AD23" s="13" t="s">
        <v>2416</v>
      </c>
      <c r="AE23" s="69" t="s">
        <v>104</v>
      </c>
      <c r="AF23" s="13" t="s">
        <v>2418</v>
      </c>
      <c r="AG23" s="13" t="s">
        <v>2419</v>
      </c>
      <c r="AH23" s="13" t="s">
        <v>2420</v>
      </c>
      <c r="AI23" s="13" t="s">
        <v>2421</v>
      </c>
      <c r="AJ23" s="13" t="s">
        <v>2422</v>
      </c>
      <c r="AK23" s="13" t="s">
        <v>2416</v>
      </c>
      <c r="AL23" s="13" t="s">
        <v>2077</v>
      </c>
      <c r="AM23" s="13" t="s">
        <v>2077</v>
      </c>
      <c r="AN23" s="13" t="s">
        <v>2077</v>
      </c>
      <c r="AO23" s="13" t="s">
        <v>2077</v>
      </c>
      <c r="AP23" s="13" t="s">
        <v>2077</v>
      </c>
      <c r="AQ23" s="13" t="s">
        <v>2077</v>
      </c>
      <c r="AR23" s="13" t="s">
        <v>2418</v>
      </c>
      <c r="AS23" s="13" t="s">
        <v>2419</v>
      </c>
      <c r="AT23" s="13" t="s">
        <v>2420</v>
      </c>
      <c r="AU23" s="13" t="s">
        <v>2421</v>
      </c>
      <c r="AV23" s="13" t="s">
        <v>2422</v>
      </c>
      <c r="AW23" s="13" t="s">
        <v>2416</v>
      </c>
      <c r="AX23" s="13" t="s">
        <v>2073</v>
      </c>
      <c r="AY23" s="13" t="s">
        <v>2073</v>
      </c>
      <c r="AZ23" s="13" t="s">
        <v>2073</v>
      </c>
      <c r="BA23" s="13" t="s">
        <v>2073</v>
      </c>
      <c r="BB23" s="13" t="s">
        <v>2073</v>
      </c>
      <c r="BC23" s="13" t="s">
        <v>2073</v>
      </c>
    </row>
    <row r="24" spans="1:55" ht="15.75" customHeight="1">
      <c r="A24" s="13">
        <v>1000</v>
      </c>
      <c r="B24" s="7" t="s">
        <v>110</v>
      </c>
      <c r="C24" s="211" t="s">
        <v>2412</v>
      </c>
      <c r="D24" s="13" t="s">
        <v>109</v>
      </c>
      <c r="E24" s="13" t="s">
        <v>113</v>
      </c>
      <c r="F24" s="211" t="s">
        <v>2413</v>
      </c>
      <c r="G24" s="13" t="s">
        <v>2414</v>
      </c>
      <c r="H24" s="13" t="s">
        <v>2077</v>
      </c>
      <c r="I24" s="13" t="s">
        <v>2077</v>
      </c>
      <c r="J24" s="13" t="s">
        <v>2077</v>
      </c>
      <c r="K24" s="13" t="s">
        <v>2077</v>
      </c>
      <c r="L24" s="13" t="s">
        <v>2077</v>
      </c>
      <c r="M24" s="13" t="s">
        <v>2077</v>
      </c>
      <c r="N24" s="211" t="s">
        <v>2415</v>
      </c>
      <c r="O24" s="13" t="s">
        <v>2416</v>
      </c>
      <c r="P24" s="69" t="str">
        <f t="shared" ref="P24:Q24" si="22">D24</f>
        <v>Double Planner  KMI</v>
      </c>
      <c r="Q24" s="13" t="str">
        <f t="shared" si="22"/>
        <v>1WW</v>
      </c>
      <c r="R24" s="212" t="s">
        <v>23</v>
      </c>
      <c r="S24" s="213">
        <v>0.97916666666666663</v>
      </c>
      <c r="T24" s="13">
        <v>85</v>
      </c>
      <c r="U24" s="211" t="s">
        <v>83</v>
      </c>
      <c r="V24" s="13">
        <v>1</v>
      </c>
      <c r="W24" s="13" t="s">
        <v>2417</v>
      </c>
      <c r="X24" s="13" t="s">
        <v>1924</v>
      </c>
      <c r="Y24" s="13" t="s">
        <v>2073</v>
      </c>
      <c r="Z24" s="13" t="s">
        <v>2073</v>
      </c>
      <c r="AA24" s="13" t="s">
        <v>2073</v>
      </c>
      <c r="AB24" s="13" t="s">
        <v>1924</v>
      </c>
      <c r="AC24" s="211" t="s">
        <v>2415</v>
      </c>
      <c r="AD24" s="13" t="s">
        <v>2416</v>
      </c>
      <c r="AE24" s="69" t="s">
        <v>111</v>
      </c>
      <c r="AF24" s="13" t="s">
        <v>2418</v>
      </c>
      <c r="AG24" s="13" t="s">
        <v>2419</v>
      </c>
      <c r="AH24" s="13" t="s">
        <v>2420</v>
      </c>
      <c r="AI24" s="13" t="s">
        <v>2421</v>
      </c>
      <c r="AJ24" s="13" t="s">
        <v>2422</v>
      </c>
      <c r="AK24" s="13" t="s">
        <v>2416</v>
      </c>
      <c r="AL24" s="13" t="s">
        <v>2077</v>
      </c>
      <c r="AM24" s="13" t="s">
        <v>2077</v>
      </c>
      <c r="AN24" s="13" t="s">
        <v>2077</v>
      </c>
      <c r="AO24" s="13" t="s">
        <v>2077</v>
      </c>
      <c r="AP24" s="13" t="s">
        <v>2077</v>
      </c>
      <c r="AQ24" s="13" t="s">
        <v>2077</v>
      </c>
      <c r="AR24" s="13" t="s">
        <v>2418</v>
      </c>
      <c r="AS24" s="13" t="s">
        <v>2419</v>
      </c>
      <c r="AT24" s="13" t="s">
        <v>2420</v>
      </c>
      <c r="AU24" s="13" t="s">
        <v>2421</v>
      </c>
      <c r="AV24" s="13" t="s">
        <v>2422</v>
      </c>
      <c r="AW24" s="13" t="s">
        <v>2416</v>
      </c>
      <c r="AX24" s="13" t="s">
        <v>2073</v>
      </c>
      <c r="AY24" s="13" t="s">
        <v>2073</v>
      </c>
      <c r="AZ24" s="13" t="s">
        <v>2073</v>
      </c>
      <c r="BA24" s="13" t="s">
        <v>2073</v>
      </c>
      <c r="BB24" s="13" t="s">
        <v>2073</v>
      </c>
      <c r="BC24" s="13" t="s">
        <v>2073</v>
      </c>
    </row>
    <row r="25" spans="1:55" ht="15.75" customHeight="1">
      <c r="A25" s="13">
        <v>1000</v>
      </c>
      <c r="B25" s="7" t="s">
        <v>116</v>
      </c>
      <c r="C25" s="211" t="s">
        <v>2412</v>
      </c>
      <c r="D25" s="13" t="s">
        <v>115</v>
      </c>
      <c r="E25" s="13" t="s">
        <v>113</v>
      </c>
      <c r="F25" s="211" t="s">
        <v>2413</v>
      </c>
      <c r="G25" s="13" t="s">
        <v>2414</v>
      </c>
      <c r="H25" s="13" t="s">
        <v>2077</v>
      </c>
      <c r="I25" s="13" t="s">
        <v>2077</v>
      </c>
      <c r="J25" s="13" t="s">
        <v>2077</v>
      </c>
      <c r="K25" s="13" t="s">
        <v>2077</v>
      </c>
      <c r="L25" s="13" t="s">
        <v>2077</v>
      </c>
      <c r="M25" s="13" t="s">
        <v>2077</v>
      </c>
      <c r="N25" s="211" t="s">
        <v>2415</v>
      </c>
      <c r="O25" s="13" t="s">
        <v>2416</v>
      </c>
      <c r="P25" s="69" t="str">
        <f t="shared" ref="P25:Q25" si="23">D25</f>
        <v>MP. Cutting 1  KMI</v>
      </c>
      <c r="Q25" s="13" t="str">
        <f t="shared" si="23"/>
        <v>1WW</v>
      </c>
      <c r="R25" s="212" t="s">
        <v>23</v>
      </c>
      <c r="S25" s="213">
        <v>0.97916666666666663</v>
      </c>
      <c r="T25" s="13">
        <v>85</v>
      </c>
      <c r="U25" s="211" t="s">
        <v>83</v>
      </c>
      <c r="V25" s="13">
        <v>1</v>
      </c>
      <c r="W25" s="13" t="s">
        <v>2417</v>
      </c>
      <c r="X25" s="13" t="s">
        <v>1924</v>
      </c>
      <c r="Y25" s="13" t="s">
        <v>2073</v>
      </c>
      <c r="Z25" s="13" t="s">
        <v>2073</v>
      </c>
      <c r="AA25" s="13" t="s">
        <v>2073</v>
      </c>
      <c r="AB25" s="13" t="s">
        <v>1924</v>
      </c>
      <c r="AC25" s="211" t="s">
        <v>2415</v>
      </c>
      <c r="AD25" s="13" t="s">
        <v>2416</v>
      </c>
      <c r="AE25" s="69" t="s">
        <v>117</v>
      </c>
      <c r="AF25" s="13" t="s">
        <v>2418</v>
      </c>
      <c r="AG25" s="13" t="s">
        <v>2419</v>
      </c>
      <c r="AH25" s="13" t="s">
        <v>2420</v>
      </c>
      <c r="AI25" s="13" t="s">
        <v>2421</v>
      </c>
      <c r="AJ25" s="13" t="s">
        <v>2422</v>
      </c>
      <c r="AK25" s="13" t="s">
        <v>2416</v>
      </c>
      <c r="AL25" s="13" t="s">
        <v>2077</v>
      </c>
      <c r="AM25" s="13" t="s">
        <v>2077</v>
      </c>
      <c r="AN25" s="13" t="s">
        <v>2077</v>
      </c>
      <c r="AO25" s="13" t="s">
        <v>2077</v>
      </c>
      <c r="AP25" s="13" t="s">
        <v>2077</v>
      </c>
      <c r="AQ25" s="13" t="s">
        <v>2077</v>
      </c>
      <c r="AR25" s="13" t="s">
        <v>2418</v>
      </c>
      <c r="AS25" s="13" t="s">
        <v>2419</v>
      </c>
      <c r="AT25" s="13" t="s">
        <v>2420</v>
      </c>
      <c r="AU25" s="13" t="s">
        <v>2421</v>
      </c>
      <c r="AV25" s="13" t="s">
        <v>2422</v>
      </c>
      <c r="AW25" s="13" t="s">
        <v>2416</v>
      </c>
      <c r="AX25" s="13" t="s">
        <v>2073</v>
      </c>
      <c r="AY25" s="13" t="s">
        <v>2073</v>
      </c>
      <c r="AZ25" s="13" t="s">
        <v>2073</v>
      </c>
      <c r="BA25" s="13" t="s">
        <v>2073</v>
      </c>
      <c r="BB25" s="13" t="s">
        <v>2073</v>
      </c>
      <c r="BC25" s="13" t="s">
        <v>2073</v>
      </c>
    </row>
    <row r="26" spans="1:55" ht="15.75" customHeight="1">
      <c r="A26" s="13">
        <v>1000</v>
      </c>
      <c r="B26" s="7" t="s">
        <v>120</v>
      </c>
      <c r="C26" s="211" t="s">
        <v>2412</v>
      </c>
      <c r="D26" s="13" t="s">
        <v>119</v>
      </c>
      <c r="E26" s="13" t="s">
        <v>113</v>
      </c>
      <c r="F26" s="211" t="s">
        <v>2413</v>
      </c>
      <c r="G26" s="13" t="s">
        <v>2414</v>
      </c>
      <c r="H26" s="13" t="s">
        <v>2077</v>
      </c>
      <c r="I26" s="13" t="s">
        <v>2077</v>
      </c>
      <c r="J26" s="13" t="s">
        <v>2077</v>
      </c>
      <c r="K26" s="13" t="s">
        <v>2077</v>
      </c>
      <c r="L26" s="13" t="s">
        <v>2077</v>
      </c>
      <c r="M26" s="13" t="s">
        <v>2077</v>
      </c>
      <c r="N26" s="211" t="s">
        <v>2415</v>
      </c>
      <c r="O26" s="13" t="s">
        <v>2416</v>
      </c>
      <c r="P26" s="69" t="str">
        <f t="shared" ref="P26:Q26" si="24">D26</f>
        <v>MP. Cutting 2  KMI</v>
      </c>
      <c r="Q26" s="13" t="str">
        <f t="shared" si="24"/>
        <v>1WW</v>
      </c>
      <c r="R26" s="212" t="s">
        <v>23</v>
      </c>
      <c r="S26" s="213">
        <v>0.97916666666666663</v>
      </c>
      <c r="T26" s="13">
        <v>85</v>
      </c>
      <c r="U26" s="211" t="s">
        <v>83</v>
      </c>
      <c r="V26" s="13">
        <v>1</v>
      </c>
      <c r="W26" s="13" t="s">
        <v>2417</v>
      </c>
      <c r="X26" s="13" t="s">
        <v>1924</v>
      </c>
      <c r="Y26" s="13" t="s">
        <v>2073</v>
      </c>
      <c r="Z26" s="13" t="s">
        <v>2073</v>
      </c>
      <c r="AA26" s="13" t="s">
        <v>2073</v>
      </c>
      <c r="AB26" s="13" t="s">
        <v>1924</v>
      </c>
      <c r="AC26" s="211" t="s">
        <v>2415</v>
      </c>
      <c r="AD26" s="13" t="s">
        <v>2416</v>
      </c>
      <c r="AE26" s="69" t="s">
        <v>117</v>
      </c>
      <c r="AF26" s="13" t="s">
        <v>2418</v>
      </c>
      <c r="AG26" s="13" t="s">
        <v>2419</v>
      </c>
      <c r="AH26" s="13" t="s">
        <v>2420</v>
      </c>
      <c r="AI26" s="13" t="s">
        <v>2421</v>
      </c>
      <c r="AJ26" s="13" t="s">
        <v>2422</v>
      </c>
      <c r="AK26" s="13" t="s">
        <v>2416</v>
      </c>
      <c r="AL26" s="13" t="s">
        <v>2077</v>
      </c>
      <c r="AM26" s="13" t="s">
        <v>2077</v>
      </c>
      <c r="AN26" s="13" t="s">
        <v>2077</v>
      </c>
      <c r="AO26" s="13" t="s">
        <v>2077</v>
      </c>
      <c r="AP26" s="13" t="s">
        <v>2077</v>
      </c>
      <c r="AQ26" s="13" t="s">
        <v>2077</v>
      </c>
      <c r="AR26" s="13" t="s">
        <v>2418</v>
      </c>
      <c r="AS26" s="13" t="s">
        <v>2419</v>
      </c>
      <c r="AT26" s="13" t="s">
        <v>2420</v>
      </c>
      <c r="AU26" s="13" t="s">
        <v>2421</v>
      </c>
      <c r="AV26" s="13" t="s">
        <v>2422</v>
      </c>
      <c r="AW26" s="13" t="s">
        <v>2416</v>
      </c>
      <c r="AX26" s="13" t="s">
        <v>2073</v>
      </c>
      <c r="AY26" s="13" t="s">
        <v>2073</v>
      </c>
      <c r="AZ26" s="13" t="s">
        <v>2073</v>
      </c>
      <c r="BA26" s="13" t="s">
        <v>2073</v>
      </c>
      <c r="BB26" s="13" t="s">
        <v>2073</v>
      </c>
      <c r="BC26" s="13" t="s">
        <v>2073</v>
      </c>
    </row>
    <row r="27" spans="1:55" ht="15.75" customHeight="1">
      <c r="A27" s="13">
        <v>1000</v>
      </c>
      <c r="B27" s="7" t="s">
        <v>124</v>
      </c>
      <c r="C27" s="211" t="s">
        <v>2412</v>
      </c>
      <c r="D27" s="13" t="s">
        <v>123</v>
      </c>
      <c r="E27" s="13" t="s">
        <v>113</v>
      </c>
      <c r="F27" s="211" t="s">
        <v>2413</v>
      </c>
      <c r="G27" s="13" t="s">
        <v>2414</v>
      </c>
      <c r="H27" s="13" t="s">
        <v>2077</v>
      </c>
      <c r="I27" s="13" t="s">
        <v>2077</v>
      </c>
      <c r="J27" s="13" t="s">
        <v>2077</v>
      </c>
      <c r="K27" s="13" t="s">
        <v>2077</v>
      </c>
      <c r="L27" s="13" t="s">
        <v>2077</v>
      </c>
      <c r="M27" s="13" t="s">
        <v>2077</v>
      </c>
      <c r="N27" s="211" t="s">
        <v>2415</v>
      </c>
      <c r="O27" s="13" t="s">
        <v>2416</v>
      </c>
      <c r="P27" s="69" t="str">
        <f t="shared" ref="P27:Q27" si="25">D27</f>
        <v>Finger Joint  KMI</v>
      </c>
      <c r="Q27" s="13" t="str">
        <f t="shared" si="25"/>
        <v>1WW</v>
      </c>
      <c r="R27" s="212" t="s">
        <v>23</v>
      </c>
      <c r="S27" s="213">
        <v>0.97916666666666663</v>
      </c>
      <c r="T27" s="13">
        <v>85</v>
      </c>
      <c r="U27" s="211" t="s">
        <v>83</v>
      </c>
      <c r="V27" s="13">
        <v>1</v>
      </c>
      <c r="W27" s="13" t="s">
        <v>2417</v>
      </c>
      <c r="X27" s="13" t="s">
        <v>1924</v>
      </c>
      <c r="Y27" s="13" t="s">
        <v>2073</v>
      </c>
      <c r="Z27" s="13" t="s">
        <v>2073</v>
      </c>
      <c r="AA27" s="13" t="s">
        <v>2073</v>
      </c>
      <c r="AB27" s="13" t="s">
        <v>1924</v>
      </c>
      <c r="AC27" s="211" t="s">
        <v>2415</v>
      </c>
      <c r="AD27" s="13" t="s">
        <v>2416</v>
      </c>
      <c r="AE27" s="69" t="s">
        <v>125</v>
      </c>
      <c r="AF27" s="13" t="s">
        <v>2418</v>
      </c>
      <c r="AG27" s="13" t="s">
        <v>2419</v>
      </c>
      <c r="AH27" s="13" t="s">
        <v>2420</v>
      </c>
      <c r="AI27" s="13" t="s">
        <v>2421</v>
      </c>
      <c r="AJ27" s="13" t="s">
        <v>2422</v>
      </c>
      <c r="AK27" s="13" t="s">
        <v>2416</v>
      </c>
      <c r="AL27" s="13" t="s">
        <v>2077</v>
      </c>
      <c r="AM27" s="13" t="s">
        <v>2077</v>
      </c>
      <c r="AN27" s="13" t="s">
        <v>2077</v>
      </c>
      <c r="AO27" s="13" t="s">
        <v>2077</v>
      </c>
      <c r="AP27" s="13" t="s">
        <v>2077</v>
      </c>
      <c r="AQ27" s="13" t="s">
        <v>2077</v>
      </c>
      <c r="AR27" s="13" t="s">
        <v>2418</v>
      </c>
      <c r="AS27" s="13" t="s">
        <v>2419</v>
      </c>
      <c r="AT27" s="13" t="s">
        <v>2420</v>
      </c>
      <c r="AU27" s="13" t="s">
        <v>2421</v>
      </c>
      <c r="AV27" s="13" t="s">
        <v>2422</v>
      </c>
      <c r="AW27" s="13" t="s">
        <v>2416</v>
      </c>
      <c r="AX27" s="13" t="s">
        <v>2073</v>
      </c>
      <c r="AY27" s="13" t="s">
        <v>2073</v>
      </c>
      <c r="AZ27" s="13" t="s">
        <v>2073</v>
      </c>
      <c r="BA27" s="13" t="s">
        <v>2073</v>
      </c>
      <c r="BB27" s="13" t="s">
        <v>2073</v>
      </c>
      <c r="BC27" s="13" t="s">
        <v>2073</v>
      </c>
    </row>
    <row r="28" spans="1:55" ht="15.75" customHeight="1">
      <c r="A28" s="13">
        <v>1000</v>
      </c>
      <c r="B28" s="7" t="s">
        <v>129</v>
      </c>
      <c r="C28" s="211" t="s">
        <v>2412</v>
      </c>
      <c r="D28" s="13" t="s">
        <v>128</v>
      </c>
      <c r="E28" s="13" t="s">
        <v>113</v>
      </c>
      <c r="F28" s="211" t="s">
        <v>2413</v>
      </c>
      <c r="G28" s="13" t="s">
        <v>2414</v>
      </c>
      <c r="H28" s="13" t="s">
        <v>2077</v>
      </c>
      <c r="I28" s="13" t="s">
        <v>2077</v>
      </c>
      <c r="J28" s="13" t="s">
        <v>2077</v>
      </c>
      <c r="K28" s="13" t="s">
        <v>2077</v>
      </c>
      <c r="L28" s="13" t="s">
        <v>2077</v>
      </c>
      <c r="M28" s="13" t="s">
        <v>2077</v>
      </c>
      <c r="N28" s="211" t="s">
        <v>2415</v>
      </c>
      <c r="O28" s="13" t="s">
        <v>2416</v>
      </c>
      <c r="P28" s="69" t="str">
        <f t="shared" ref="P28:Q28" si="26">D28</f>
        <v>Laminatery 1 Rotary 4 wing  KMI</v>
      </c>
      <c r="Q28" s="13" t="str">
        <f t="shared" si="26"/>
        <v>1WW</v>
      </c>
      <c r="R28" s="212" t="s">
        <v>23</v>
      </c>
      <c r="S28" s="213">
        <v>0.97916666666666663</v>
      </c>
      <c r="T28" s="13">
        <v>85</v>
      </c>
      <c r="U28" s="211" t="s">
        <v>83</v>
      </c>
      <c r="V28" s="13">
        <v>1</v>
      </c>
      <c r="W28" s="13" t="s">
        <v>2417</v>
      </c>
      <c r="X28" s="13" t="s">
        <v>1924</v>
      </c>
      <c r="Y28" s="13" t="s">
        <v>2073</v>
      </c>
      <c r="Z28" s="13" t="s">
        <v>2073</v>
      </c>
      <c r="AA28" s="13" t="s">
        <v>2073</v>
      </c>
      <c r="AB28" s="13" t="s">
        <v>1924</v>
      </c>
      <c r="AC28" s="211" t="s">
        <v>2415</v>
      </c>
      <c r="AD28" s="13" t="s">
        <v>2416</v>
      </c>
      <c r="AE28" s="69" t="s">
        <v>130</v>
      </c>
      <c r="AF28" s="13" t="s">
        <v>2418</v>
      </c>
      <c r="AG28" s="13" t="s">
        <v>2419</v>
      </c>
      <c r="AH28" s="13" t="s">
        <v>2420</v>
      </c>
      <c r="AI28" s="13" t="s">
        <v>2421</v>
      </c>
      <c r="AJ28" s="13" t="s">
        <v>2422</v>
      </c>
      <c r="AK28" s="13" t="s">
        <v>2416</v>
      </c>
      <c r="AL28" s="13" t="s">
        <v>2077</v>
      </c>
      <c r="AM28" s="13" t="s">
        <v>2077</v>
      </c>
      <c r="AN28" s="13" t="s">
        <v>2077</v>
      </c>
      <c r="AO28" s="13" t="s">
        <v>2077</v>
      </c>
      <c r="AP28" s="13" t="s">
        <v>2077</v>
      </c>
      <c r="AQ28" s="13" t="s">
        <v>2077</v>
      </c>
      <c r="AR28" s="13" t="s">
        <v>2418</v>
      </c>
      <c r="AS28" s="13" t="s">
        <v>2419</v>
      </c>
      <c r="AT28" s="13" t="s">
        <v>2420</v>
      </c>
      <c r="AU28" s="13" t="s">
        <v>2421</v>
      </c>
      <c r="AV28" s="13" t="s">
        <v>2422</v>
      </c>
      <c r="AW28" s="13" t="s">
        <v>2416</v>
      </c>
      <c r="AX28" s="13" t="s">
        <v>2073</v>
      </c>
      <c r="AY28" s="13" t="s">
        <v>2073</v>
      </c>
      <c r="AZ28" s="13" t="s">
        <v>2073</v>
      </c>
      <c r="BA28" s="13" t="s">
        <v>2073</v>
      </c>
      <c r="BB28" s="13" t="s">
        <v>2073</v>
      </c>
      <c r="BC28" s="13" t="s">
        <v>2073</v>
      </c>
    </row>
    <row r="29" spans="1:55" ht="15.75" customHeight="1">
      <c r="A29" s="13">
        <v>1000</v>
      </c>
      <c r="B29" s="7" t="s">
        <v>133</v>
      </c>
      <c r="C29" s="211" t="s">
        <v>2412</v>
      </c>
      <c r="D29" s="13" t="s">
        <v>132</v>
      </c>
      <c r="E29" s="13" t="s">
        <v>113</v>
      </c>
      <c r="F29" s="211" t="s">
        <v>2413</v>
      </c>
      <c r="G29" s="13" t="s">
        <v>2414</v>
      </c>
      <c r="H29" s="13" t="s">
        <v>2077</v>
      </c>
      <c r="I29" s="13" t="s">
        <v>2077</v>
      </c>
      <c r="J29" s="13" t="s">
        <v>2077</v>
      </c>
      <c r="K29" s="13" t="s">
        <v>2077</v>
      </c>
      <c r="L29" s="13" t="s">
        <v>2077</v>
      </c>
      <c r="M29" s="13" t="s">
        <v>2077</v>
      </c>
      <c r="N29" s="211" t="s">
        <v>2415</v>
      </c>
      <c r="O29" s="13" t="s">
        <v>2416</v>
      </c>
      <c r="P29" s="69" t="str">
        <f t="shared" ref="P29:Q29" si="27">D29</f>
        <v>Laminatery 2 Rotary 8 wing KMI</v>
      </c>
      <c r="Q29" s="13" t="str">
        <f t="shared" si="27"/>
        <v>1WW</v>
      </c>
      <c r="R29" s="212" t="s">
        <v>23</v>
      </c>
      <c r="S29" s="212" t="s">
        <v>23</v>
      </c>
      <c r="T29" s="13">
        <v>85</v>
      </c>
      <c r="U29" s="211" t="s">
        <v>134</v>
      </c>
      <c r="V29" s="13">
        <v>1</v>
      </c>
      <c r="W29" s="13" t="s">
        <v>2417</v>
      </c>
      <c r="X29" s="13" t="s">
        <v>1924</v>
      </c>
      <c r="Y29" s="13" t="s">
        <v>2073</v>
      </c>
      <c r="Z29" s="13" t="s">
        <v>2073</v>
      </c>
      <c r="AA29" s="13" t="s">
        <v>2073</v>
      </c>
      <c r="AB29" s="13" t="s">
        <v>1924</v>
      </c>
      <c r="AC29" s="211" t="s">
        <v>2415</v>
      </c>
      <c r="AD29" s="13" t="s">
        <v>2416</v>
      </c>
      <c r="AE29" s="69" t="s">
        <v>130</v>
      </c>
      <c r="AF29" s="13" t="s">
        <v>2418</v>
      </c>
      <c r="AG29" s="13" t="s">
        <v>2419</v>
      </c>
      <c r="AH29" s="13" t="s">
        <v>2420</v>
      </c>
      <c r="AI29" s="13" t="s">
        <v>2421</v>
      </c>
      <c r="AJ29" s="13" t="s">
        <v>2422</v>
      </c>
      <c r="AK29" s="13" t="s">
        <v>2416</v>
      </c>
      <c r="AL29" s="13" t="s">
        <v>2077</v>
      </c>
      <c r="AM29" s="13" t="s">
        <v>2077</v>
      </c>
      <c r="AN29" s="13" t="s">
        <v>2077</v>
      </c>
      <c r="AO29" s="13" t="s">
        <v>2077</v>
      </c>
      <c r="AP29" s="13" t="s">
        <v>2077</v>
      </c>
      <c r="AQ29" s="13" t="s">
        <v>2077</v>
      </c>
      <c r="AR29" s="13" t="s">
        <v>2418</v>
      </c>
      <c r="AS29" s="13" t="s">
        <v>2419</v>
      </c>
      <c r="AT29" s="13" t="s">
        <v>2420</v>
      </c>
      <c r="AU29" s="13" t="s">
        <v>2421</v>
      </c>
      <c r="AV29" s="13" t="s">
        <v>2422</v>
      </c>
      <c r="AW29" s="13" t="s">
        <v>2416</v>
      </c>
      <c r="AX29" s="13" t="s">
        <v>2073</v>
      </c>
      <c r="AY29" s="13" t="s">
        <v>2073</v>
      </c>
      <c r="AZ29" s="13" t="s">
        <v>2073</v>
      </c>
      <c r="BA29" s="13" t="s">
        <v>2073</v>
      </c>
      <c r="BB29" s="13" t="s">
        <v>2073</v>
      </c>
      <c r="BC29" s="13" t="s">
        <v>2073</v>
      </c>
    </row>
    <row r="30" spans="1:55" ht="15.75" customHeight="1">
      <c r="A30" s="13">
        <v>1000</v>
      </c>
      <c r="B30" s="7" t="s">
        <v>137</v>
      </c>
      <c r="C30" s="211" t="s">
        <v>2412</v>
      </c>
      <c r="D30" s="13" t="s">
        <v>136</v>
      </c>
      <c r="E30" s="13" t="s">
        <v>113</v>
      </c>
      <c r="F30" s="211" t="s">
        <v>2413</v>
      </c>
      <c r="G30" s="13" t="s">
        <v>2414</v>
      </c>
      <c r="H30" s="13" t="s">
        <v>2077</v>
      </c>
      <c r="I30" s="13" t="s">
        <v>2077</v>
      </c>
      <c r="J30" s="13" t="s">
        <v>2077</v>
      </c>
      <c r="K30" s="13" t="s">
        <v>2077</v>
      </c>
      <c r="L30" s="13" t="s">
        <v>2077</v>
      </c>
      <c r="M30" s="13" t="s">
        <v>2077</v>
      </c>
      <c r="N30" s="211" t="s">
        <v>2415</v>
      </c>
      <c r="O30" s="13" t="s">
        <v>2416</v>
      </c>
      <c r="P30" s="69" t="str">
        <f t="shared" ref="P30:Q30" si="28">D30</f>
        <v>Laminatery 3 Vinita KMI</v>
      </c>
      <c r="Q30" s="13" t="str">
        <f t="shared" si="28"/>
        <v>1WW</v>
      </c>
      <c r="R30" s="212" t="s">
        <v>23</v>
      </c>
      <c r="S30" s="213">
        <v>0.97916666666666663</v>
      </c>
      <c r="T30" s="13">
        <v>85</v>
      </c>
      <c r="U30" s="211" t="s">
        <v>83</v>
      </c>
      <c r="V30" s="13">
        <v>1</v>
      </c>
      <c r="W30" s="13" t="s">
        <v>2417</v>
      </c>
      <c r="X30" s="13" t="s">
        <v>1924</v>
      </c>
      <c r="Y30" s="13" t="s">
        <v>2073</v>
      </c>
      <c r="Z30" s="13" t="s">
        <v>2073</v>
      </c>
      <c r="AA30" s="13" t="s">
        <v>2073</v>
      </c>
      <c r="AB30" s="13" t="s">
        <v>1924</v>
      </c>
      <c r="AC30" s="211" t="s">
        <v>2415</v>
      </c>
      <c r="AD30" s="13" t="s">
        <v>2416</v>
      </c>
      <c r="AE30" s="69" t="s">
        <v>130</v>
      </c>
      <c r="AF30" s="13" t="s">
        <v>2418</v>
      </c>
      <c r="AG30" s="13" t="s">
        <v>2419</v>
      </c>
      <c r="AH30" s="13" t="s">
        <v>2420</v>
      </c>
      <c r="AI30" s="13" t="s">
        <v>2421</v>
      </c>
      <c r="AJ30" s="13" t="s">
        <v>2422</v>
      </c>
      <c r="AK30" s="13" t="s">
        <v>2416</v>
      </c>
      <c r="AL30" s="13" t="s">
        <v>2077</v>
      </c>
      <c r="AM30" s="13" t="s">
        <v>2077</v>
      </c>
      <c r="AN30" s="13" t="s">
        <v>2077</v>
      </c>
      <c r="AO30" s="13" t="s">
        <v>2077</v>
      </c>
      <c r="AP30" s="13" t="s">
        <v>2077</v>
      </c>
      <c r="AQ30" s="13" t="s">
        <v>2077</v>
      </c>
      <c r="AR30" s="13" t="s">
        <v>2418</v>
      </c>
      <c r="AS30" s="13" t="s">
        <v>2419</v>
      </c>
      <c r="AT30" s="13" t="s">
        <v>2420</v>
      </c>
      <c r="AU30" s="13" t="s">
        <v>2421</v>
      </c>
      <c r="AV30" s="13" t="s">
        <v>2422</v>
      </c>
      <c r="AW30" s="13" t="s">
        <v>2416</v>
      </c>
      <c r="AX30" s="13" t="s">
        <v>2073</v>
      </c>
      <c r="AY30" s="13" t="s">
        <v>2073</v>
      </c>
      <c r="AZ30" s="13" t="s">
        <v>2073</v>
      </c>
      <c r="BA30" s="13" t="s">
        <v>2073</v>
      </c>
      <c r="BB30" s="13" t="s">
        <v>2073</v>
      </c>
      <c r="BC30" s="13" t="s">
        <v>2073</v>
      </c>
    </row>
    <row r="31" spans="1:55" ht="15.75" customHeight="1">
      <c r="A31" s="13">
        <v>1000</v>
      </c>
      <c r="B31" s="7" t="s">
        <v>140</v>
      </c>
      <c r="C31" s="211" t="s">
        <v>2412</v>
      </c>
      <c r="D31" s="13" t="s">
        <v>139</v>
      </c>
      <c r="E31" s="13" t="s">
        <v>113</v>
      </c>
      <c r="F31" s="211" t="s">
        <v>2413</v>
      </c>
      <c r="G31" s="13" t="s">
        <v>2414</v>
      </c>
      <c r="H31" s="13" t="s">
        <v>2077</v>
      </c>
      <c r="I31" s="13" t="s">
        <v>2077</v>
      </c>
      <c r="J31" s="13" t="s">
        <v>2077</v>
      </c>
      <c r="K31" s="13" t="s">
        <v>2077</v>
      </c>
      <c r="L31" s="13" t="s">
        <v>2077</v>
      </c>
      <c r="M31" s="13" t="s">
        <v>2077</v>
      </c>
      <c r="N31" s="211" t="s">
        <v>2415</v>
      </c>
      <c r="O31" s="13" t="s">
        <v>2416</v>
      </c>
      <c r="P31" s="69" t="str">
        <f t="shared" ref="P31:Q31" si="29">D31</f>
        <v>Laminatery 5 Rotary MK.0023 ( 4 Wing )</v>
      </c>
      <c r="Q31" s="13" t="str">
        <f t="shared" si="29"/>
        <v>1WW</v>
      </c>
      <c r="R31" s="212" t="s">
        <v>23</v>
      </c>
      <c r="S31" s="213">
        <v>0.97916666666666663</v>
      </c>
      <c r="T31" s="13">
        <v>85</v>
      </c>
      <c r="U31" s="211" t="s">
        <v>83</v>
      </c>
      <c r="V31" s="13">
        <v>1</v>
      </c>
      <c r="W31" s="13" t="s">
        <v>2417</v>
      </c>
      <c r="X31" s="13" t="s">
        <v>1924</v>
      </c>
      <c r="Y31" s="13" t="s">
        <v>2073</v>
      </c>
      <c r="Z31" s="13" t="s">
        <v>2073</v>
      </c>
      <c r="AA31" s="13" t="s">
        <v>2073</v>
      </c>
      <c r="AB31" s="13" t="s">
        <v>1924</v>
      </c>
      <c r="AC31" s="211" t="s">
        <v>2415</v>
      </c>
      <c r="AD31" s="13" t="s">
        <v>2416</v>
      </c>
      <c r="AE31" s="69" t="s">
        <v>130</v>
      </c>
      <c r="AF31" s="13" t="s">
        <v>2418</v>
      </c>
      <c r="AG31" s="13" t="s">
        <v>2419</v>
      </c>
      <c r="AH31" s="13" t="s">
        <v>2420</v>
      </c>
      <c r="AI31" s="13" t="s">
        <v>2421</v>
      </c>
      <c r="AJ31" s="13" t="s">
        <v>2422</v>
      </c>
      <c r="AK31" s="13" t="s">
        <v>2416</v>
      </c>
      <c r="AL31" s="13" t="s">
        <v>2077</v>
      </c>
      <c r="AM31" s="13" t="s">
        <v>2077</v>
      </c>
      <c r="AN31" s="13" t="s">
        <v>2077</v>
      </c>
      <c r="AO31" s="13" t="s">
        <v>2077</v>
      </c>
      <c r="AP31" s="13" t="s">
        <v>2077</v>
      </c>
      <c r="AQ31" s="13" t="s">
        <v>2077</v>
      </c>
      <c r="AR31" s="13" t="s">
        <v>2418</v>
      </c>
      <c r="AS31" s="13" t="s">
        <v>2419</v>
      </c>
      <c r="AT31" s="13" t="s">
        <v>2420</v>
      </c>
      <c r="AU31" s="13" t="s">
        <v>2421</v>
      </c>
      <c r="AV31" s="13" t="s">
        <v>2422</v>
      </c>
      <c r="AW31" s="13" t="s">
        <v>2416</v>
      </c>
      <c r="AX31" s="13" t="s">
        <v>2073</v>
      </c>
      <c r="AY31" s="13" t="s">
        <v>2073</v>
      </c>
      <c r="AZ31" s="13" t="s">
        <v>2073</v>
      </c>
      <c r="BA31" s="13" t="s">
        <v>2073</v>
      </c>
      <c r="BB31" s="13" t="s">
        <v>2073</v>
      </c>
      <c r="BC31" s="13" t="s">
        <v>2073</v>
      </c>
    </row>
    <row r="32" spans="1:55" ht="15.75" customHeight="1">
      <c r="A32" s="13">
        <v>1000</v>
      </c>
      <c r="B32" s="7" t="s">
        <v>143</v>
      </c>
      <c r="C32" s="211" t="s">
        <v>2412</v>
      </c>
      <c r="D32" s="13" t="s">
        <v>142</v>
      </c>
      <c r="E32" s="13" t="s">
        <v>113</v>
      </c>
      <c r="F32" s="211" t="s">
        <v>2413</v>
      </c>
      <c r="G32" s="13" t="s">
        <v>2414</v>
      </c>
      <c r="H32" s="13" t="s">
        <v>2077</v>
      </c>
      <c r="I32" s="13" t="s">
        <v>2077</v>
      </c>
      <c r="J32" s="13" t="s">
        <v>2077</v>
      </c>
      <c r="K32" s="13" t="s">
        <v>2077</v>
      </c>
      <c r="L32" s="13" t="s">
        <v>2077</v>
      </c>
      <c r="M32" s="13" t="s">
        <v>2077</v>
      </c>
      <c r="N32" s="211" t="s">
        <v>2415</v>
      </c>
      <c r="O32" s="13" t="s">
        <v>2416</v>
      </c>
      <c r="P32" s="69" t="str">
        <f t="shared" ref="P32:Q32" si="30">D32</f>
        <v>Sander  KMI</v>
      </c>
      <c r="Q32" s="13" t="str">
        <f t="shared" si="30"/>
        <v>1WW</v>
      </c>
      <c r="R32" s="212" t="s">
        <v>23</v>
      </c>
      <c r="S32" s="212" t="s">
        <v>23</v>
      </c>
      <c r="T32" s="13">
        <v>85</v>
      </c>
      <c r="U32" s="211" t="s">
        <v>83</v>
      </c>
      <c r="V32" s="13">
        <v>1</v>
      </c>
      <c r="W32" s="13" t="s">
        <v>2417</v>
      </c>
      <c r="X32" s="13" t="s">
        <v>1924</v>
      </c>
      <c r="Y32" s="13" t="s">
        <v>2073</v>
      </c>
      <c r="Z32" s="13" t="s">
        <v>2073</v>
      </c>
      <c r="AA32" s="13" t="s">
        <v>2073</v>
      </c>
      <c r="AB32" s="13" t="s">
        <v>1924</v>
      </c>
      <c r="AC32" s="211" t="s">
        <v>2415</v>
      </c>
      <c r="AD32" s="13" t="s">
        <v>2416</v>
      </c>
      <c r="AE32" s="69" t="s">
        <v>144</v>
      </c>
      <c r="AF32" s="13" t="s">
        <v>2418</v>
      </c>
      <c r="AG32" s="13" t="s">
        <v>2419</v>
      </c>
      <c r="AH32" s="13" t="s">
        <v>2420</v>
      </c>
      <c r="AI32" s="13" t="s">
        <v>2421</v>
      </c>
      <c r="AJ32" s="13" t="s">
        <v>2422</v>
      </c>
      <c r="AK32" s="13" t="s">
        <v>2416</v>
      </c>
      <c r="AL32" s="13" t="s">
        <v>2077</v>
      </c>
      <c r="AM32" s="13" t="s">
        <v>2077</v>
      </c>
      <c r="AN32" s="13" t="s">
        <v>2077</v>
      </c>
      <c r="AO32" s="13" t="s">
        <v>2077</v>
      </c>
      <c r="AP32" s="13" t="s">
        <v>2077</v>
      </c>
      <c r="AQ32" s="13" t="s">
        <v>2077</v>
      </c>
      <c r="AR32" s="13" t="s">
        <v>2418</v>
      </c>
      <c r="AS32" s="13" t="s">
        <v>2419</v>
      </c>
      <c r="AT32" s="13" t="s">
        <v>2420</v>
      </c>
      <c r="AU32" s="13" t="s">
        <v>2421</v>
      </c>
      <c r="AV32" s="13" t="s">
        <v>2422</v>
      </c>
      <c r="AW32" s="13" t="s">
        <v>2416</v>
      </c>
      <c r="AX32" s="13" t="s">
        <v>2073</v>
      </c>
      <c r="AY32" s="13" t="s">
        <v>2073</v>
      </c>
      <c r="AZ32" s="13" t="s">
        <v>2073</v>
      </c>
      <c r="BA32" s="13" t="s">
        <v>2073</v>
      </c>
      <c r="BB32" s="13" t="s">
        <v>2073</v>
      </c>
      <c r="BC32" s="13" t="s">
        <v>2073</v>
      </c>
    </row>
    <row r="33" spans="1:55" ht="15.75" customHeight="1">
      <c r="A33" s="13">
        <v>2000</v>
      </c>
      <c r="B33" s="183" t="s">
        <v>983</v>
      </c>
      <c r="C33" s="211" t="s">
        <v>2412</v>
      </c>
      <c r="D33" s="13" t="s">
        <v>2268</v>
      </c>
      <c r="E33" s="13" t="s">
        <v>216</v>
      </c>
      <c r="F33" s="211" t="s">
        <v>2413</v>
      </c>
      <c r="G33" s="13" t="s">
        <v>2414</v>
      </c>
      <c r="H33" s="13" t="s">
        <v>2077</v>
      </c>
      <c r="I33" s="13" t="s">
        <v>2077</v>
      </c>
      <c r="J33" s="13" t="s">
        <v>2077</v>
      </c>
      <c r="K33" s="13" t="s">
        <v>2077</v>
      </c>
      <c r="L33" s="13" t="s">
        <v>2077</v>
      </c>
      <c r="M33" s="13" t="s">
        <v>2077</v>
      </c>
      <c r="N33" s="211" t="s">
        <v>2415</v>
      </c>
      <c r="O33" s="13" t="s">
        <v>2416</v>
      </c>
      <c r="P33" s="69" t="str">
        <f t="shared" ref="P33:Q33" si="31">D33</f>
        <v>SD KMI1</v>
      </c>
      <c r="Q33" s="13" t="str">
        <f t="shared" si="31"/>
        <v>1PN</v>
      </c>
      <c r="R33" s="212" t="s">
        <v>23</v>
      </c>
      <c r="S33" s="213">
        <v>0.83333333333333337</v>
      </c>
      <c r="T33" s="13">
        <v>85</v>
      </c>
      <c r="U33" s="211" t="s">
        <v>83</v>
      </c>
      <c r="V33" s="13">
        <v>1</v>
      </c>
      <c r="W33" s="13" t="s">
        <v>2417</v>
      </c>
      <c r="X33" s="13" t="s">
        <v>1924</v>
      </c>
      <c r="Y33" s="13" t="s">
        <v>2073</v>
      </c>
      <c r="Z33" s="13" t="s">
        <v>2073</v>
      </c>
      <c r="AA33" s="13" t="s">
        <v>2073</v>
      </c>
      <c r="AB33" s="13" t="s">
        <v>1924</v>
      </c>
      <c r="AC33" s="211" t="s">
        <v>2415</v>
      </c>
      <c r="AD33" s="13" t="s">
        <v>2416</v>
      </c>
      <c r="AE33" s="69" t="s">
        <v>235</v>
      </c>
      <c r="AF33" s="13" t="s">
        <v>2418</v>
      </c>
      <c r="AG33" s="13" t="s">
        <v>2419</v>
      </c>
      <c r="AH33" s="13" t="s">
        <v>2420</v>
      </c>
      <c r="AI33" s="13" t="s">
        <v>2421</v>
      </c>
      <c r="AJ33" s="13" t="s">
        <v>2422</v>
      </c>
      <c r="AK33" s="13" t="s">
        <v>2416</v>
      </c>
      <c r="AL33" s="13" t="s">
        <v>2077</v>
      </c>
      <c r="AM33" s="13" t="s">
        <v>2077</v>
      </c>
      <c r="AN33" s="13" t="s">
        <v>2077</v>
      </c>
      <c r="AO33" s="13" t="s">
        <v>2077</v>
      </c>
      <c r="AP33" s="13" t="s">
        <v>2077</v>
      </c>
      <c r="AQ33" s="13" t="s">
        <v>2077</v>
      </c>
      <c r="AR33" s="13" t="s">
        <v>2418</v>
      </c>
      <c r="AS33" s="13" t="s">
        <v>2419</v>
      </c>
      <c r="AT33" s="13" t="s">
        <v>2420</v>
      </c>
      <c r="AU33" s="13" t="s">
        <v>2421</v>
      </c>
      <c r="AV33" s="13" t="s">
        <v>2422</v>
      </c>
      <c r="AW33" s="13" t="s">
        <v>2416</v>
      </c>
      <c r="AX33" s="13" t="s">
        <v>2073</v>
      </c>
      <c r="AY33" s="13" t="s">
        <v>2073</v>
      </c>
      <c r="AZ33" s="13" t="s">
        <v>2073</v>
      </c>
      <c r="BA33" s="13" t="s">
        <v>2073</v>
      </c>
      <c r="BB33" s="13" t="s">
        <v>2073</v>
      </c>
      <c r="BC33" s="13" t="s">
        <v>2073</v>
      </c>
    </row>
    <row r="34" spans="1:55" ht="15.75" customHeight="1">
      <c r="A34" s="69">
        <v>2000</v>
      </c>
      <c r="B34" s="7" t="s">
        <v>148</v>
      </c>
      <c r="C34" s="211" t="s">
        <v>2412</v>
      </c>
      <c r="D34" s="13" t="s">
        <v>147</v>
      </c>
      <c r="E34" s="13" t="s">
        <v>151</v>
      </c>
      <c r="F34" s="211" t="s">
        <v>2413</v>
      </c>
      <c r="G34" s="13" t="s">
        <v>2414</v>
      </c>
      <c r="H34" s="13" t="s">
        <v>2077</v>
      </c>
      <c r="I34" s="13" t="s">
        <v>2077</v>
      </c>
      <c r="J34" s="13" t="s">
        <v>2077</v>
      </c>
      <c r="K34" s="13" t="s">
        <v>2077</v>
      </c>
      <c r="L34" s="13" t="s">
        <v>2077</v>
      </c>
      <c r="M34" s="13" t="s">
        <v>2077</v>
      </c>
      <c r="N34" s="211" t="s">
        <v>2415</v>
      </c>
      <c r="O34" s="13" t="s">
        <v>2416</v>
      </c>
      <c r="P34" s="69" t="str">
        <f t="shared" ref="P34:Q34" si="32">D34</f>
        <v>Single Rip 1  KMI</v>
      </c>
      <c r="Q34" s="13" t="str">
        <f t="shared" si="32"/>
        <v>1WE</v>
      </c>
      <c r="R34" s="212" t="s">
        <v>23</v>
      </c>
      <c r="S34" s="213">
        <v>0.97916666666666663</v>
      </c>
      <c r="T34" s="13">
        <v>85</v>
      </c>
      <c r="U34" s="211" t="s">
        <v>83</v>
      </c>
      <c r="V34" s="13">
        <v>1</v>
      </c>
      <c r="W34" s="13" t="s">
        <v>2417</v>
      </c>
      <c r="X34" s="13" t="s">
        <v>1924</v>
      </c>
      <c r="Y34" s="13" t="s">
        <v>2073</v>
      </c>
      <c r="Z34" s="13" t="s">
        <v>2073</v>
      </c>
      <c r="AA34" s="13" t="s">
        <v>2073</v>
      </c>
      <c r="AB34" s="13" t="s">
        <v>1924</v>
      </c>
      <c r="AC34" s="211" t="s">
        <v>2415</v>
      </c>
      <c r="AD34" s="13" t="s">
        <v>2416</v>
      </c>
      <c r="AE34" s="69" t="s">
        <v>149</v>
      </c>
      <c r="AF34" s="13" t="s">
        <v>2418</v>
      </c>
      <c r="AG34" s="13" t="s">
        <v>2419</v>
      </c>
      <c r="AH34" s="13" t="s">
        <v>2420</v>
      </c>
      <c r="AI34" s="13" t="s">
        <v>2421</v>
      </c>
      <c r="AJ34" s="13" t="s">
        <v>2422</v>
      </c>
      <c r="AK34" s="13" t="s">
        <v>2416</v>
      </c>
      <c r="AL34" s="13" t="s">
        <v>2077</v>
      </c>
      <c r="AM34" s="13" t="s">
        <v>2077</v>
      </c>
      <c r="AN34" s="13" t="s">
        <v>2077</v>
      </c>
      <c r="AO34" s="13" t="s">
        <v>2077</v>
      </c>
      <c r="AP34" s="13" t="s">
        <v>2077</v>
      </c>
      <c r="AQ34" s="13" t="s">
        <v>2077</v>
      </c>
      <c r="AR34" s="13" t="s">
        <v>2418</v>
      </c>
      <c r="AS34" s="13" t="s">
        <v>2419</v>
      </c>
      <c r="AT34" s="13" t="s">
        <v>2420</v>
      </c>
      <c r="AU34" s="13" t="s">
        <v>2421</v>
      </c>
      <c r="AV34" s="13" t="s">
        <v>2422</v>
      </c>
      <c r="AW34" s="13" t="s">
        <v>2416</v>
      </c>
      <c r="AX34" s="13" t="s">
        <v>2073</v>
      </c>
      <c r="AY34" s="13" t="s">
        <v>2073</v>
      </c>
      <c r="AZ34" s="13" t="s">
        <v>2073</v>
      </c>
      <c r="BA34" s="13" t="s">
        <v>2073</v>
      </c>
      <c r="BB34" s="13" t="s">
        <v>2073</v>
      </c>
      <c r="BC34" s="13" t="s">
        <v>2073</v>
      </c>
    </row>
    <row r="35" spans="1:55" ht="15.75" customHeight="1">
      <c r="A35" s="13">
        <v>2000</v>
      </c>
      <c r="B35" s="7" t="s">
        <v>154</v>
      </c>
      <c r="C35" s="211" t="s">
        <v>2412</v>
      </c>
      <c r="D35" s="13" t="s">
        <v>153</v>
      </c>
      <c r="E35" s="13" t="s">
        <v>151</v>
      </c>
      <c r="F35" s="211" t="s">
        <v>2413</v>
      </c>
      <c r="G35" s="13" t="s">
        <v>2414</v>
      </c>
      <c r="H35" s="13" t="s">
        <v>2077</v>
      </c>
      <c r="I35" s="13" t="s">
        <v>2077</v>
      </c>
      <c r="J35" s="13" t="s">
        <v>2077</v>
      </c>
      <c r="K35" s="13" t="s">
        <v>2077</v>
      </c>
      <c r="L35" s="13" t="s">
        <v>2077</v>
      </c>
      <c r="M35" s="13" t="s">
        <v>2077</v>
      </c>
      <c r="N35" s="211" t="s">
        <v>2415</v>
      </c>
      <c r="O35" s="13" t="s">
        <v>2416</v>
      </c>
      <c r="P35" s="69" t="str">
        <f t="shared" ref="P35:Q35" si="33">D35</f>
        <v>Single Rip 2  KMI</v>
      </c>
      <c r="Q35" s="13" t="str">
        <f t="shared" si="33"/>
        <v>1WE</v>
      </c>
      <c r="R35" s="212" t="s">
        <v>23</v>
      </c>
      <c r="S35" s="213">
        <v>0.97916666666666663</v>
      </c>
      <c r="T35" s="13">
        <v>85</v>
      </c>
      <c r="U35" s="211" t="s">
        <v>83</v>
      </c>
      <c r="V35" s="13">
        <v>1</v>
      </c>
      <c r="W35" s="13" t="s">
        <v>2417</v>
      </c>
      <c r="X35" s="13" t="s">
        <v>1924</v>
      </c>
      <c r="Y35" s="13" t="s">
        <v>2073</v>
      </c>
      <c r="Z35" s="13" t="s">
        <v>2073</v>
      </c>
      <c r="AA35" s="13" t="s">
        <v>2073</v>
      </c>
      <c r="AB35" s="13" t="s">
        <v>1924</v>
      </c>
      <c r="AC35" s="211" t="s">
        <v>2415</v>
      </c>
      <c r="AD35" s="13" t="s">
        <v>2416</v>
      </c>
      <c r="AE35" s="69" t="s">
        <v>149</v>
      </c>
      <c r="AF35" s="13" t="s">
        <v>2418</v>
      </c>
      <c r="AG35" s="13" t="s">
        <v>2419</v>
      </c>
      <c r="AH35" s="13" t="s">
        <v>2420</v>
      </c>
      <c r="AI35" s="13" t="s">
        <v>2421</v>
      </c>
      <c r="AJ35" s="13" t="s">
        <v>2422</v>
      </c>
      <c r="AK35" s="13" t="s">
        <v>2416</v>
      </c>
      <c r="AL35" s="13" t="s">
        <v>2077</v>
      </c>
      <c r="AM35" s="13" t="s">
        <v>2077</v>
      </c>
      <c r="AN35" s="13" t="s">
        <v>2077</v>
      </c>
      <c r="AO35" s="13" t="s">
        <v>2077</v>
      </c>
      <c r="AP35" s="13" t="s">
        <v>2077</v>
      </c>
      <c r="AQ35" s="13" t="s">
        <v>2077</v>
      </c>
      <c r="AR35" s="13" t="s">
        <v>2418</v>
      </c>
      <c r="AS35" s="13" t="s">
        <v>2419</v>
      </c>
      <c r="AT35" s="13" t="s">
        <v>2420</v>
      </c>
      <c r="AU35" s="13" t="s">
        <v>2421</v>
      </c>
      <c r="AV35" s="13" t="s">
        <v>2422</v>
      </c>
      <c r="AW35" s="13" t="s">
        <v>2416</v>
      </c>
      <c r="AX35" s="13" t="s">
        <v>2073</v>
      </c>
      <c r="AY35" s="13" t="s">
        <v>2073</v>
      </c>
      <c r="AZ35" s="13" t="s">
        <v>2073</v>
      </c>
      <c r="BA35" s="13" t="s">
        <v>2073</v>
      </c>
      <c r="BB35" s="13" t="s">
        <v>2073</v>
      </c>
      <c r="BC35" s="13" t="s">
        <v>2073</v>
      </c>
    </row>
    <row r="36" spans="1:55" ht="15.75" customHeight="1">
      <c r="A36" s="13">
        <v>2000</v>
      </c>
      <c r="B36" s="7" t="s">
        <v>157</v>
      </c>
      <c r="C36" s="211" t="s">
        <v>2412</v>
      </c>
      <c r="D36" s="13" t="s">
        <v>156</v>
      </c>
      <c r="E36" s="13" t="s">
        <v>151</v>
      </c>
      <c r="F36" s="211" t="s">
        <v>2413</v>
      </c>
      <c r="G36" s="13" t="s">
        <v>2414</v>
      </c>
      <c r="H36" s="13" t="s">
        <v>2077</v>
      </c>
      <c r="I36" s="13" t="s">
        <v>2077</v>
      </c>
      <c r="J36" s="13" t="s">
        <v>2077</v>
      </c>
      <c r="K36" s="13" t="s">
        <v>2077</v>
      </c>
      <c r="L36" s="13" t="s">
        <v>2077</v>
      </c>
      <c r="M36" s="13" t="s">
        <v>2077</v>
      </c>
      <c r="N36" s="211" t="s">
        <v>2415</v>
      </c>
      <c r="O36" s="13" t="s">
        <v>2416</v>
      </c>
      <c r="P36" s="69" t="str">
        <f t="shared" ref="P36:Q36" si="34">D36</f>
        <v>Single Rip4  KMI</v>
      </c>
      <c r="Q36" s="13" t="str">
        <f t="shared" si="34"/>
        <v>1WE</v>
      </c>
      <c r="R36" s="212" t="s">
        <v>23</v>
      </c>
      <c r="S36" s="213">
        <v>0.64583333333333337</v>
      </c>
      <c r="T36" s="13">
        <v>85</v>
      </c>
      <c r="U36" s="211" t="s">
        <v>24</v>
      </c>
      <c r="V36" s="13">
        <v>1</v>
      </c>
      <c r="W36" s="13" t="s">
        <v>2417</v>
      </c>
      <c r="X36" s="13" t="s">
        <v>1924</v>
      </c>
      <c r="Y36" s="13" t="s">
        <v>2073</v>
      </c>
      <c r="Z36" s="13" t="s">
        <v>2073</v>
      </c>
      <c r="AA36" s="13" t="s">
        <v>2073</v>
      </c>
      <c r="AB36" s="13" t="s">
        <v>1924</v>
      </c>
      <c r="AC36" s="211" t="s">
        <v>2415</v>
      </c>
      <c r="AD36" s="13" t="s">
        <v>2416</v>
      </c>
      <c r="AE36" s="69" t="s">
        <v>149</v>
      </c>
      <c r="AF36" s="13" t="s">
        <v>2418</v>
      </c>
      <c r="AG36" s="13" t="s">
        <v>2419</v>
      </c>
      <c r="AH36" s="13" t="s">
        <v>2420</v>
      </c>
      <c r="AI36" s="13" t="s">
        <v>2421</v>
      </c>
      <c r="AJ36" s="13" t="s">
        <v>2422</v>
      </c>
      <c r="AK36" s="13" t="s">
        <v>2416</v>
      </c>
      <c r="AL36" s="13" t="s">
        <v>2077</v>
      </c>
      <c r="AM36" s="13" t="s">
        <v>2077</v>
      </c>
      <c r="AN36" s="13" t="s">
        <v>2077</v>
      </c>
      <c r="AO36" s="13" t="s">
        <v>2077</v>
      </c>
      <c r="AP36" s="13" t="s">
        <v>2077</v>
      </c>
      <c r="AQ36" s="13" t="s">
        <v>2077</v>
      </c>
      <c r="AR36" s="13" t="s">
        <v>2418</v>
      </c>
      <c r="AS36" s="13" t="s">
        <v>2419</v>
      </c>
      <c r="AT36" s="13" t="s">
        <v>2420</v>
      </c>
      <c r="AU36" s="13" t="s">
        <v>2421</v>
      </c>
      <c r="AV36" s="13" t="s">
        <v>2422</v>
      </c>
      <c r="AW36" s="13" t="s">
        <v>2416</v>
      </c>
      <c r="AX36" s="13" t="s">
        <v>2073</v>
      </c>
      <c r="AY36" s="13" t="s">
        <v>2073</v>
      </c>
      <c r="AZ36" s="13" t="s">
        <v>2073</v>
      </c>
      <c r="BA36" s="13" t="s">
        <v>2073</v>
      </c>
      <c r="BB36" s="13" t="s">
        <v>2073</v>
      </c>
      <c r="BC36" s="13" t="s">
        <v>2073</v>
      </c>
    </row>
    <row r="37" spans="1:55" ht="15.75" customHeight="1">
      <c r="A37" s="13">
        <v>2000</v>
      </c>
      <c r="B37" s="7" t="s">
        <v>161</v>
      </c>
      <c r="C37" s="211" t="s">
        <v>2412</v>
      </c>
      <c r="D37" s="13" t="s">
        <v>160</v>
      </c>
      <c r="E37" s="13" t="s">
        <v>151</v>
      </c>
      <c r="F37" s="211" t="s">
        <v>2413</v>
      </c>
      <c r="G37" s="13" t="s">
        <v>2414</v>
      </c>
      <c r="H37" s="13" t="s">
        <v>2077</v>
      </c>
      <c r="I37" s="13" t="s">
        <v>2077</v>
      </c>
      <c r="J37" s="13" t="s">
        <v>2077</v>
      </c>
      <c r="K37" s="13" t="s">
        <v>2077</v>
      </c>
      <c r="L37" s="13" t="s">
        <v>2077</v>
      </c>
      <c r="M37" s="13" t="s">
        <v>2077</v>
      </c>
      <c r="N37" s="211" t="s">
        <v>2415</v>
      </c>
      <c r="O37" s="13" t="s">
        <v>2416</v>
      </c>
      <c r="P37" s="69" t="str">
        <f t="shared" ref="P37:Q37" si="35">D37</f>
        <v>Rotary  KMI</v>
      </c>
      <c r="Q37" s="13" t="str">
        <f t="shared" si="35"/>
        <v>1WE</v>
      </c>
      <c r="R37" s="212" t="s">
        <v>23</v>
      </c>
      <c r="S37" s="212" t="s">
        <v>23</v>
      </c>
      <c r="T37" s="13">
        <v>85</v>
      </c>
      <c r="U37" s="211" t="s">
        <v>134</v>
      </c>
      <c r="V37" s="13">
        <v>1</v>
      </c>
      <c r="W37" s="13" t="s">
        <v>2417</v>
      </c>
      <c r="X37" s="13" t="s">
        <v>1924</v>
      </c>
      <c r="Y37" s="13" t="s">
        <v>2073</v>
      </c>
      <c r="Z37" s="13" t="s">
        <v>2073</v>
      </c>
      <c r="AA37" s="13" t="s">
        <v>2073</v>
      </c>
      <c r="AB37" s="13" t="s">
        <v>1924</v>
      </c>
      <c r="AC37" s="211" t="s">
        <v>2415</v>
      </c>
      <c r="AD37" s="13" t="s">
        <v>2416</v>
      </c>
      <c r="AE37" s="69" t="s">
        <v>2247</v>
      </c>
      <c r="AF37" s="13" t="s">
        <v>2418</v>
      </c>
      <c r="AG37" s="13" t="s">
        <v>2419</v>
      </c>
      <c r="AH37" s="13" t="s">
        <v>2420</v>
      </c>
      <c r="AI37" s="13" t="s">
        <v>2421</v>
      </c>
      <c r="AJ37" s="13" t="s">
        <v>2422</v>
      </c>
      <c r="AK37" s="13" t="s">
        <v>2416</v>
      </c>
      <c r="AL37" s="13" t="s">
        <v>2077</v>
      </c>
      <c r="AM37" s="13" t="s">
        <v>2077</v>
      </c>
      <c r="AN37" s="13" t="s">
        <v>2077</v>
      </c>
      <c r="AO37" s="13" t="s">
        <v>2077</v>
      </c>
      <c r="AP37" s="13" t="s">
        <v>2077</v>
      </c>
      <c r="AQ37" s="13" t="s">
        <v>2077</v>
      </c>
      <c r="AR37" s="13" t="s">
        <v>2418</v>
      </c>
      <c r="AS37" s="13" t="s">
        <v>2419</v>
      </c>
      <c r="AT37" s="13" t="s">
        <v>2420</v>
      </c>
      <c r="AU37" s="13" t="s">
        <v>2421</v>
      </c>
      <c r="AV37" s="13" t="s">
        <v>2422</v>
      </c>
      <c r="AW37" s="13" t="s">
        <v>2416</v>
      </c>
      <c r="AX37" s="13" t="s">
        <v>2073</v>
      </c>
      <c r="AY37" s="13" t="s">
        <v>2073</v>
      </c>
      <c r="AZ37" s="13" t="s">
        <v>2073</v>
      </c>
      <c r="BA37" s="13" t="s">
        <v>2073</v>
      </c>
      <c r="BB37" s="13" t="s">
        <v>2073</v>
      </c>
      <c r="BC37" s="13" t="s">
        <v>2073</v>
      </c>
    </row>
    <row r="38" spans="1:55" ht="15.75" customHeight="1">
      <c r="A38" s="13">
        <v>2000</v>
      </c>
      <c r="B38" s="7" t="s">
        <v>164</v>
      </c>
      <c r="C38" s="211" t="s">
        <v>2412</v>
      </c>
      <c r="D38" s="13" t="s">
        <v>163</v>
      </c>
      <c r="E38" s="13" t="s">
        <v>151</v>
      </c>
      <c r="F38" s="211" t="s">
        <v>2413</v>
      </c>
      <c r="G38" s="13" t="s">
        <v>2414</v>
      </c>
      <c r="H38" s="13" t="s">
        <v>2077</v>
      </c>
      <c r="I38" s="13" t="s">
        <v>2077</v>
      </c>
      <c r="J38" s="13" t="s">
        <v>2077</v>
      </c>
      <c r="K38" s="13" t="s">
        <v>2077</v>
      </c>
      <c r="L38" s="13" t="s">
        <v>2077</v>
      </c>
      <c r="M38" s="13" t="s">
        <v>2077</v>
      </c>
      <c r="N38" s="211" t="s">
        <v>2415</v>
      </c>
      <c r="O38" s="13" t="s">
        <v>2416</v>
      </c>
      <c r="P38" s="69" t="str">
        <f t="shared" ref="P38:Q38" si="36">D38</f>
        <v>Vinita  KMI</v>
      </c>
      <c r="Q38" s="13" t="str">
        <f t="shared" si="36"/>
        <v>1WE</v>
      </c>
      <c r="R38" s="212" t="s">
        <v>23</v>
      </c>
      <c r="S38" s="213">
        <v>0.97916666666666663</v>
      </c>
      <c r="T38" s="13">
        <v>85</v>
      </c>
      <c r="U38" s="211" t="s">
        <v>83</v>
      </c>
      <c r="V38" s="13">
        <v>1</v>
      </c>
      <c r="W38" s="13" t="s">
        <v>2417</v>
      </c>
      <c r="X38" s="13" t="s">
        <v>1924</v>
      </c>
      <c r="Y38" s="13" t="s">
        <v>2073</v>
      </c>
      <c r="Z38" s="13" t="s">
        <v>2073</v>
      </c>
      <c r="AA38" s="13" t="s">
        <v>2073</v>
      </c>
      <c r="AB38" s="13" t="s">
        <v>1924</v>
      </c>
      <c r="AC38" s="211" t="s">
        <v>2415</v>
      </c>
      <c r="AD38" s="13" t="s">
        <v>2416</v>
      </c>
      <c r="AE38" s="69" t="s">
        <v>2248</v>
      </c>
      <c r="AF38" s="13" t="s">
        <v>2418</v>
      </c>
      <c r="AG38" s="13" t="s">
        <v>2419</v>
      </c>
      <c r="AH38" s="13" t="s">
        <v>2420</v>
      </c>
      <c r="AI38" s="13" t="s">
        <v>2421</v>
      </c>
      <c r="AJ38" s="13" t="s">
        <v>2422</v>
      </c>
      <c r="AK38" s="13" t="s">
        <v>2416</v>
      </c>
      <c r="AL38" s="13" t="s">
        <v>2077</v>
      </c>
      <c r="AM38" s="13" t="s">
        <v>2077</v>
      </c>
      <c r="AN38" s="13" t="s">
        <v>2077</v>
      </c>
      <c r="AO38" s="13" t="s">
        <v>2077</v>
      </c>
      <c r="AP38" s="13" t="s">
        <v>2077</v>
      </c>
      <c r="AQ38" s="13" t="s">
        <v>2077</v>
      </c>
      <c r="AR38" s="13" t="s">
        <v>2418</v>
      </c>
      <c r="AS38" s="13" t="s">
        <v>2419</v>
      </c>
      <c r="AT38" s="13" t="s">
        <v>2420</v>
      </c>
      <c r="AU38" s="13" t="s">
        <v>2421</v>
      </c>
      <c r="AV38" s="13" t="s">
        <v>2422</v>
      </c>
      <c r="AW38" s="13" t="s">
        <v>2416</v>
      </c>
      <c r="AX38" s="13" t="s">
        <v>2073</v>
      </c>
      <c r="AY38" s="13" t="s">
        <v>2073</v>
      </c>
      <c r="AZ38" s="13" t="s">
        <v>2073</v>
      </c>
      <c r="BA38" s="13" t="s">
        <v>2073</v>
      </c>
      <c r="BB38" s="13" t="s">
        <v>2073</v>
      </c>
      <c r="BC38" s="13" t="s">
        <v>2073</v>
      </c>
    </row>
    <row r="39" spans="1:55" ht="15.75" customHeight="1">
      <c r="A39" s="13">
        <v>2000</v>
      </c>
      <c r="B39" s="7" t="s">
        <v>167</v>
      </c>
      <c r="C39" s="211" t="s">
        <v>2412</v>
      </c>
      <c r="D39" s="13" t="s">
        <v>166</v>
      </c>
      <c r="E39" s="13" t="s">
        <v>151</v>
      </c>
      <c r="F39" s="211" t="s">
        <v>2413</v>
      </c>
      <c r="G39" s="13" t="s">
        <v>2414</v>
      </c>
      <c r="H39" s="13" t="s">
        <v>2077</v>
      </c>
      <c r="I39" s="13" t="s">
        <v>2077</v>
      </c>
      <c r="J39" s="13" t="s">
        <v>2077</v>
      </c>
      <c r="K39" s="13" t="s">
        <v>2077</v>
      </c>
      <c r="L39" s="13" t="s">
        <v>2077</v>
      </c>
      <c r="M39" s="13" t="s">
        <v>2077</v>
      </c>
      <c r="N39" s="211" t="s">
        <v>2415</v>
      </c>
      <c r="O39" s="13" t="s">
        <v>2416</v>
      </c>
      <c r="P39" s="69" t="str">
        <f t="shared" ref="P39:Q39" si="37">D39</f>
        <v>Newman  KMI</v>
      </c>
      <c r="Q39" s="13" t="str">
        <f t="shared" si="37"/>
        <v>1WE</v>
      </c>
      <c r="R39" s="212" t="s">
        <v>23</v>
      </c>
      <c r="S39" s="213">
        <v>0.97916666666666663</v>
      </c>
      <c r="T39" s="13">
        <v>85</v>
      </c>
      <c r="U39" s="211" t="s">
        <v>83</v>
      </c>
      <c r="V39" s="13">
        <v>1</v>
      </c>
      <c r="W39" s="13" t="s">
        <v>2417</v>
      </c>
      <c r="X39" s="13" t="s">
        <v>1924</v>
      </c>
      <c r="Y39" s="13" t="s">
        <v>2073</v>
      </c>
      <c r="Z39" s="13" t="s">
        <v>2073</v>
      </c>
      <c r="AA39" s="13" t="s">
        <v>2073</v>
      </c>
      <c r="AB39" s="13" t="s">
        <v>1924</v>
      </c>
      <c r="AC39" s="211" t="s">
        <v>2415</v>
      </c>
      <c r="AD39" s="13" t="s">
        <v>2416</v>
      </c>
      <c r="AE39" s="69" t="s">
        <v>2249</v>
      </c>
      <c r="AF39" s="13" t="s">
        <v>2418</v>
      </c>
      <c r="AG39" s="13" t="s">
        <v>2419</v>
      </c>
      <c r="AH39" s="13" t="s">
        <v>2420</v>
      </c>
      <c r="AI39" s="13" t="s">
        <v>2421</v>
      </c>
      <c r="AJ39" s="13" t="s">
        <v>2422</v>
      </c>
      <c r="AK39" s="13" t="s">
        <v>2416</v>
      </c>
      <c r="AL39" s="13" t="s">
        <v>2077</v>
      </c>
      <c r="AM39" s="13" t="s">
        <v>2077</v>
      </c>
      <c r="AN39" s="13" t="s">
        <v>2077</v>
      </c>
      <c r="AO39" s="13" t="s">
        <v>2077</v>
      </c>
      <c r="AP39" s="13" t="s">
        <v>2077</v>
      </c>
      <c r="AQ39" s="13" t="s">
        <v>2077</v>
      </c>
      <c r="AR39" s="13" t="s">
        <v>2418</v>
      </c>
      <c r="AS39" s="13" t="s">
        <v>2419</v>
      </c>
      <c r="AT39" s="13" t="s">
        <v>2420</v>
      </c>
      <c r="AU39" s="13" t="s">
        <v>2421</v>
      </c>
      <c r="AV39" s="13" t="s">
        <v>2422</v>
      </c>
      <c r="AW39" s="13" t="s">
        <v>2416</v>
      </c>
      <c r="AX39" s="13" t="s">
        <v>2073</v>
      </c>
      <c r="AY39" s="13" t="s">
        <v>2073</v>
      </c>
      <c r="AZ39" s="13" t="s">
        <v>2073</v>
      </c>
      <c r="BA39" s="13" t="s">
        <v>2073</v>
      </c>
      <c r="BB39" s="13" t="s">
        <v>2073</v>
      </c>
      <c r="BC39" s="13" t="s">
        <v>2073</v>
      </c>
    </row>
    <row r="40" spans="1:55" ht="15.75" customHeight="1">
      <c r="A40" s="13">
        <v>2000</v>
      </c>
      <c r="B40" s="7" t="s">
        <v>171</v>
      </c>
      <c r="C40" s="211" t="s">
        <v>2412</v>
      </c>
      <c r="D40" s="13" t="s">
        <v>170</v>
      </c>
      <c r="E40" s="13" t="s">
        <v>151</v>
      </c>
      <c r="F40" s="211" t="s">
        <v>2413</v>
      </c>
      <c r="G40" s="13" t="s">
        <v>2414</v>
      </c>
      <c r="H40" s="13" t="s">
        <v>2077</v>
      </c>
      <c r="I40" s="13" t="s">
        <v>2077</v>
      </c>
      <c r="J40" s="13" t="s">
        <v>2077</v>
      </c>
      <c r="K40" s="13" t="s">
        <v>2077</v>
      </c>
      <c r="L40" s="13" t="s">
        <v>2077</v>
      </c>
      <c r="M40" s="13" t="s">
        <v>2077</v>
      </c>
      <c r="N40" s="211" t="s">
        <v>2415</v>
      </c>
      <c r="O40" s="13" t="s">
        <v>2416</v>
      </c>
      <c r="P40" s="69" t="str">
        <f t="shared" ref="P40:Q40" si="38">D40</f>
        <v>CNC Band Saw  KMI</v>
      </c>
      <c r="Q40" s="13" t="str">
        <f t="shared" si="38"/>
        <v>1WE</v>
      </c>
      <c r="R40" s="212" t="s">
        <v>23</v>
      </c>
      <c r="S40" s="213">
        <v>0.64583333333333337</v>
      </c>
      <c r="T40" s="13">
        <v>85</v>
      </c>
      <c r="U40" s="211" t="s">
        <v>24</v>
      </c>
      <c r="V40" s="13">
        <v>1</v>
      </c>
      <c r="W40" s="13" t="s">
        <v>2417</v>
      </c>
      <c r="X40" s="13" t="s">
        <v>1924</v>
      </c>
      <c r="Y40" s="13" t="s">
        <v>2073</v>
      </c>
      <c r="Z40" s="13" t="s">
        <v>2073</v>
      </c>
      <c r="AA40" s="13" t="s">
        <v>2073</v>
      </c>
      <c r="AB40" s="13" t="s">
        <v>1924</v>
      </c>
      <c r="AC40" s="211" t="s">
        <v>2415</v>
      </c>
      <c r="AD40" s="13" t="s">
        <v>2416</v>
      </c>
      <c r="AE40" s="69" t="s">
        <v>172</v>
      </c>
      <c r="AF40" s="13" t="s">
        <v>2418</v>
      </c>
      <c r="AG40" s="13" t="s">
        <v>2419</v>
      </c>
      <c r="AH40" s="13" t="s">
        <v>2420</v>
      </c>
      <c r="AI40" s="13" t="s">
        <v>2421</v>
      </c>
      <c r="AJ40" s="13" t="s">
        <v>2422</v>
      </c>
      <c r="AK40" s="13" t="s">
        <v>2416</v>
      </c>
      <c r="AL40" s="13" t="s">
        <v>2077</v>
      </c>
      <c r="AM40" s="13" t="s">
        <v>2077</v>
      </c>
      <c r="AN40" s="13" t="s">
        <v>2077</v>
      </c>
      <c r="AO40" s="13" t="s">
        <v>2077</v>
      </c>
      <c r="AP40" s="13" t="s">
        <v>2077</v>
      </c>
      <c r="AQ40" s="13" t="s">
        <v>2077</v>
      </c>
      <c r="AR40" s="13" t="s">
        <v>2418</v>
      </c>
      <c r="AS40" s="13" t="s">
        <v>2419</v>
      </c>
      <c r="AT40" s="13" t="s">
        <v>2420</v>
      </c>
      <c r="AU40" s="13" t="s">
        <v>2421</v>
      </c>
      <c r="AV40" s="13" t="s">
        <v>2422</v>
      </c>
      <c r="AW40" s="13" t="s">
        <v>2416</v>
      </c>
      <c r="AX40" s="13" t="s">
        <v>2073</v>
      </c>
      <c r="AY40" s="13" t="s">
        <v>2073</v>
      </c>
      <c r="AZ40" s="13" t="s">
        <v>2073</v>
      </c>
      <c r="BA40" s="13" t="s">
        <v>2073</v>
      </c>
      <c r="BB40" s="13" t="s">
        <v>2073</v>
      </c>
      <c r="BC40" s="13" t="s">
        <v>2073</v>
      </c>
    </row>
    <row r="41" spans="1:55" ht="15.75" customHeight="1">
      <c r="A41" s="13">
        <v>2000</v>
      </c>
      <c r="B41" s="7" t="s">
        <v>176</v>
      </c>
      <c r="C41" s="211" t="s">
        <v>2412</v>
      </c>
      <c r="D41" s="13" t="s">
        <v>175</v>
      </c>
      <c r="E41" s="13" t="s">
        <v>151</v>
      </c>
      <c r="F41" s="211" t="s">
        <v>2413</v>
      </c>
      <c r="G41" s="13" t="s">
        <v>2414</v>
      </c>
      <c r="H41" s="13" t="s">
        <v>2077</v>
      </c>
      <c r="I41" s="13" t="s">
        <v>2077</v>
      </c>
      <c r="J41" s="13" t="s">
        <v>2077</v>
      </c>
      <c r="K41" s="13" t="s">
        <v>2077</v>
      </c>
      <c r="L41" s="13" t="s">
        <v>2077</v>
      </c>
      <c r="M41" s="13" t="s">
        <v>2077</v>
      </c>
      <c r="N41" s="211" t="s">
        <v>2415</v>
      </c>
      <c r="O41" s="13" t="s">
        <v>2416</v>
      </c>
      <c r="P41" s="69" t="str">
        <f t="shared" ref="P41:Q41" si="39">D41</f>
        <v>MOULDER WEINIG POWERMAT 1000/012 - 7 SPINDLES   MP.0628</v>
      </c>
      <c r="Q41" s="13" t="str">
        <f t="shared" si="39"/>
        <v>1WE</v>
      </c>
      <c r="R41" s="212" t="s">
        <v>23</v>
      </c>
      <c r="S41" s="213">
        <v>0.97916666666666663</v>
      </c>
      <c r="T41" s="13">
        <v>85</v>
      </c>
      <c r="U41" s="211" t="s">
        <v>83</v>
      </c>
      <c r="V41" s="13">
        <v>1</v>
      </c>
      <c r="W41" s="13" t="s">
        <v>2417</v>
      </c>
      <c r="X41" s="13" t="s">
        <v>1924</v>
      </c>
      <c r="Y41" s="13" t="s">
        <v>2073</v>
      </c>
      <c r="Z41" s="13" t="s">
        <v>2073</v>
      </c>
      <c r="AA41" s="13" t="s">
        <v>2073</v>
      </c>
      <c r="AB41" s="13" t="s">
        <v>1924</v>
      </c>
      <c r="AC41" s="211" t="s">
        <v>2415</v>
      </c>
      <c r="AD41" s="13" t="s">
        <v>2416</v>
      </c>
      <c r="AE41" s="69" t="s">
        <v>177</v>
      </c>
      <c r="AF41" s="13" t="s">
        <v>2418</v>
      </c>
      <c r="AG41" s="13" t="s">
        <v>2419</v>
      </c>
      <c r="AH41" s="13" t="s">
        <v>2420</v>
      </c>
      <c r="AI41" s="13" t="s">
        <v>2421</v>
      </c>
      <c r="AJ41" s="13" t="s">
        <v>2422</v>
      </c>
      <c r="AK41" s="13" t="s">
        <v>2416</v>
      </c>
      <c r="AL41" s="13" t="s">
        <v>2077</v>
      </c>
      <c r="AM41" s="13" t="s">
        <v>2077</v>
      </c>
      <c r="AN41" s="13" t="s">
        <v>2077</v>
      </c>
      <c r="AO41" s="13" t="s">
        <v>2077</v>
      </c>
      <c r="AP41" s="13" t="s">
        <v>2077</v>
      </c>
      <c r="AQ41" s="13" t="s">
        <v>2077</v>
      </c>
      <c r="AR41" s="13" t="s">
        <v>2418</v>
      </c>
      <c r="AS41" s="13" t="s">
        <v>2419</v>
      </c>
      <c r="AT41" s="13" t="s">
        <v>2420</v>
      </c>
      <c r="AU41" s="13" t="s">
        <v>2421</v>
      </c>
      <c r="AV41" s="13" t="s">
        <v>2422</v>
      </c>
      <c r="AW41" s="13" t="s">
        <v>2416</v>
      </c>
      <c r="AX41" s="13" t="s">
        <v>2073</v>
      </c>
      <c r="AY41" s="13" t="s">
        <v>2073</v>
      </c>
      <c r="AZ41" s="13" t="s">
        <v>2073</v>
      </c>
      <c r="BA41" s="13" t="s">
        <v>2073</v>
      </c>
      <c r="BB41" s="13" t="s">
        <v>2073</v>
      </c>
      <c r="BC41" s="13" t="s">
        <v>2073</v>
      </c>
    </row>
    <row r="42" spans="1:55" ht="15.75" customHeight="1">
      <c r="A42" s="13">
        <v>2000</v>
      </c>
      <c r="B42" s="7" t="s">
        <v>180</v>
      </c>
      <c r="C42" s="211" t="s">
        <v>2412</v>
      </c>
      <c r="D42" s="13" t="s">
        <v>179</v>
      </c>
      <c r="E42" s="13" t="s">
        <v>151</v>
      </c>
      <c r="F42" s="211" t="s">
        <v>2413</v>
      </c>
      <c r="G42" s="13" t="s">
        <v>2414</v>
      </c>
      <c r="H42" s="13" t="s">
        <v>2077</v>
      </c>
      <c r="I42" s="13" t="s">
        <v>2077</v>
      </c>
      <c r="J42" s="13" t="s">
        <v>2077</v>
      </c>
      <c r="K42" s="13" t="s">
        <v>2077</v>
      </c>
      <c r="L42" s="13" t="s">
        <v>2077</v>
      </c>
      <c r="M42" s="13" t="s">
        <v>2077</v>
      </c>
      <c r="N42" s="211" t="s">
        <v>2415</v>
      </c>
      <c r="O42" s="13" t="s">
        <v>2416</v>
      </c>
      <c r="P42" s="69" t="str">
        <f t="shared" ref="P42:Q42" si="40">D42</f>
        <v>MOULDING POWERMATT 2000 KMI</v>
      </c>
      <c r="Q42" s="13" t="str">
        <f t="shared" si="40"/>
        <v>1WE</v>
      </c>
      <c r="R42" s="212" t="s">
        <v>23</v>
      </c>
      <c r="S42" s="213">
        <v>0.97916666666666663</v>
      </c>
      <c r="T42" s="13">
        <v>85</v>
      </c>
      <c r="U42" s="211" t="s">
        <v>83</v>
      </c>
      <c r="V42" s="13">
        <v>1</v>
      </c>
      <c r="W42" s="13" t="s">
        <v>2417</v>
      </c>
      <c r="X42" s="13" t="s">
        <v>1924</v>
      </c>
      <c r="Y42" s="13" t="s">
        <v>2073</v>
      </c>
      <c r="Z42" s="13" t="s">
        <v>2073</v>
      </c>
      <c r="AA42" s="13" t="s">
        <v>2073</v>
      </c>
      <c r="AB42" s="13" t="s">
        <v>1924</v>
      </c>
      <c r="AC42" s="211" t="s">
        <v>2415</v>
      </c>
      <c r="AD42" s="13" t="s">
        <v>2416</v>
      </c>
      <c r="AE42" s="69" t="s">
        <v>181</v>
      </c>
      <c r="AF42" s="13" t="s">
        <v>2418</v>
      </c>
      <c r="AG42" s="13" t="s">
        <v>2419</v>
      </c>
      <c r="AH42" s="13" t="s">
        <v>2420</v>
      </c>
      <c r="AI42" s="13" t="s">
        <v>2421</v>
      </c>
      <c r="AJ42" s="13" t="s">
        <v>2422</v>
      </c>
      <c r="AK42" s="13" t="s">
        <v>2416</v>
      </c>
      <c r="AL42" s="13" t="s">
        <v>2077</v>
      </c>
      <c r="AM42" s="13" t="s">
        <v>2077</v>
      </c>
      <c r="AN42" s="13" t="s">
        <v>2077</v>
      </c>
      <c r="AO42" s="13" t="s">
        <v>2077</v>
      </c>
      <c r="AP42" s="13" t="s">
        <v>2077</v>
      </c>
      <c r="AQ42" s="13" t="s">
        <v>2077</v>
      </c>
      <c r="AR42" s="13" t="s">
        <v>2418</v>
      </c>
      <c r="AS42" s="13" t="s">
        <v>2419</v>
      </c>
      <c r="AT42" s="13" t="s">
        <v>2420</v>
      </c>
      <c r="AU42" s="13" t="s">
        <v>2421</v>
      </c>
      <c r="AV42" s="13" t="s">
        <v>2422</v>
      </c>
      <c r="AW42" s="13" t="s">
        <v>2416</v>
      </c>
      <c r="AX42" s="13" t="s">
        <v>2073</v>
      </c>
      <c r="AY42" s="13" t="s">
        <v>2073</v>
      </c>
      <c r="AZ42" s="13" t="s">
        <v>2073</v>
      </c>
      <c r="BA42" s="13" t="s">
        <v>2073</v>
      </c>
      <c r="BB42" s="13" t="s">
        <v>2073</v>
      </c>
      <c r="BC42" s="13" t="s">
        <v>2073</v>
      </c>
    </row>
    <row r="43" spans="1:55" ht="15.75" customHeight="1">
      <c r="A43" s="13">
        <v>2000</v>
      </c>
      <c r="B43" s="7" t="s">
        <v>184</v>
      </c>
      <c r="C43" s="211" t="s">
        <v>2412</v>
      </c>
      <c r="D43" s="13" t="s">
        <v>183</v>
      </c>
      <c r="E43" s="13" t="s">
        <v>151</v>
      </c>
      <c r="F43" s="211" t="s">
        <v>2413</v>
      </c>
      <c r="G43" s="13" t="s">
        <v>2414</v>
      </c>
      <c r="H43" s="13" t="s">
        <v>2077</v>
      </c>
      <c r="I43" s="13" t="s">
        <v>2077</v>
      </c>
      <c r="J43" s="13" t="s">
        <v>2077</v>
      </c>
      <c r="K43" s="13" t="s">
        <v>2077</v>
      </c>
      <c r="L43" s="13" t="s">
        <v>2077</v>
      </c>
      <c r="M43" s="13" t="s">
        <v>2077</v>
      </c>
      <c r="N43" s="211" t="s">
        <v>2415</v>
      </c>
      <c r="O43" s="13" t="s">
        <v>2416</v>
      </c>
      <c r="P43" s="69" t="str">
        <f t="shared" ref="P43:Q43" si="41">D43</f>
        <v>MOULDING POWERMATT 2000 XL</v>
      </c>
      <c r="Q43" s="13" t="str">
        <f t="shared" si="41"/>
        <v>1WE</v>
      </c>
      <c r="R43" s="212" t="s">
        <v>23</v>
      </c>
      <c r="S43" s="213">
        <v>0.97916666666666663</v>
      </c>
      <c r="T43" s="13">
        <v>85</v>
      </c>
      <c r="U43" s="211" t="s">
        <v>83</v>
      </c>
      <c r="V43" s="13">
        <v>1</v>
      </c>
      <c r="W43" s="13" t="s">
        <v>2417</v>
      </c>
      <c r="X43" s="13" t="s">
        <v>1924</v>
      </c>
      <c r="Y43" s="13" t="s">
        <v>2073</v>
      </c>
      <c r="Z43" s="13" t="s">
        <v>2073</v>
      </c>
      <c r="AA43" s="13" t="s">
        <v>2073</v>
      </c>
      <c r="AB43" s="13" t="s">
        <v>1924</v>
      </c>
      <c r="AC43" s="211" t="s">
        <v>2415</v>
      </c>
      <c r="AD43" s="13" t="s">
        <v>2416</v>
      </c>
      <c r="AE43" s="69" t="s">
        <v>185</v>
      </c>
      <c r="AF43" s="13" t="s">
        <v>2418</v>
      </c>
      <c r="AG43" s="13" t="s">
        <v>2419</v>
      </c>
      <c r="AH43" s="13" t="s">
        <v>2420</v>
      </c>
      <c r="AI43" s="13" t="s">
        <v>2421</v>
      </c>
      <c r="AJ43" s="13" t="s">
        <v>2422</v>
      </c>
      <c r="AK43" s="13" t="s">
        <v>2416</v>
      </c>
      <c r="AL43" s="13" t="s">
        <v>2077</v>
      </c>
      <c r="AM43" s="13" t="s">
        <v>2077</v>
      </c>
      <c r="AN43" s="13" t="s">
        <v>2077</v>
      </c>
      <c r="AO43" s="13" t="s">
        <v>2077</v>
      </c>
      <c r="AP43" s="13" t="s">
        <v>2077</v>
      </c>
      <c r="AQ43" s="13" t="s">
        <v>2077</v>
      </c>
      <c r="AR43" s="13" t="s">
        <v>2418</v>
      </c>
      <c r="AS43" s="13" t="s">
        <v>2419</v>
      </c>
      <c r="AT43" s="13" t="s">
        <v>2420</v>
      </c>
      <c r="AU43" s="13" t="s">
        <v>2421</v>
      </c>
      <c r="AV43" s="13" t="s">
        <v>2422</v>
      </c>
      <c r="AW43" s="13" t="s">
        <v>2416</v>
      </c>
      <c r="AX43" s="13" t="s">
        <v>2073</v>
      </c>
      <c r="AY43" s="13" t="s">
        <v>2073</v>
      </c>
      <c r="AZ43" s="13" t="s">
        <v>2073</v>
      </c>
      <c r="BA43" s="13" t="s">
        <v>2073</v>
      </c>
      <c r="BB43" s="13" t="s">
        <v>2073</v>
      </c>
      <c r="BC43" s="13" t="s">
        <v>2073</v>
      </c>
    </row>
    <row r="44" spans="1:55" ht="15.75" customHeight="1">
      <c r="A44" s="13">
        <v>2000</v>
      </c>
      <c r="B44" s="7" t="s">
        <v>188</v>
      </c>
      <c r="C44" s="211" t="s">
        <v>2412</v>
      </c>
      <c r="D44" s="13" t="s">
        <v>187</v>
      </c>
      <c r="E44" s="13" t="s">
        <v>151</v>
      </c>
      <c r="F44" s="211" t="s">
        <v>2413</v>
      </c>
      <c r="G44" s="13" t="s">
        <v>2414</v>
      </c>
      <c r="H44" s="13" t="s">
        <v>2077</v>
      </c>
      <c r="I44" s="13" t="s">
        <v>2077</v>
      </c>
      <c r="J44" s="13" t="s">
        <v>2077</v>
      </c>
      <c r="K44" s="13" t="s">
        <v>2077</v>
      </c>
      <c r="L44" s="13" t="s">
        <v>2077</v>
      </c>
      <c r="M44" s="13" t="s">
        <v>2077</v>
      </c>
      <c r="N44" s="211" t="s">
        <v>2415</v>
      </c>
      <c r="O44" s="13" t="s">
        <v>2416</v>
      </c>
      <c r="P44" s="69" t="str">
        <f t="shared" ref="P44:Q44" si="42">D44</f>
        <v>MOULDING U-300 KMI</v>
      </c>
      <c r="Q44" s="13" t="str">
        <f t="shared" si="42"/>
        <v>1WE</v>
      </c>
      <c r="R44" s="212" t="s">
        <v>23</v>
      </c>
      <c r="S44" s="213">
        <v>0.64583333333333337</v>
      </c>
      <c r="T44" s="13">
        <v>85</v>
      </c>
      <c r="U44" s="211" t="s">
        <v>24</v>
      </c>
      <c r="V44" s="13">
        <v>1</v>
      </c>
      <c r="W44" s="13" t="s">
        <v>2417</v>
      </c>
      <c r="X44" s="13" t="s">
        <v>1924</v>
      </c>
      <c r="Y44" s="13" t="s">
        <v>2073</v>
      </c>
      <c r="Z44" s="13" t="s">
        <v>2073</v>
      </c>
      <c r="AA44" s="13" t="s">
        <v>2073</v>
      </c>
      <c r="AB44" s="13" t="s">
        <v>1924</v>
      </c>
      <c r="AC44" s="211" t="s">
        <v>2415</v>
      </c>
      <c r="AD44" s="13" t="s">
        <v>2416</v>
      </c>
      <c r="AE44" s="69" t="s">
        <v>189</v>
      </c>
      <c r="AF44" s="13" t="s">
        <v>2418</v>
      </c>
      <c r="AG44" s="13" t="s">
        <v>2419</v>
      </c>
      <c r="AH44" s="13" t="s">
        <v>2420</v>
      </c>
      <c r="AI44" s="13" t="s">
        <v>2421</v>
      </c>
      <c r="AJ44" s="13" t="s">
        <v>2422</v>
      </c>
      <c r="AK44" s="13" t="s">
        <v>2416</v>
      </c>
      <c r="AL44" s="13" t="s">
        <v>2077</v>
      </c>
      <c r="AM44" s="13" t="s">
        <v>2077</v>
      </c>
      <c r="AN44" s="13" t="s">
        <v>2077</v>
      </c>
      <c r="AO44" s="13" t="s">
        <v>2077</v>
      </c>
      <c r="AP44" s="13" t="s">
        <v>2077</v>
      </c>
      <c r="AQ44" s="13" t="s">
        <v>2077</v>
      </c>
      <c r="AR44" s="13" t="s">
        <v>2418</v>
      </c>
      <c r="AS44" s="13" t="s">
        <v>2419</v>
      </c>
      <c r="AT44" s="13" t="s">
        <v>2420</v>
      </c>
      <c r="AU44" s="13" t="s">
        <v>2421</v>
      </c>
      <c r="AV44" s="13" t="s">
        <v>2422</v>
      </c>
      <c r="AW44" s="13" t="s">
        <v>2416</v>
      </c>
      <c r="AX44" s="13" t="s">
        <v>2073</v>
      </c>
      <c r="AY44" s="13" t="s">
        <v>2073</v>
      </c>
      <c r="AZ44" s="13" t="s">
        <v>2073</v>
      </c>
      <c r="BA44" s="13" t="s">
        <v>2073</v>
      </c>
      <c r="BB44" s="13" t="s">
        <v>2073</v>
      </c>
      <c r="BC44" s="13" t="s">
        <v>2073</v>
      </c>
    </row>
    <row r="45" spans="1:55" ht="15.75" customHeight="1">
      <c r="A45" s="13">
        <v>2000</v>
      </c>
      <c r="B45" s="7" t="s">
        <v>192</v>
      </c>
      <c r="C45" s="211" t="s">
        <v>2412</v>
      </c>
      <c r="D45" s="13" t="s">
        <v>191</v>
      </c>
      <c r="E45" s="13" t="s">
        <v>151</v>
      </c>
      <c r="F45" s="211" t="s">
        <v>2413</v>
      </c>
      <c r="G45" s="13" t="s">
        <v>2414</v>
      </c>
      <c r="H45" s="13" t="s">
        <v>2077</v>
      </c>
      <c r="I45" s="13" t="s">
        <v>2077</v>
      </c>
      <c r="J45" s="13" t="s">
        <v>2077</v>
      </c>
      <c r="K45" s="13" t="s">
        <v>2077</v>
      </c>
      <c r="L45" s="13" t="s">
        <v>2077</v>
      </c>
      <c r="M45" s="13" t="s">
        <v>2077</v>
      </c>
      <c r="N45" s="211" t="s">
        <v>2415</v>
      </c>
      <c r="O45" s="13" t="s">
        <v>2416</v>
      </c>
      <c r="P45" s="69" t="str">
        <f t="shared" ref="P45:Q45" si="43">D45</f>
        <v>MANUAL DOWEL&amp;RAIL KMI 1</v>
      </c>
      <c r="Q45" s="13" t="str">
        <f t="shared" si="43"/>
        <v>1WE</v>
      </c>
      <c r="R45" s="212" t="s">
        <v>23</v>
      </c>
      <c r="S45" s="213">
        <v>0.64583333333333337</v>
      </c>
      <c r="T45" s="13">
        <v>85</v>
      </c>
      <c r="U45" s="211" t="s">
        <v>24</v>
      </c>
      <c r="V45" s="13">
        <v>1</v>
      </c>
      <c r="W45" s="13" t="s">
        <v>2417</v>
      </c>
      <c r="X45" s="13" t="s">
        <v>1924</v>
      </c>
      <c r="Y45" s="13" t="s">
        <v>2073</v>
      </c>
      <c r="Z45" s="13" t="s">
        <v>2073</v>
      </c>
      <c r="AA45" s="13" t="s">
        <v>2073</v>
      </c>
      <c r="AB45" s="13" t="s">
        <v>1924</v>
      </c>
      <c r="AC45" s="211" t="s">
        <v>2415</v>
      </c>
      <c r="AD45" s="13" t="s">
        <v>2416</v>
      </c>
      <c r="AE45" s="69" t="s">
        <v>193</v>
      </c>
      <c r="AF45" s="13" t="s">
        <v>2418</v>
      </c>
      <c r="AG45" s="13" t="s">
        <v>2419</v>
      </c>
      <c r="AH45" s="13" t="s">
        <v>2420</v>
      </c>
      <c r="AI45" s="13" t="s">
        <v>2421</v>
      </c>
      <c r="AJ45" s="13" t="s">
        <v>2422</v>
      </c>
      <c r="AK45" s="13" t="s">
        <v>2416</v>
      </c>
      <c r="AL45" s="13" t="s">
        <v>2077</v>
      </c>
      <c r="AM45" s="13" t="s">
        <v>2077</v>
      </c>
      <c r="AN45" s="13" t="s">
        <v>2077</v>
      </c>
      <c r="AO45" s="13" t="s">
        <v>2077</v>
      </c>
      <c r="AP45" s="13" t="s">
        <v>2077</v>
      </c>
      <c r="AQ45" s="13" t="s">
        <v>2077</v>
      </c>
      <c r="AR45" s="13" t="s">
        <v>2418</v>
      </c>
      <c r="AS45" s="13" t="s">
        <v>2419</v>
      </c>
      <c r="AT45" s="13" t="s">
        <v>2420</v>
      </c>
      <c r="AU45" s="13" t="s">
        <v>2421</v>
      </c>
      <c r="AV45" s="13" t="s">
        <v>2422</v>
      </c>
      <c r="AW45" s="13" t="s">
        <v>2416</v>
      </c>
      <c r="AX45" s="13" t="s">
        <v>2073</v>
      </c>
      <c r="AY45" s="13" t="s">
        <v>2073</v>
      </c>
      <c r="AZ45" s="13" t="s">
        <v>2073</v>
      </c>
      <c r="BA45" s="13" t="s">
        <v>2073</v>
      </c>
      <c r="BB45" s="13" t="s">
        <v>2073</v>
      </c>
      <c r="BC45" s="13" t="s">
        <v>2073</v>
      </c>
    </row>
    <row r="46" spans="1:55" ht="15.75" customHeight="1">
      <c r="A46" s="13">
        <v>2000</v>
      </c>
      <c r="B46" s="7" t="s">
        <v>196</v>
      </c>
      <c r="C46" s="211" t="s">
        <v>2412</v>
      </c>
      <c r="D46" s="13" t="s">
        <v>195</v>
      </c>
      <c r="E46" s="13" t="s">
        <v>151</v>
      </c>
      <c r="F46" s="211" t="s">
        <v>2413</v>
      </c>
      <c r="G46" s="13" t="s">
        <v>2414</v>
      </c>
      <c r="H46" s="13" t="s">
        <v>2077</v>
      </c>
      <c r="I46" s="13" t="s">
        <v>2077</v>
      </c>
      <c r="J46" s="13" t="s">
        <v>2077</v>
      </c>
      <c r="K46" s="13" t="s">
        <v>2077</v>
      </c>
      <c r="L46" s="13" t="s">
        <v>2077</v>
      </c>
      <c r="M46" s="13" t="s">
        <v>2077</v>
      </c>
      <c r="N46" s="211" t="s">
        <v>2415</v>
      </c>
      <c r="O46" s="13" t="s">
        <v>2416</v>
      </c>
      <c r="P46" s="69" t="str">
        <f t="shared" ref="P46:Q46" si="44">D46</f>
        <v>MOULDING UNIMAT 23 MP.0053</v>
      </c>
      <c r="Q46" s="13" t="str">
        <f t="shared" si="44"/>
        <v>1WE</v>
      </c>
      <c r="R46" s="212" t="s">
        <v>23</v>
      </c>
      <c r="S46" s="213">
        <v>0.97916666666666663</v>
      </c>
      <c r="T46" s="13">
        <v>85</v>
      </c>
      <c r="U46" s="211" t="s">
        <v>83</v>
      </c>
      <c r="V46" s="13">
        <v>1</v>
      </c>
      <c r="W46" s="13" t="s">
        <v>2417</v>
      </c>
      <c r="X46" s="13" t="s">
        <v>1924</v>
      </c>
      <c r="Y46" s="13" t="s">
        <v>2073</v>
      </c>
      <c r="Z46" s="13" t="s">
        <v>2073</v>
      </c>
      <c r="AA46" s="13" t="s">
        <v>2073</v>
      </c>
      <c r="AB46" s="13" t="s">
        <v>1924</v>
      </c>
      <c r="AC46" s="211" t="s">
        <v>2415</v>
      </c>
      <c r="AD46" s="13" t="s">
        <v>2416</v>
      </c>
      <c r="AE46" s="69" t="s">
        <v>197</v>
      </c>
      <c r="AF46" s="13" t="s">
        <v>2418</v>
      </c>
      <c r="AG46" s="13" t="s">
        <v>2419</v>
      </c>
      <c r="AH46" s="13" t="s">
        <v>2420</v>
      </c>
      <c r="AI46" s="13" t="s">
        <v>2421</v>
      </c>
      <c r="AJ46" s="13" t="s">
        <v>2422</v>
      </c>
      <c r="AK46" s="13" t="s">
        <v>2416</v>
      </c>
      <c r="AL46" s="13" t="s">
        <v>2077</v>
      </c>
      <c r="AM46" s="13" t="s">
        <v>2077</v>
      </c>
      <c r="AN46" s="13" t="s">
        <v>2077</v>
      </c>
      <c r="AO46" s="13" t="s">
        <v>2077</v>
      </c>
      <c r="AP46" s="13" t="s">
        <v>2077</v>
      </c>
      <c r="AQ46" s="13" t="s">
        <v>2077</v>
      </c>
      <c r="AR46" s="13" t="s">
        <v>2418</v>
      </c>
      <c r="AS46" s="13" t="s">
        <v>2419</v>
      </c>
      <c r="AT46" s="13" t="s">
        <v>2420</v>
      </c>
      <c r="AU46" s="13" t="s">
        <v>2421</v>
      </c>
      <c r="AV46" s="13" t="s">
        <v>2422</v>
      </c>
      <c r="AW46" s="13" t="s">
        <v>2416</v>
      </c>
      <c r="AX46" s="13" t="s">
        <v>2073</v>
      </c>
      <c r="AY46" s="13" t="s">
        <v>2073</v>
      </c>
      <c r="AZ46" s="13" t="s">
        <v>2073</v>
      </c>
      <c r="BA46" s="13" t="s">
        <v>2073</v>
      </c>
      <c r="BB46" s="13" t="s">
        <v>2073</v>
      </c>
      <c r="BC46" s="13" t="s">
        <v>2073</v>
      </c>
    </row>
    <row r="47" spans="1:55" ht="15.75" customHeight="1">
      <c r="A47" s="13">
        <v>2000</v>
      </c>
      <c r="B47" s="7" t="s">
        <v>200</v>
      </c>
      <c r="C47" s="211" t="s">
        <v>2412</v>
      </c>
      <c r="D47" s="13" t="s">
        <v>199</v>
      </c>
      <c r="E47" s="13" t="s">
        <v>151</v>
      </c>
      <c r="F47" s="211" t="s">
        <v>2413</v>
      </c>
      <c r="G47" s="13" t="s">
        <v>2414</v>
      </c>
      <c r="H47" s="13" t="s">
        <v>2077</v>
      </c>
      <c r="I47" s="13" t="s">
        <v>2077</v>
      </c>
      <c r="J47" s="13" t="s">
        <v>2077</v>
      </c>
      <c r="K47" s="13" t="s">
        <v>2077</v>
      </c>
      <c r="L47" s="13" t="s">
        <v>2077</v>
      </c>
      <c r="M47" s="13" t="s">
        <v>2077</v>
      </c>
      <c r="N47" s="211" t="s">
        <v>2415</v>
      </c>
      <c r="O47" s="13" t="s">
        <v>2416</v>
      </c>
      <c r="P47" s="69" t="str">
        <f t="shared" ref="P47:Q47" si="45">D47</f>
        <v>MOULDING UNIMAT 22 E</v>
      </c>
      <c r="Q47" s="13" t="str">
        <f t="shared" si="45"/>
        <v>1WE</v>
      </c>
      <c r="R47" s="212" t="s">
        <v>23</v>
      </c>
      <c r="S47" s="213">
        <v>0.97916666666666663</v>
      </c>
      <c r="T47" s="13">
        <v>85</v>
      </c>
      <c r="U47" s="211" t="s">
        <v>83</v>
      </c>
      <c r="V47" s="13">
        <v>1</v>
      </c>
      <c r="W47" s="13" t="s">
        <v>2417</v>
      </c>
      <c r="X47" s="13" t="s">
        <v>1924</v>
      </c>
      <c r="Y47" s="13" t="s">
        <v>2073</v>
      </c>
      <c r="Z47" s="13" t="s">
        <v>2073</v>
      </c>
      <c r="AA47" s="13" t="s">
        <v>2073</v>
      </c>
      <c r="AB47" s="13" t="s">
        <v>1924</v>
      </c>
      <c r="AC47" s="211" t="s">
        <v>2415</v>
      </c>
      <c r="AD47" s="13" t="s">
        <v>2416</v>
      </c>
      <c r="AE47" s="69" t="s">
        <v>201</v>
      </c>
      <c r="AF47" s="13" t="s">
        <v>2418</v>
      </c>
      <c r="AG47" s="13" t="s">
        <v>2419</v>
      </c>
      <c r="AH47" s="13" t="s">
        <v>2420</v>
      </c>
      <c r="AI47" s="13" t="s">
        <v>2421</v>
      </c>
      <c r="AJ47" s="13" t="s">
        <v>2422</v>
      </c>
      <c r="AK47" s="13" t="s">
        <v>2416</v>
      </c>
      <c r="AL47" s="13" t="s">
        <v>2077</v>
      </c>
      <c r="AM47" s="13" t="s">
        <v>2077</v>
      </c>
      <c r="AN47" s="13" t="s">
        <v>2077</v>
      </c>
      <c r="AO47" s="13" t="s">
        <v>2077</v>
      </c>
      <c r="AP47" s="13" t="s">
        <v>2077</v>
      </c>
      <c r="AQ47" s="13" t="s">
        <v>2077</v>
      </c>
      <c r="AR47" s="13" t="s">
        <v>2418</v>
      </c>
      <c r="AS47" s="13" t="s">
        <v>2419</v>
      </c>
      <c r="AT47" s="13" t="s">
        <v>2420</v>
      </c>
      <c r="AU47" s="13" t="s">
        <v>2421</v>
      </c>
      <c r="AV47" s="13" t="s">
        <v>2422</v>
      </c>
      <c r="AW47" s="13" t="s">
        <v>2416</v>
      </c>
      <c r="AX47" s="13" t="s">
        <v>2073</v>
      </c>
      <c r="AY47" s="13" t="s">
        <v>2073</v>
      </c>
      <c r="AZ47" s="13" t="s">
        <v>2073</v>
      </c>
      <c r="BA47" s="13" t="s">
        <v>2073</v>
      </c>
      <c r="BB47" s="13" t="s">
        <v>2073</v>
      </c>
      <c r="BC47" s="13" t="s">
        <v>2073</v>
      </c>
    </row>
    <row r="48" spans="1:55" ht="15.75" customHeight="1">
      <c r="A48" s="13">
        <v>2000</v>
      </c>
      <c r="B48" s="7" t="s">
        <v>204</v>
      </c>
      <c r="C48" s="211" t="s">
        <v>2412</v>
      </c>
      <c r="D48" s="13" t="s">
        <v>203</v>
      </c>
      <c r="E48" s="13" t="s">
        <v>151</v>
      </c>
      <c r="F48" s="211" t="s">
        <v>2413</v>
      </c>
      <c r="G48" s="13" t="s">
        <v>2414</v>
      </c>
      <c r="H48" s="13" t="s">
        <v>2077</v>
      </c>
      <c r="I48" s="13" t="s">
        <v>2077</v>
      </c>
      <c r="J48" s="13" t="s">
        <v>2077</v>
      </c>
      <c r="K48" s="13" t="s">
        <v>2077</v>
      </c>
      <c r="L48" s="13" t="s">
        <v>2077</v>
      </c>
      <c r="M48" s="13" t="s">
        <v>2077</v>
      </c>
      <c r="N48" s="211" t="s">
        <v>2415</v>
      </c>
      <c r="O48" s="13" t="s">
        <v>2416</v>
      </c>
      <c r="P48" s="69" t="str">
        <f t="shared" ref="P48:Q48" si="46">D48</f>
        <v>MOULDING UNIMAT 23 E</v>
      </c>
      <c r="Q48" s="13" t="str">
        <f t="shared" si="46"/>
        <v>1WE</v>
      </c>
      <c r="R48" s="212" t="s">
        <v>23</v>
      </c>
      <c r="S48" s="213">
        <v>0.97916666666666663</v>
      </c>
      <c r="T48" s="13">
        <v>85</v>
      </c>
      <c r="U48" s="211" t="s">
        <v>83</v>
      </c>
      <c r="V48" s="13">
        <v>1</v>
      </c>
      <c r="W48" s="13" t="s">
        <v>2417</v>
      </c>
      <c r="X48" s="13" t="s">
        <v>1924</v>
      </c>
      <c r="Y48" s="13" t="s">
        <v>2073</v>
      </c>
      <c r="Z48" s="13" t="s">
        <v>2073</v>
      </c>
      <c r="AA48" s="13" t="s">
        <v>2073</v>
      </c>
      <c r="AB48" s="13" t="s">
        <v>1924</v>
      </c>
      <c r="AC48" s="211" t="s">
        <v>2415</v>
      </c>
      <c r="AD48" s="13" t="s">
        <v>2416</v>
      </c>
      <c r="AE48" s="69" t="s">
        <v>205</v>
      </c>
      <c r="AF48" s="13" t="s">
        <v>2418</v>
      </c>
      <c r="AG48" s="13" t="s">
        <v>2419</v>
      </c>
      <c r="AH48" s="13" t="s">
        <v>2420</v>
      </c>
      <c r="AI48" s="13" t="s">
        <v>2421</v>
      </c>
      <c r="AJ48" s="13" t="s">
        <v>2422</v>
      </c>
      <c r="AK48" s="13" t="s">
        <v>2416</v>
      </c>
      <c r="AL48" s="13" t="s">
        <v>2077</v>
      </c>
      <c r="AM48" s="13" t="s">
        <v>2077</v>
      </c>
      <c r="AN48" s="13" t="s">
        <v>2077</v>
      </c>
      <c r="AO48" s="13" t="s">
        <v>2077</v>
      </c>
      <c r="AP48" s="13" t="s">
        <v>2077</v>
      </c>
      <c r="AQ48" s="13" t="s">
        <v>2077</v>
      </c>
      <c r="AR48" s="13" t="s">
        <v>2418</v>
      </c>
      <c r="AS48" s="13" t="s">
        <v>2419</v>
      </c>
      <c r="AT48" s="13" t="s">
        <v>2420</v>
      </c>
      <c r="AU48" s="13" t="s">
        <v>2421</v>
      </c>
      <c r="AV48" s="13" t="s">
        <v>2422</v>
      </c>
      <c r="AW48" s="13" t="s">
        <v>2416</v>
      </c>
      <c r="AX48" s="13" t="s">
        <v>2073</v>
      </c>
      <c r="AY48" s="13" t="s">
        <v>2073</v>
      </c>
      <c r="AZ48" s="13" t="s">
        <v>2073</v>
      </c>
      <c r="BA48" s="13" t="s">
        <v>2073</v>
      </c>
      <c r="BB48" s="13" t="s">
        <v>2073</v>
      </c>
      <c r="BC48" s="13" t="s">
        <v>2073</v>
      </c>
    </row>
    <row r="49" spans="1:55" ht="15.75" customHeight="1">
      <c r="A49" s="13">
        <v>2000</v>
      </c>
      <c r="B49" s="7" t="s">
        <v>209</v>
      </c>
      <c r="C49" s="211" t="s">
        <v>2412</v>
      </c>
      <c r="D49" s="13" t="s">
        <v>208</v>
      </c>
      <c r="E49" s="13" t="s">
        <v>151</v>
      </c>
      <c r="F49" s="211" t="s">
        <v>2413</v>
      </c>
      <c r="G49" s="13" t="s">
        <v>2414</v>
      </c>
      <c r="H49" s="13" t="s">
        <v>2077</v>
      </c>
      <c r="I49" s="13" t="s">
        <v>2077</v>
      </c>
      <c r="J49" s="13" t="s">
        <v>2077</v>
      </c>
      <c r="K49" s="13" t="s">
        <v>2077</v>
      </c>
      <c r="L49" s="13" t="s">
        <v>2077</v>
      </c>
      <c r="M49" s="13" t="s">
        <v>2077</v>
      </c>
      <c r="N49" s="211" t="s">
        <v>2415</v>
      </c>
      <c r="O49" s="13" t="s">
        <v>2416</v>
      </c>
      <c r="P49" s="69" t="str">
        <f t="shared" ref="P49:Q49" si="47">D49</f>
        <v>Winter Streiger  Wooden Component</v>
      </c>
      <c r="Q49" s="13" t="str">
        <f t="shared" si="47"/>
        <v>1WE</v>
      </c>
      <c r="R49" s="212" t="s">
        <v>23</v>
      </c>
      <c r="S49" s="213">
        <v>0.64583333333333337</v>
      </c>
      <c r="T49" s="13">
        <v>85</v>
      </c>
      <c r="U49" s="211" t="s">
        <v>24</v>
      </c>
      <c r="V49" s="13">
        <v>1</v>
      </c>
      <c r="W49" s="13" t="s">
        <v>2417</v>
      </c>
      <c r="X49" s="13" t="s">
        <v>1924</v>
      </c>
      <c r="Y49" s="13" t="s">
        <v>2073</v>
      </c>
      <c r="Z49" s="13" t="s">
        <v>2073</v>
      </c>
      <c r="AA49" s="13" t="s">
        <v>2073</v>
      </c>
      <c r="AB49" s="13" t="s">
        <v>1924</v>
      </c>
      <c r="AC49" s="211" t="s">
        <v>2415</v>
      </c>
      <c r="AD49" s="13" t="s">
        <v>2416</v>
      </c>
      <c r="AE49" s="69">
        <v>1111025002</v>
      </c>
      <c r="AF49" s="13" t="s">
        <v>2418</v>
      </c>
      <c r="AG49" s="13" t="s">
        <v>2419</v>
      </c>
      <c r="AH49" s="13" t="s">
        <v>2420</v>
      </c>
      <c r="AI49" s="13" t="s">
        <v>2421</v>
      </c>
      <c r="AJ49" s="13" t="s">
        <v>2422</v>
      </c>
      <c r="AK49" s="13" t="s">
        <v>2416</v>
      </c>
      <c r="AL49" s="13" t="s">
        <v>2077</v>
      </c>
      <c r="AM49" s="13" t="s">
        <v>2077</v>
      </c>
      <c r="AN49" s="13" t="s">
        <v>2077</v>
      </c>
      <c r="AO49" s="13" t="s">
        <v>2077</v>
      </c>
      <c r="AP49" s="13" t="s">
        <v>2077</v>
      </c>
      <c r="AQ49" s="13" t="s">
        <v>2077</v>
      </c>
      <c r="AR49" s="13" t="s">
        <v>2418</v>
      </c>
      <c r="AS49" s="13" t="s">
        <v>2419</v>
      </c>
      <c r="AT49" s="13" t="s">
        <v>2420</v>
      </c>
      <c r="AU49" s="13" t="s">
        <v>2421</v>
      </c>
      <c r="AV49" s="13" t="s">
        <v>2422</v>
      </c>
      <c r="AW49" s="13" t="s">
        <v>2416</v>
      </c>
      <c r="AX49" s="13" t="s">
        <v>2073</v>
      </c>
      <c r="AY49" s="13" t="s">
        <v>2073</v>
      </c>
      <c r="AZ49" s="13" t="s">
        <v>2073</v>
      </c>
      <c r="BA49" s="13" t="s">
        <v>2073</v>
      </c>
      <c r="BB49" s="13" t="s">
        <v>2073</v>
      </c>
      <c r="BC49" s="13" t="s">
        <v>2073</v>
      </c>
    </row>
    <row r="50" spans="1:55" ht="15.75" customHeight="1">
      <c r="A50" s="13">
        <v>2000</v>
      </c>
      <c r="B50" s="7" t="s">
        <v>213</v>
      </c>
      <c r="C50" s="211" t="s">
        <v>2412</v>
      </c>
      <c r="D50" s="13" t="s">
        <v>212</v>
      </c>
      <c r="E50" s="13" t="s">
        <v>216</v>
      </c>
      <c r="F50" s="211" t="s">
        <v>2413</v>
      </c>
      <c r="G50" s="13" t="s">
        <v>2414</v>
      </c>
      <c r="H50" s="13" t="s">
        <v>2077</v>
      </c>
      <c r="I50" s="13" t="s">
        <v>2077</v>
      </c>
      <c r="J50" s="13" t="s">
        <v>2077</v>
      </c>
      <c r="K50" s="13" t="s">
        <v>2077</v>
      </c>
      <c r="L50" s="13" t="s">
        <v>2077</v>
      </c>
      <c r="M50" s="13" t="s">
        <v>2077</v>
      </c>
      <c r="N50" s="211" t="s">
        <v>2415</v>
      </c>
      <c r="O50" s="13" t="s">
        <v>2416</v>
      </c>
      <c r="P50" s="69" t="str">
        <f t="shared" ref="P50:Q50" si="48">D50</f>
        <v>SCHEELING  1 KMI</v>
      </c>
      <c r="Q50" s="13" t="str">
        <f t="shared" si="48"/>
        <v>1PN</v>
      </c>
      <c r="R50" s="212" t="s">
        <v>23</v>
      </c>
      <c r="S50" s="213">
        <v>0.97916666666666663</v>
      </c>
      <c r="T50" s="13">
        <v>85</v>
      </c>
      <c r="U50" s="211" t="s">
        <v>83</v>
      </c>
      <c r="V50" s="13">
        <v>1</v>
      </c>
      <c r="W50" s="13" t="s">
        <v>2417</v>
      </c>
      <c r="X50" s="13" t="s">
        <v>1924</v>
      </c>
      <c r="Y50" s="13" t="s">
        <v>2073</v>
      </c>
      <c r="Z50" s="13" t="s">
        <v>2073</v>
      </c>
      <c r="AA50" s="13" t="s">
        <v>2073</v>
      </c>
      <c r="AB50" s="13" t="s">
        <v>1924</v>
      </c>
      <c r="AC50" s="211" t="s">
        <v>2415</v>
      </c>
      <c r="AD50" s="13" t="s">
        <v>2416</v>
      </c>
      <c r="AE50" s="69" t="s">
        <v>214</v>
      </c>
      <c r="AF50" s="13" t="s">
        <v>2418</v>
      </c>
      <c r="AG50" s="13" t="s">
        <v>2419</v>
      </c>
      <c r="AH50" s="13" t="s">
        <v>2420</v>
      </c>
      <c r="AI50" s="13" t="s">
        <v>2421</v>
      </c>
      <c r="AJ50" s="13" t="s">
        <v>2422</v>
      </c>
      <c r="AK50" s="13" t="s">
        <v>2416</v>
      </c>
      <c r="AL50" s="13" t="s">
        <v>2077</v>
      </c>
      <c r="AM50" s="13" t="s">
        <v>2077</v>
      </c>
      <c r="AN50" s="13" t="s">
        <v>2077</v>
      </c>
      <c r="AO50" s="13" t="s">
        <v>2077</v>
      </c>
      <c r="AP50" s="13" t="s">
        <v>2077</v>
      </c>
      <c r="AQ50" s="13" t="s">
        <v>2077</v>
      </c>
      <c r="AR50" s="13" t="s">
        <v>2418</v>
      </c>
      <c r="AS50" s="13" t="s">
        <v>2419</v>
      </c>
      <c r="AT50" s="13" t="s">
        <v>2420</v>
      </c>
      <c r="AU50" s="13" t="s">
        <v>2421</v>
      </c>
      <c r="AV50" s="13" t="s">
        <v>2422</v>
      </c>
      <c r="AW50" s="13" t="s">
        <v>2416</v>
      </c>
      <c r="AX50" s="13" t="s">
        <v>2073</v>
      </c>
      <c r="AY50" s="13" t="s">
        <v>2073</v>
      </c>
      <c r="AZ50" s="13" t="s">
        <v>2073</v>
      </c>
      <c r="BA50" s="13" t="s">
        <v>2073</v>
      </c>
      <c r="BB50" s="13" t="s">
        <v>2073</v>
      </c>
      <c r="BC50" s="13" t="s">
        <v>2073</v>
      </c>
    </row>
    <row r="51" spans="1:55" ht="15.75" customHeight="1">
      <c r="A51" s="13">
        <v>2000</v>
      </c>
      <c r="B51" s="7" t="s">
        <v>219</v>
      </c>
      <c r="C51" s="211" t="s">
        <v>2412</v>
      </c>
      <c r="D51" s="13" t="s">
        <v>218</v>
      </c>
      <c r="E51" s="13" t="s">
        <v>216</v>
      </c>
      <c r="F51" s="211" t="s">
        <v>2413</v>
      </c>
      <c r="G51" s="13" t="s">
        <v>2414</v>
      </c>
      <c r="H51" s="13" t="s">
        <v>2077</v>
      </c>
      <c r="I51" s="13" t="s">
        <v>2077</v>
      </c>
      <c r="J51" s="13" t="s">
        <v>2077</v>
      </c>
      <c r="K51" s="13" t="s">
        <v>2077</v>
      </c>
      <c r="L51" s="13" t="s">
        <v>2077</v>
      </c>
      <c r="M51" s="13" t="s">
        <v>2077</v>
      </c>
      <c r="N51" s="211" t="s">
        <v>2415</v>
      </c>
      <c r="O51" s="13" t="s">
        <v>2416</v>
      </c>
      <c r="P51" s="69" t="str">
        <f t="shared" ref="P51:Q51" si="49">D51</f>
        <v>SCHEELING 2 (FH4330)  KMI</v>
      </c>
      <c r="Q51" s="13" t="str">
        <f t="shared" si="49"/>
        <v>1PN</v>
      </c>
      <c r="R51" s="212" t="s">
        <v>23</v>
      </c>
      <c r="S51" s="213">
        <v>0.97916666666666663</v>
      </c>
      <c r="T51" s="13">
        <v>85</v>
      </c>
      <c r="U51" s="211" t="s">
        <v>83</v>
      </c>
      <c r="V51" s="13">
        <v>1</v>
      </c>
      <c r="W51" s="13" t="s">
        <v>2417</v>
      </c>
      <c r="X51" s="13" t="s">
        <v>1924</v>
      </c>
      <c r="Y51" s="13" t="s">
        <v>2073</v>
      </c>
      <c r="Z51" s="13" t="s">
        <v>2073</v>
      </c>
      <c r="AA51" s="13" t="s">
        <v>2073</v>
      </c>
      <c r="AB51" s="13" t="s">
        <v>1924</v>
      </c>
      <c r="AC51" s="211" t="s">
        <v>2415</v>
      </c>
      <c r="AD51" s="13" t="s">
        <v>2416</v>
      </c>
      <c r="AE51" s="69" t="s">
        <v>214</v>
      </c>
      <c r="AF51" s="13" t="s">
        <v>2418</v>
      </c>
      <c r="AG51" s="13" t="s">
        <v>2419</v>
      </c>
      <c r="AH51" s="13" t="s">
        <v>2420</v>
      </c>
      <c r="AI51" s="13" t="s">
        <v>2421</v>
      </c>
      <c r="AJ51" s="13" t="s">
        <v>2422</v>
      </c>
      <c r="AK51" s="13" t="s">
        <v>2416</v>
      </c>
      <c r="AL51" s="13" t="s">
        <v>2077</v>
      </c>
      <c r="AM51" s="13" t="s">
        <v>2077</v>
      </c>
      <c r="AN51" s="13" t="s">
        <v>2077</v>
      </c>
      <c r="AO51" s="13" t="s">
        <v>2077</v>
      </c>
      <c r="AP51" s="13" t="s">
        <v>2077</v>
      </c>
      <c r="AQ51" s="13" t="s">
        <v>2077</v>
      </c>
      <c r="AR51" s="13" t="s">
        <v>2418</v>
      </c>
      <c r="AS51" s="13" t="s">
        <v>2419</v>
      </c>
      <c r="AT51" s="13" t="s">
        <v>2420</v>
      </c>
      <c r="AU51" s="13" t="s">
        <v>2421</v>
      </c>
      <c r="AV51" s="13" t="s">
        <v>2422</v>
      </c>
      <c r="AW51" s="13" t="s">
        <v>2416</v>
      </c>
      <c r="AX51" s="13" t="s">
        <v>2073</v>
      </c>
      <c r="AY51" s="13" t="s">
        <v>2073</v>
      </c>
      <c r="AZ51" s="13" t="s">
        <v>2073</v>
      </c>
      <c r="BA51" s="13" t="s">
        <v>2073</v>
      </c>
      <c r="BB51" s="13" t="s">
        <v>2073</v>
      </c>
      <c r="BC51" s="13" t="s">
        <v>2073</v>
      </c>
    </row>
    <row r="52" spans="1:55" ht="15.75" customHeight="1">
      <c r="A52" s="13">
        <v>2000</v>
      </c>
      <c r="B52" s="7" t="s">
        <v>222</v>
      </c>
      <c r="C52" s="211" t="s">
        <v>2412</v>
      </c>
      <c r="D52" s="13" t="s">
        <v>221</v>
      </c>
      <c r="E52" s="13" t="s">
        <v>216</v>
      </c>
      <c r="F52" s="211" t="s">
        <v>2413</v>
      </c>
      <c r="G52" s="13" t="s">
        <v>2414</v>
      </c>
      <c r="H52" s="13" t="s">
        <v>2077</v>
      </c>
      <c r="I52" s="13" t="s">
        <v>2077</v>
      </c>
      <c r="J52" s="13" t="s">
        <v>2077</v>
      </c>
      <c r="K52" s="13" t="s">
        <v>2077</v>
      </c>
      <c r="L52" s="13" t="s">
        <v>2077</v>
      </c>
      <c r="M52" s="13" t="s">
        <v>2077</v>
      </c>
      <c r="N52" s="211" t="s">
        <v>2415</v>
      </c>
      <c r="O52" s="13" t="s">
        <v>2416</v>
      </c>
      <c r="P52" s="69" t="str">
        <f t="shared" ref="P52:Q52" si="50">D52</f>
        <v>PANELING CNC 3 KMI</v>
      </c>
      <c r="Q52" s="13" t="str">
        <f t="shared" si="50"/>
        <v>1PN</v>
      </c>
      <c r="R52" s="212" t="s">
        <v>23</v>
      </c>
      <c r="S52" s="213">
        <v>0.97916666666666663</v>
      </c>
      <c r="T52" s="13">
        <v>85</v>
      </c>
      <c r="U52" s="211" t="s">
        <v>83</v>
      </c>
      <c r="V52" s="13">
        <v>1</v>
      </c>
      <c r="W52" s="13" t="s">
        <v>2417</v>
      </c>
      <c r="X52" s="13" t="s">
        <v>1924</v>
      </c>
      <c r="Y52" s="13" t="s">
        <v>2073</v>
      </c>
      <c r="Z52" s="13" t="s">
        <v>2073</v>
      </c>
      <c r="AA52" s="13" t="s">
        <v>2073</v>
      </c>
      <c r="AB52" s="13" t="s">
        <v>1924</v>
      </c>
      <c r="AC52" s="211" t="s">
        <v>2415</v>
      </c>
      <c r="AD52" s="13" t="s">
        <v>2416</v>
      </c>
      <c r="AE52" s="69" t="s">
        <v>223</v>
      </c>
      <c r="AF52" s="13" t="s">
        <v>2418</v>
      </c>
      <c r="AG52" s="13" t="s">
        <v>2419</v>
      </c>
      <c r="AH52" s="13" t="s">
        <v>2420</v>
      </c>
      <c r="AI52" s="13" t="s">
        <v>2421</v>
      </c>
      <c r="AJ52" s="13" t="s">
        <v>2422</v>
      </c>
      <c r="AK52" s="13" t="s">
        <v>2416</v>
      </c>
      <c r="AL52" s="13" t="s">
        <v>2077</v>
      </c>
      <c r="AM52" s="13" t="s">
        <v>2077</v>
      </c>
      <c r="AN52" s="13" t="s">
        <v>2077</v>
      </c>
      <c r="AO52" s="13" t="s">
        <v>2077</v>
      </c>
      <c r="AP52" s="13" t="s">
        <v>2077</v>
      </c>
      <c r="AQ52" s="13" t="s">
        <v>2077</v>
      </c>
      <c r="AR52" s="13" t="s">
        <v>2418</v>
      </c>
      <c r="AS52" s="13" t="s">
        <v>2419</v>
      </c>
      <c r="AT52" s="13" t="s">
        <v>2420</v>
      </c>
      <c r="AU52" s="13" t="s">
        <v>2421</v>
      </c>
      <c r="AV52" s="13" t="s">
        <v>2422</v>
      </c>
      <c r="AW52" s="13" t="s">
        <v>2416</v>
      </c>
      <c r="AX52" s="13" t="s">
        <v>2073</v>
      </c>
      <c r="AY52" s="13" t="s">
        <v>2073</v>
      </c>
      <c r="AZ52" s="13" t="s">
        <v>2073</v>
      </c>
      <c r="BA52" s="13" t="s">
        <v>2073</v>
      </c>
      <c r="BB52" s="13" t="s">
        <v>2073</v>
      </c>
      <c r="BC52" s="13" t="s">
        <v>2073</v>
      </c>
    </row>
    <row r="53" spans="1:55" ht="15.75" customHeight="1">
      <c r="A53" s="13">
        <v>2000</v>
      </c>
      <c r="B53" s="7" t="s">
        <v>226</v>
      </c>
      <c r="C53" s="211" t="s">
        <v>2412</v>
      </c>
      <c r="D53" s="13" t="s">
        <v>225</v>
      </c>
      <c r="E53" s="13" t="s">
        <v>216</v>
      </c>
      <c r="F53" s="211" t="s">
        <v>2413</v>
      </c>
      <c r="G53" s="13" t="s">
        <v>2414</v>
      </c>
      <c r="H53" s="13" t="s">
        <v>2077</v>
      </c>
      <c r="I53" s="13" t="s">
        <v>2077</v>
      </c>
      <c r="J53" s="13" t="s">
        <v>2077</v>
      </c>
      <c r="K53" s="13" t="s">
        <v>2077</v>
      </c>
      <c r="L53" s="13" t="s">
        <v>2077</v>
      </c>
      <c r="M53" s="13" t="s">
        <v>2077</v>
      </c>
      <c r="N53" s="211" t="s">
        <v>2415</v>
      </c>
      <c r="O53" s="13" t="s">
        <v>2416</v>
      </c>
      <c r="P53" s="69" t="str">
        <f t="shared" ref="P53:Q53" si="51">D53</f>
        <v>PANELING CNC 4 KMI</v>
      </c>
      <c r="Q53" s="13" t="str">
        <f t="shared" si="51"/>
        <v>1PN</v>
      </c>
      <c r="R53" s="212" t="s">
        <v>23</v>
      </c>
      <c r="S53" s="213">
        <v>0.97916666666666663</v>
      </c>
      <c r="T53" s="13">
        <v>85</v>
      </c>
      <c r="U53" s="211" t="s">
        <v>83</v>
      </c>
      <c r="V53" s="13">
        <v>1</v>
      </c>
      <c r="W53" s="13" t="s">
        <v>2417</v>
      </c>
      <c r="X53" s="13" t="s">
        <v>1924</v>
      </c>
      <c r="Y53" s="13" t="s">
        <v>2073</v>
      </c>
      <c r="Z53" s="13" t="s">
        <v>2073</v>
      </c>
      <c r="AA53" s="13" t="s">
        <v>2073</v>
      </c>
      <c r="AB53" s="13" t="s">
        <v>1924</v>
      </c>
      <c r="AC53" s="211" t="s">
        <v>2415</v>
      </c>
      <c r="AD53" s="13" t="s">
        <v>2416</v>
      </c>
      <c r="AE53" s="69" t="s">
        <v>2269</v>
      </c>
      <c r="AF53" s="13" t="s">
        <v>2418</v>
      </c>
      <c r="AG53" s="13" t="s">
        <v>2419</v>
      </c>
      <c r="AH53" s="13" t="s">
        <v>2420</v>
      </c>
      <c r="AI53" s="13" t="s">
        <v>2421</v>
      </c>
      <c r="AJ53" s="13" t="s">
        <v>2422</v>
      </c>
      <c r="AK53" s="13" t="s">
        <v>2416</v>
      </c>
      <c r="AL53" s="13" t="s">
        <v>2077</v>
      </c>
      <c r="AM53" s="13" t="s">
        <v>2077</v>
      </c>
      <c r="AN53" s="13" t="s">
        <v>2077</v>
      </c>
      <c r="AO53" s="13" t="s">
        <v>2077</v>
      </c>
      <c r="AP53" s="13" t="s">
        <v>2077</v>
      </c>
      <c r="AQ53" s="13" t="s">
        <v>2077</v>
      </c>
      <c r="AR53" s="13" t="s">
        <v>2418</v>
      </c>
      <c r="AS53" s="13" t="s">
        <v>2419</v>
      </c>
      <c r="AT53" s="13" t="s">
        <v>2420</v>
      </c>
      <c r="AU53" s="13" t="s">
        <v>2421</v>
      </c>
      <c r="AV53" s="13" t="s">
        <v>2422</v>
      </c>
      <c r="AW53" s="13" t="s">
        <v>2416</v>
      </c>
      <c r="AX53" s="13" t="s">
        <v>2073</v>
      </c>
      <c r="AY53" s="13" t="s">
        <v>2073</v>
      </c>
      <c r="AZ53" s="13" t="s">
        <v>2073</v>
      </c>
      <c r="BA53" s="13" t="s">
        <v>2073</v>
      </c>
      <c r="BB53" s="13" t="s">
        <v>2073</v>
      </c>
      <c r="BC53" s="13" t="s">
        <v>2073</v>
      </c>
    </row>
    <row r="54" spans="1:55" ht="15.75" customHeight="1">
      <c r="A54" s="13">
        <v>2000</v>
      </c>
      <c r="B54" s="7" t="s">
        <v>230</v>
      </c>
      <c r="C54" s="211" t="s">
        <v>2412</v>
      </c>
      <c r="D54" s="13" t="s">
        <v>229</v>
      </c>
      <c r="E54" s="13" t="s">
        <v>216</v>
      </c>
      <c r="F54" s="211" t="s">
        <v>2413</v>
      </c>
      <c r="G54" s="13" t="s">
        <v>2414</v>
      </c>
      <c r="H54" s="13" t="s">
        <v>2077</v>
      </c>
      <c r="I54" s="13" t="s">
        <v>2077</v>
      </c>
      <c r="J54" s="13" t="s">
        <v>2077</v>
      </c>
      <c r="K54" s="13" t="s">
        <v>2077</v>
      </c>
      <c r="L54" s="13" t="s">
        <v>2077</v>
      </c>
      <c r="M54" s="13" t="s">
        <v>2077</v>
      </c>
      <c r="N54" s="211" t="s">
        <v>2415</v>
      </c>
      <c r="O54" s="13" t="s">
        <v>2416</v>
      </c>
      <c r="P54" s="69" t="str">
        <f t="shared" ref="P54:Q54" si="52">D54</f>
        <v>JOSTING   PANELING KMI</v>
      </c>
      <c r="Q54" s="13" t="str">
        <f t="shared" si="52"/>
        <v>1PN</v>
      </c>
      <c r="R54" s="212" t="s">
        <v>23</v>
      </c>
      <c r="S54" s="213">
        <v>0.97916666666666663</v>
      </c>
      <c r="T54" s="13">
        <v>85</v>
      </c>
      <c r="U54" s="211" t="s">
        <v>83</v>
      </c>
      <c r="V54" s="13">
        <v>1</v>
      </c>
      <c r="W54" s="13" t="s">
        <v>2417</v>
      </c>
      <c r="X54" s="13" t="s">
        <v>1924</v>
      </c>
      <c r="Y54" s="13" t="s">
        <v>2073</v>
      </c>
      <c r="Z54" s="13" t="s">
        <v>2073</v>
      </c>
      <c r="AA54" s="13" t="s">
        <v>2073</v>
      </c>
      <c r="AB54" s="13" t="s">
        <v>1924</v>
      </c>
      <c r="AC54" s="211" t="s">
        <v>2415</v>
      </c>
      <c r="AD54" s="13" t="s">
        <v>2416</v>
      </c>
      <c r="AE54" s="69" t="s">
        <v>231</v>
      </c>
      <c r="AF54" s="13" t="s">
        <v>2418</v>
      </c>
      <c r="AG54" s="13" t="s">
        <v>2419</v>
      </c>
      <c r="AH54" s="13" t="s">
        <v>2420</v>
      </c>
      <c r="AI54" s="13" t="s">
        <v>2421</v>
      </c>
      <c r="AJ54" s="13" t="s">
        <v>2422</v>
      </c>
      <c r="AK54" s="13" t="s">
        <v>2416</v>
      </c>
      <c r="AL54" s="13" t="s">
        <v>2077</v>
      </c>
      <c r="AM54" s="13" t="s">
        <v>2077</v>
      </c>
      <c r="AN54" s="13" t="s">
        <v>2077</v>
      </c>
      <c r="AO54" s="13" t="s">
        <v>2077</v>
      </c>
      <c r="AP54" s="13" t="s">
        <v>2077</v>
      </c>
      <c r="AQ54" s="13" t="s">
        <v>2077</v>
      </c>
      <c r="AR54" s="13" t="s">
        <v>2418</v>
      </c>
      <c r="AS54" s="13" t="s">
        <v>2419</v>
      </c>
      <c r="AT54" s="13" t="s">
        <v>2420</v>
      </c>
      <c r="AU54" s="13" t="s">
        <v>2421</v>
      </c>
      <c r="AV54" s="13" t="s">
        <v>2422</v>
      </c>
      <c r="AW54" s="13" t="s">
        <v>2416</v>
      </c>
      <c r="AX54" s="13" t="s">
        <v>2073</v>
      </c>
      <c r="AY54" s="13" t="s">
        <v>2073</v>
      </c>
      <c r="AZ54" s="13" t="s">
        <v>2073</v>
      </c>
      <c r="BA54" s="13" t="s">
        <v>2073</v>
      </c>
      <c r="BB54" s="13" t="s">
        <v>2073</v>
      </c>
      <c r="BC54" s="13" t="s">
        <v>2073</v>
      </c>
    </row>
    <row r="55" spans="1:55" ht="15.75" customHeight="1">
      <c r="A55" s="13">
        <v>2000</v>
      </c>
      <c r="B55" s="7" t="s">
        <v>234</v>
      </c>
      <c r="C55" s="211" t="s">
        <v>2412</v>
      </c>
      <c r="D55" s="13" t="s">
        <v>233</v>
      </c>
      <c r="E55" s="13" t="s">
        <v>216</v>
      </c>
      <c r="F55" s="211" t="s">
        <v>2413</v>
      </c>
      <c r="G55" s="13" t="s">
        <v>2414</v>
      </c>
      <c r="H55" s="13" t="s">
        <v>2077</v>
      </c>
      <c r="I55" s="13" t="s">
        <v>2077</v>
      </c>
      <c r="J55" s="13" t="s">
        <v>2077</v>
      </c>
      <c r="K55" s="13" t="s">
        <v>2077</v>
      </c>
      <c r="L55" s="13" t="s">
        <v>2077</v>
      </c>
      <c r="M55" s="13" t="s">
        <v>2077</v>
      </c>
      <c r="N55" s="211" t="s">
        <v>2415</v>
      </c>
      <c r="O55" s="13" t="s">
        <v>2416</v>
      </c>
      <c r="P55" s="69" t="str">
        <f t="shared" ref="P55:Q55" si="53">D55</f>
        <v>KUPER 1</v>
      </c>
      <c r="Q55" s="13" t="str">
        <f t="shared" si="53"/>
        <v>1PN</v>
      </c>
      <c r="R55" s="212" t="s">
        <v>23</v>
      </c>
      <c r="S55" s="212" t="s">
        <v>23</v>
      </c>
      <c r="T55" s="13">
        <v>85</v>
      </c>
      <c r="U55" s="211" t="s">
        <v>236</v>
      </c>
      <c r="V55" s="13">
        <v>1</v>
      </c>
      <c r="W55" s="13" t="s">
        <v>2417</v>
      </c>
      <c r="X55" s="13" t="s">
        <v>1924</v>
      </c>
      <c r="Y55" s="13" t="s">
        <v>2073</v>
      </c>
      <c r="Z55" s="13" t="s">
        <v>2073</v>
      </c>
      <c r="AA55" s="13" t="s">
        <v>2073</v>
      </c>
      <c r="AB55" s="13" t="s">
        <v>1924</v>
      </c>
      <c r="AC55" s="211" t="s">
        <v>2415</v>
      </c>
      <c r="AD55" s="13" t="s">
        <v>2416</v>
      </c>
      <c r="AE55" s="69" t="s">
        <v>235</v>
      </c>
      <c r="AF55" s="13" t="s">
        <v>2418</v>
      </c>
      <c r="AG55" s="13" t="s">
        <v>2419</v>
      </c>
      <c r="AH55" s="13" t="s">
        <v>2420</v>
      </c>
      <c r="AI55" s="13" t="s">
        <v>2421</v>
      </c>
      <c r="AJ55" s="13" t="s">
        <v>2422</v>
      </c>
      <c r="AK55" s="13" t="s">
        <v>2416</v>
      </c>
      <c r="AL55" s="13" t="s">
        <v>2077</v>
      </c>
      <c r="AM55" s="13" t="s">
        <v>2077</v>
      </c>
      <c r="AN55" s="13" t="s">
        <v>2077</v>
      </c>
      <c r="AO55" s="13" t="s">
        <v>2077</v>
      </c>
      <c r="AP55" s="13" t="s">
        <v>2077</v>
      </c>
      <c r="AQ55" s="13" t="s">
        <v>2077</v>
      </c>
      <c r="AR55" s="13" t="s">
        <v>2418</v>
      </c>
      <c r="AS55" s="13" t="s">
        <v>2419</v>
      </c>
      <c r="AT55" s="13" t="s">
        <v>2420</v>
      </c>
      <c r="AU55" s="13" t="s">
        <v>2421</v>
      </c>
      <c r="AV55" s="13" t="s">
        <v>2422</v>
      </c>
      <c r="AW55" s="13" t="s">
        <v>2416</v>
      </c>
      <c r="AX55" s="13" t="s">
        <v>2073</v>
      </c>
      <c r="AY55" s="13" t="s">
        <v>2073</v>
      </c>
      <c r="AZ55" s="13" t="s">
        <v>2073</v>
      </c>
      <c r="BA55" s="13" t="s">
        <v>2073</v>
      </c>
      <c r="BB55" s="13" t="s">
        <v>2073</v>
      </c>
      <c r="BC55" s="13" t="s">
        <v>2073</v>
      </c>
    </row>
    <row r="56" spans="1:55" ht="15.75" customHeight="1">
      <c r="A56" s="13">
        <v>2000</v>
      </c>
      <c r="B56" s="7" t="s">
        <v>239</v>
      </c>
      <c r="C56" s="211" t="s">
        <v>2412</v>
      </c>
      <c r="D56" s="13" t="s">
        <v>238</v>
      </c>
      <c r="E56" s="13" t="s">
        <v>216</v>
      </c>
      <c r="F56" s="211" t="s">
        <v>2413</v>
      </c>
      <c r="G56" s="13" t="s">
        <v>2414</v>
      </c>
      <c r="H56" s="13" t="s">
        <v>2077</v>
      </c>
      <c r="I56" s="13" t="s">
        <v>2077</v>
      </c>
      <c r="J56" s="13" t="s">
        <v>2077</v>
      </c>
      <c r="K56" s="13" t="s">
        <v>2077</v>
      </c>
      <c r="L56" s="13" t="s">
        <v>2077</v>
      </c>
      <c r="M56" s="13" t="s">
        <v>2077</v>
      </c>
      <c r="N56" s="211" t="s">
        <v>2415</v>
      </c>
      <c r="O56" s="13" t="s">
        <v>2416</v>
      </c>
      <c r="P56" s="69" t="str">
        <f t="shared" ref="P56:Q56" si="54">D56</f>
        <v>KUPER 2</v>
      </c>
      <c r="Q56" s="13" t="str">
        <f t="shared" si="54"/>
        <v>1PN</v>
      </c>
      <c r="R56" s="212" t="s">
        <v>23</v>
      </c>
      <c r="S56" s="212" t="s">
        <v>23</v>
      </c>
      <c r="T56" s="13">
        <v>85</v>
      </c>
      <c r="U56" s="211" t="s">
        <v>236</v>
      </c>
      <c r="V56" s="13">
        <v>1</v>
      </c>
      <c r="W56" s="13" t="s">
        <v>2417</v>
      </c>
      <c r="X56" s="13" t="s">
        <v>1924</v>
      </c>
      <c r="Y56" s="13" t="s">
        <v>2073</v>
      </c>
      <c r="Z56" s="13" t="s">
        <v>2073</v>
      </c>
      <c r="AA56" s="13" t="s">
        <v>2073</v>
      </c>
      <c r="AB56" s="13" t="s">
        <v>1924</v>
      </c>
      <c r="AC56" s="211" t="s">
        <v>2415</v>
      </c>
      <c r="AD56" s="13" t="s">
        <v>2416</v>
      </c>
      <c r="AE56" s="69" t="s">
        <v>235</v>
      </c>
      <c r="AF56" s="13" t="s">
        <v>2418</v>
      </c>
      <c r="AG56" s="13" t="s">
        <v>2419</v>
      </c>
      <c r="AH56" s="13" t="s">
        <v>2420</v>
      </c>
      <c r="AI56" s="13" t="s">
        <v>2421</v>
      </c>
      <c r="AJ56" s="13" t="s">
        <v>2422</v>
      </c>
      <c r="AK56" s="13" t="s">
        <v>2416</v>
      </c>
      <c r="AL56" s="13" t="s">
        <v>2077</v>
      </c>
      <c r="AM56" s="13" t="s">
        <v>2077</v>
      </c>
      <c r="AN56" s="13" t="s">
        <v>2077</v>
      </c>
      <c r="AO56" s="13" t="s">
        <v>2077</v>
      </c>
      <c r="AP56" s="13" t="s">
        <v>2077</v>
      </c>
      <c r="AQ56" s="13" t="s">
        <v>2077</v>
      </c>
      <c r="AR56" s="13" t="s">
        <v>2418</v>
      </c>
      <c r="AS56" s="13" t="s">
        <v>2419</v>
      </c>
      <c r="AT56" s="13" t="s">
        <v>2420</v>
      </c>
      <c r="AU56" s="13" t="s">
        <v>2421</v>
      </c>
      <c r="AV56" s="13" t="s">
        <v>2422</v>
      </c>
      <c r="AW56" s="13" t="s">
        <v>2416</v>
      </c>
      <c r="AX56" s="13" t="s">
        <v>2073</v>
      </c>
      <c r="AY56" s="13" t="s">
        <v>2073</v>
      </c>
      <c r="AZ56" s="13" t="s">
        <v>2073</v>
      </c>
      <c r="BA56" s="13" t="s">
        <v>2073</v>
      </c>
      <c r="BB56" s="13" t="s">
        <v>2073</v>
      </c>
      <c r="BC56" s="13" t="s">
        <v>2073</v>
      </c>
    </row>
    <row r="57" spans="1:55" ht="15.75" customHeight="1">
      <c r="A57" s="13">
        <v>2000</v>
      </c>
      <c r="B57" s="7" t="s">
        <v>242</v>
      </c>
      <c r="C57" s="211" t="s">
        <v>2412</v>
      </c>
      <c r="D57" s="13" t="s">
        <v>241</v>
      </c>
      <c r="E57" s="13" t="s">
        <v>216</v>
      </c>
      <c r="F57" s="211" t="s">
        <v>2413</v>
      </c>
      <c r="G57" s="13" t="s">
        <v>2414</v>
      </c>
      <c r="H57" s="13" t="s">
        <v>2077</v>
      </c>
      <c r="I57" s="13" t="s">
        <v>2077</v>
      </c>
      <c r="J57" s="13" t="s">
        <v>2077</v>
      </c>
      <c r="K57" s="13" t="s">
        <v>2077</v>
      </c>
      <c r="L57" s="13" t="s">
        <v>2077</v>
      </c>
      <c r="M57" s="13" t="s">
        <v>2077</v>
      </c>
      <c r="N57" s="211" t="s">
        <v>2415</v>
      </c>
      <c r="O57" s="13" t="s">
        <v>2416</v>
      </c>
      <c r="P57" s="69" t="str">
        <f t="shared" ref="P57:Q57" si="55">D57</f>
        <v>KUPER 3 ( BENANG )</v>
      </c>
      <c r="Q57" s="13" t="str">
        <f t="shared" si="55"/>
        <v>1PN</v>
      </c>
      <c r="R57" s="212" t="s">
        <v>23</v>
      </c>
      <c r="S57" s="213">
        <v>0.64583333333333337</v>
      </c>
      <c r="T57" s="13">
        <v>85</v>
      </c>
      <c r="U57" s="211" t="s">
        <v>24</v>
      </c>
      <c r="V57" s="13">
        <v>1</v>
      </c>
      <c r="W57" s="13" t="s">
        <v>2417</v>
      </c>
      <c r="X57" s="13" t="s">
        <v>1924</v>
      </c>
      <c r="Y57" s="13" t="s">
        <v>2073</v>
      </c>
      <c r="Z57" s="13" t="s">
        <v>2073</v>
      </c>
      <c r="AA57" s="13" t="s">
        <v>2073</v>
      </c>
      <c r="AB57" s="13" t="s">
        <v>1924</v>
      </c>
      <c r="AC57" s="211" t="s">
        <v>2415</v>
      </c>
      <c r="AD57" s="13" t="s">
        <v>2416</v>
      </c>
      <c r="AE57" s="69" t="s">
        <v>243</v>
      </c>
      <c r="AF57" s="13" t="s">
        <v>2418</v>
      </c>
      <c r="AG57" s="13" t="s">
        <v>2419</v>
      </c>
      <c r="AH57" s="13" t="s">
        <v>2420</v>
      </c>
      <c r="AI57" s="13" t="s">
        <v>2421</v>
      </c>
      <c r="AJ57" s="13" t="s">
        <v>2422</v>
      </c>
      <c r="AK57" s="13" t="s">
        <v>2416</v>
      </c>
      <c r="AL57" s="13" t="s">
        <v>2077</v>
      </c>
      <c r="AM57" s="13" t="s">
        <v>2077</v>
      </c>
      <c r="AN57" s="13" t="s">
        <v>2077</v>
      </c>
      <c r="AO57" s="13" t="s">
        <v>2077</v>
      </c>
      <c r="AP57" s="13" t="s">
        <v>2077</v>
      </c>
      <c r="AQ57" s="13" t="s">
        <v>2077</v>
      </c>
      <c r="AR57" s="13" t="s">
        <v>2418</v>
      </c>
      <c r="AS57" s="13" t="s">
        <v>2419</v>
      </c>
      <c r="AT57" s="13" t="s">
        <v>2420</v>
      </c>
      <c r="AU57" s="13" t="s">
        <v>2421</v>
      </c>
      <c r="AV57" s="13" t="s">
        <v>2422</v>
      </c>
      <c r="AW57" s="13" t="s">
        <v>2416</v>
      </c>
      <c r="AX57" s="13" t="s">
        <v>2073</v>
      </c>
      <c r="AY57" s="13" t="s">
        <v>2073</v>
      </c>
      <c r="AZ57" s="13" t="s">
        <v>2073</v>
      </c>
      <c r="BA57" s="13" t="s">
        <v>2073</v>
      </c>
      <c r="BB57" s="13" t="s">
        <v>2073</v>
      </c>
      <c r="BC57" s="13" t="s">
        <v>2073</v>
      </c>
    </row>
    <row r="58" spans="1:55" ht="15.75" customHeight="1">
      <c r="A58" s="13">
        <v>2000</v>
      </c>
      <c r="B58" s="7" t="s">
        <v>246</v>
      </c>
      <c r="C58" s="211" t="s">
        <v>2412</v>
      </c>
      <c r="D58" s="13" t="s">
        <v>245</v>
      </c>
      <c r="E58" s="13" t="s">
        <v>216</v>
      </c>
      <c r="F58" s="211" t="s">
        <v>2413</v>
      </c>
      <c r="G58" s="13" t="s">
        <v>2414</v>
      </c>
      <c r="H58" s="13" t="s">
        <v>2077</v>
      </c>
      <c r="I58" s="13" t="s">
        <v>2077</v>
      </c>
      <c r="J58" s="13" t="s">
        <v>2077</v>
      </c>
      <c r="K58" s="13" t="s">
        <v>2077</v>
      </c>
      <c r="L58" s="13" t="s">
        <v>2077</v>
      </c>
      <c r="M58" s="13" t="s">
        <v>2077</v>
      </c>
      <c r="N58" s="211" t="s">
        <v>2415</v>
      </c>
      <c r="O58" s="13" t="s">
        <v>2416</v>
      </c>
      <c r="P58" s="69" t="str">
        <f t="shared" ref="P58:Q58" si="56">D58</f>
        <v>SINGLE RIP</v>
      </c>
      <c r="Q58" s="13" t="str">
        <f t="shared" si="56"/>
        <v>1PN</v>
      </c>
      <c r="R58" s="212" t="s">
        <v>23</v>
      </c>
      <c r="S58" s="213">
        <v>0.64583333333333337</v>
      </c>
      <c r="T58" s="13">
        <v>85</v>
      </c>
      <c r="U58" s="211" t="s">
        <v>24</v>
      </c>
      <c r="V58" s="13">
        <v>1</v>
      </c>
      <c r="W58" s="13" t="s">
        <v>2417</v>
      </c>
      <c r="X58" s="13" t="s">
        <v>1924</v>
      </c>
      <c r="Y58" s="13" t="s">
        <v>2073</v>
      </c>
      <c r="Z58" s="13" t="s">
        <v>2073</v>
      </c>
      <c r="AA58" s="13" t="s">
        <v>2073</v>
      </c>
      <c r="AB58" s="13" t="s">
        <v>1924</v>
      </c>
      <c r="AC58" s="211" t="s">
        <v>2415</v>
      </c>
      <c r="AD58" s="13" t="s">
        <v>2416</v>
      </c>
      <c r="AE58" s="69" t="s">
        <v>243</v>
      </c>
      <c r="AF58" s="13" t="s">
        <v>2418</v>
      </c>
      <c r="AG58" s="13" t="s">
        <v>2419</v>
      </c>
      <c r="AH58" s="13" t="s">
        <v>2420</v>
      </c>
      <c r="AI58" s="13" t="s">
        <v>2421</v>
      </c>
      <c r="AJ58" s="13" t="s">
        <v>2422</v>
      </c>
      <c r="AK58" s="13" t="s">
        <v>2416</v>
      </c>
      <c r="AL58" s="13" t="s">
        <v>2077</v>
      </c>
      <c r="AM58" s="13" t="s">
        <v>2077</v>
      </c>
      <c r="AN58" s="13" t="s">
        <v>2077</v>
      </c>
      <c r="AO58" s="13" t="s">
        <v>2077</v>
      </c>
      <c r="AP58" s="13" t="s">
        <v>2077</v>
      </c>
      <c r="AQ58" s="13" t="s">
        <v>2077</v>
      </c>
      <c r="AR58" s="13" t="s">
        <v>2418</v>
      </c>
      <c r="AS58" s="13" t="s">
        <v>2419</v>
      </c>
      <c r="AT58" s="13" t="s">
        <v>2420</v>
      </c>
      <c r="AU58" s="13" t="s">
        <v>2421</v>
      </c>
      <c r="AV58" s="13" t="s">
        <v>2422</v>
      </c>
      <c r="AW58" s="13" t="s">
        <v>2416</v>
      </c>
      <c r="AX58" s="13" t="s">
        <v>2073</v>
      </c>
      <c r="AY58" s="13" t="s">
        <v>2073</v>
      </c>
      <c r="AZ58" s="13" t="s">
        <v>2073</v>
      </c>
      <c r="BA58" s="13" t="s">
        <v>2073</v>
      </c>
      <c r="BB58" s="13" t="s">
        <v>2073</v>
      </c>
      <c r="BC58" s="13" t="s">
        <v>2073</v>
      </c>
    </row>
    <row r="59" spans="1:55" ht="15.75" customHeight="1">
      <c r="A59" s="13">
        <v>2000</v>
      </c>
      <c r="B59" s="7" t="s">
        <v>250</v>
      </c>
      <c r="C59" s="211" t="s">
        <v>2412</v>
      </c>
      <c r="D59" s="13" t="s">
        <v>249</v>
      </c>
      <c r="E59" s="13" t="s">
        <v>216</v>
      </c>
      <c r="F59" s="211" t="s">
        <v>2413</v>
      </c>
      <c r="G59" s="13" t="s">
        <v>2414</v>
      </c>
      <c r="H59" s="13" t="s">
        <v>2077</v>
      </c>
      <c r="I59" s="13" t="s">
        <v>2077</v>
      </c>
      <c r="J59" s="13" t="s">
        <v>2077</v>
      </c>
      <c r="K59" s="13" t="s">
        <v>2077</v>
      </c>
      <c r="L59" s="13" t="s">
        <v>2077</v>
      </c>
      <c r="M59" s="13" t="s">
        <v>2077</v>
      </c>
      <c r="N59" s="211" t="s">
        <v>2415</v>
      </c>
      <c r="O59" s="13" t="s">
        <v>2416</v>
      </c>
      <c r="P59" s="69" t="str">
        <f t="shared" ref="P59:Q59" si="57">D59</f>
        <v>LASER 1  KMI</v>
      </c>
      <c r="Q59" s="13" t="str">
        <f t="shared" si="57"/>
        <v>1PN</v>
      </c>
      <c r="R59" s="212" t="s">
        <v>23</v>
      </c>
      <c r="S59" s="212" t="s">
        <v>252</v>
      </c>
      <c r="T59" s="13">
        <v>85</v>
      </c>
      <c r="U59" s="211" t="s">
        <v>83</v>
      </c>
      <c r="V59" s="13">
        <v>1</v>
      </c>
      <c r="W59" s="13" t="s">
        <v>2417</v>
      </c>
      <c r="X59" s="13" t="s">
        <v>1924</v>
      </c>
      <c r="Y59" s="13" t="s">
        <v>2073</v>
      </c>
      <c r="Z59" s="13" t="s">
        <v>2073</v>
      </c>
      <c r="AA59" s="13" t="s">
        <v>2073</v>
      </c>
      <c r="AB59" s="13" t="s">
        <v>1924</v>
      </c>
      <c r="AC59" s="211" t="s">
        <v>2415</v>
      </c>
      <c r="AD59" s="13" t="s">
        <v>2416</v>
      </c>
      <c r="AE59" s="69">
        <v>1111034003</v>
      </c>
      <c r="AF59" s="13" t="s">
        <v>2418</v>
      </c>
      <c r="AG59" s="13" t="s">
        <v>2419</v>
      </c>
      <c r="AH59" s="13" t="s">
        <v>2420</v>
      </c>
      <c r="AI59" s="13" t="s">
        <v>2421</v>
      </c>
      <c r="AJ59" s="13" t="s">
        <v>2422</v>
      </c>
      <c r="AK59" s="13" t="s">
        <v>2416</v>
      </c>
      <c r="AL59" s="13" t="s">
        <v>2077</v>
      </c>
      <c r="AM59" s="13" t="s">
        <v>2077</v>
      </c>
      <c r="AN59" s="13" t="s">
        <v>2077</v>
      </c>
      <c r="AO59" s="13" t="s">
        <v>2077</v>
      </c>
      <c r="AP59" s="13" t="s">
        <v>2077</v>
      </c>
      <c r="AQ59" s="13" t="s">
        <v>2077</v>
      </c>
      <c r="AR59" s="13" t="s">
        <v>2418</v>
      </c>
      <c r="AS59" s="13" t="s">
        <v>2419</v>
      </c>
      <c r="AT59" s="13" t="s">
        <v>2420</v>
      </c>
      <c r="AU59" s="13" t="s">
        <v>2421</v>
      </c>
      <c r="AV59" s="13" t="s">
        <v>2422</v>
      </c>
      <c r="AW59" s="13" t="s">
        <v>2416</v>
      </c>
      <c r="AX59" s="13" t="s">
        <v>2073</v>
      </c>
      <c r="AY59" s="13" t="s">
        <v>2073</v>
      </c>
      <c r="AZ59" s="13" t="s">
        <v>2073</v>
      </c>
      <c r="BA59" s="13" t="s">
        <v>2073</v>
      </c>
      <c r="BB59" s="13" t="s">
        <v>2073</v>
      </c>
      <c r="BC59" s="13" t="s">
        <v>2073</v>
      </c>
    </row>
    <row r="60" spans="1:55" ht="15.75" customHeight="1">
      <c r="A60" s="13">
        <v>2000</v>
      </c>
      <c r="B60" s="7" t="s">
        <v>255</v>
      </c>
      <c r="C60" s="211" t="s">
        <v>2412</v>
      </c>
      <c r="D60" s="13" t="s">
        <v>254</v>
      </c>
      <c r="E60" s="13" t="s">
        <v>216</v>
      </c>
      <c r="F60" s="211" t="s">
        <v>2413</v>
      </c>
      <c r="G60" s="13" t="s">
        <v>2414</v>
      </c>
      <c r="H60" s="13" t="s">
        <v>2077</v>
      </c>
      <c r="I60" s="13" t="s">
        <v>2077</v>
      </c>
      <c r="J60" s="13" t="s">
        <v>2077</v>
      </c>
      <c r="K60" s="13" t="s">
        <v>2077</v>
      </c>
      <c r="L60" s="13" t="s">
        <v>2077</v>
      </c>
      <c r="M60" s="13" t="s">
        <v>2077</v>
      </c>
      <c r="N60" s="211" t="s">
        <v>2415</v>
      </c>
      <c r="O60" s="13" t="s">
        <v>2416</v>
      </c>
      <c r="P60" s="69" t="str">
        <f t="shared" ref="P60:Q60" si="58">D60</f>
        <v>MANUAL MOTIF JOINT</v>
      </c>
      <c r="Q60" s="13" t="str">
        <f t="shared" si="58"/>
        <v>1PN</v>
      </c>
      <c r="R60" s="212" t="s">
        <v>23</v>
      </c>
      <c r="S60" s="212" t="s">
        <v>252</v>
      </c>
      <c r="T60" s="13">
        <v>85</v>
      </c>
      <c r="U60" s="211" t="s">
        <v>83</v>
      </c>
      <c r="V60" s="13">
        <v>1</v>
      </c>
      <c r="W60" s="13" t="s">
        <v>2417</v>
      </c>
      <c r="X60" s="13" t="s">
        <v>1924</v>
      </c>
      <c r="Y60" s="13" t="s">
        <v>2073</v>
      </c>
      <c r="Z60" s="13" t="s">
        <v>2073</v>
      </c>
      <c r="AA60" s="13" t="s">
        <v>2073</v>
      </c>
      <c r="AB60" s="13" t="s">
        <v>1924</v>
      </c>
      <c r="AC60" s="211" t="s">
        <v>2415</v>
      </c>
      <c r="AD60" s="13" t="s">
        <v>2416</v>
      </c>
      <c r="AE60" s="69" t="s">
        <v>2250</v>
      </c>
      <c r="AF60" s="13" t="s">
        <v>2418</v>
      </c>
      <c r="AG60" s="13" t="s">
        <v>2419</v>
      </c>
      <c r="AH60" s="13" t="s">
        <v>2420</v>
      </c>
      <c r="AI60" s="13" t="s">
        <v>2421</v>
      </c>
      <c r="AJ60" s="13" t="s">
        <v>2422</v>
      </c>
      <c r="AK60" s="13" t="s">
        <v>2416</v>
      </c>
      <c r="AL60" s="13" t="s">
        <v>2077</v>
      </c>
      <c r="AM60" s="13" t="s">
        <v>2077</v>
      </c>
      <c r="AN60" s="13" t="s">
        <v>2077</v>
      </c>
      <c r="AO60" s="13" t="s">
        <v>2077</v>
      </c>
      <c r="AP60" s="13" t="s">
        <v>2077</v>
      </c>
      <c r="AQ60" s="13" t="s">
        <v>2077</v>
      </c>
      <c r="AR60" s="13" t="s">
        <v>2418</v>
      </c>
      <c r="AS60" s="13" t="s">
        <v>2419</v>
      </c>
      <c r="AT60" s="13" t="s">
        <v>2420</v>
      </c>
      <c r="AU60" s="13" t="s">
        <v>2421</v>
      </c>
      <c r="AV60" s="13" t="s">
        <v>2422</v>
      </c>
      <c r="AW60" s="13" t="s">
        <v>2416</v>
      </c>
      <c r="AX60" s="13" t="s">
        <v>2073</v>
      </c>
      <c r="AY60" s="13" t="s">
        <v>2073</v>
      </c>
      <c r="AZ60" s="13" t="s">
        <v>2073</v>
      </c>
      <c r="BA60" s="13" t="s">
        <v>2073</v>
      </c>
      <c r="BB60" s="13" t="s">
        <v>2073</v>
      </c>
      <c r="BC60" s="13" t="s">
        <v>2073</v>
      </c>
    </row>
    <row r="61" spans="1:55" ht="15.75" customHeight="1">
      <c r="A61" s="13">
        <v>2000</v>
      </c>
      <c r="B61" s="7" t="s">
        <v>261</v>
      </c>
      <c r="C61" s="211" t="s">
        <v>2412</v>
      </c>
      <c r="D61" s="13" t="s">
        <v>260</v>
      </c>
      <c r="E61" s="13" t="s">
        <v>216</v>
      </c>
      <c r="F61" s="211" t="s">
        <v>2413</v>
      </c>
      <c r="G61" s="13" t="s">
        <v>2414</v>
      </c>
      <c r="H61" s="13" t="s">
        <v>2077</v>
      </c>
      <c r="I61" s="13" t="s">
        <v>2077</v>
      </c>
      <c r="J61" s="13" t="s">
        <v>2077</v>
      </c>
      <c r="K61" s="13" t="s">
        <v>2077</v>
      </c>
      <c r="L61" s="13" t="s">
        <v>2077</v>
      </c>
      <c r="M61" s="13" t="s">
        <v>2077</v>
      </c>
      <c r="N61" s="211" t="s">
        <v>2415</v>
      </c>
      <c r="O61" s="13" t="s">
        <v>2416</v>
      </c>
      <c r="P61" s="69" t="str">
        <f t="shared" ref="P61:Q61" si="59">D61</f>
        <v>NHF VINITA   KMI</v>
      </c>
      <c r="Q61" s="13" t="str">
        <f t="shared" si="59"/>
        <v>1PN</v>
      </c>
      <c r="R61" s="212" t="s">
        <v>23</v>
      </c>
      <c r="S61" s="213">
        <v>0.97916666666666663</v>
      </c>
      <c r="T61" s="13">
        <v>85</v>
      </c>
      <c r="U61" s="211" t="s">
        <v>83</v>
      </c>
      <c r="V61" s="13">
        <v>1</v>
      </c>
      <c r="W61" s="13" t="s">
        <v>2417</v>
      </c>
      <c r="X61" s="13" t="s">
        <v>1924</v>
      </c>
      <c r="Y61" s="13" t="s">
        <v>2073</v>
      </c>
      <c r="Z61" s="13" t="s">
        <v>2073</v>
      </c>
      <c r="AA61" s="13" t="s">
        <v>2073</v>
      </c>
      <c r="AB61" s="13" t="s">
        <v>1924</v>
      </c>
      <c r="AC61" s="211" t="s">
        <v>2415</v>
      </c>
      <c r="AD61" s="13" t="s">
        <v>2416</v>
      </c>
      <c r="AE61" s="69" t="s">
        <v>262</v>
      </c>
      <c r="AF61" s="13" t="s">
        <v>2418</v>
      </c>
      <c r="AG61" s="13" t="s">
        <v>2419</v>
      </c>
      <c r="AH61" s="13" t="s">
        <v>2420</v>
      </c>
      <c r="AI61" s="13" t="s">
        <v>2421</v>
      </c>
      <c r="AJ61" s="13" t="s">
        <v>2422</v>
      </c>
      <c r="AK61" s="13" t="s">
        <v>2416</v>
      </c>
      <c r="AL61" s="13" t="s">
        <v>2077</v>
      </c>
      <c r="AM61" s="13" t="s">
        <v>2077</v>
      </c>
      <c r="AN61" s="13" t="s">
        <v>2077</v>
      </c>
      <c r="AO61" s="13" t="s">
        <v>2077</v>
      </c>
      <c r="AP61" s="13" t="s">
        <v>2077</v>
      </c>
      <c r="AQ61" s="13" t="s">
        <v>2077</v>
      </c>
      <c r="AR61" s="13" t="s">
        <v>2418</v>
      </c>
      <c r="AS61" s="13" t="s">
        <v>2419</v>
      </c>
      <c r="AT61" s="13" t="s">
        <v>2420</v>
      </c>
      <c r="AU61" s="13" t="s">
        <v>2421</v>
      </c>
      <c r="AV61" s="13" t="s">
        <v>2422</v>
      </c>
      <c r="AW61" s="13" t="s">
        <v>2416</v>
      </c>
      <c r="AX61" s="13" t="s">
        <v>2073</v>
      </c>
      <c r="AY61" s="13" t="s">
        <v>2073</v>
      </c>
      <c r="AZ61" s="13" t="s">
        <v>2073</v>
      </c>
      <c r="BA61" s="13" t="s">
        <v>2073</v>
      </c>
      <c r="BB61" s="13" t="s">
        <v>2073</v>
      </c>
      <c r="BC61" s="13" t="s">
        <v>2073</v>
      </c>
    </row>
    <row r="62" spans="1:55" ht="15.75" customHeight="1">
      <c r="A62" s="13">
        <v>2000</v>
      </c>
      <c r="B62" s="7" t="s">
        <v>265</v>
      </c>
      <c r="C62" s="211" t="s">
        <v>2412</v>
      </c>
      <c r="D62" s="13" t="s">
        <v>264</v>
      </c>
      <c r="E62" s="13" t="s">
        <v>216</v>
      </c>
      <c r="F62" s="211" t="s">
        <v>2413</v>
      </c>
      <c r="G62" s="13" t="s">
        <v>2414</v>
      </c>
      <c r="H62" s="13" t="s">
        <v>2077</v>
      </c>
      <c r="I62" s="13" t="s">
        <v>2077</v>
      </c>
      <c r="J62" s="13" t="s">
        <v>2077</v>
      </c>
      <c r="K62" s="13" t="s">
        <v>2077</v>
      </c>
      <c r="L62" s="13" t="s">
        <v>2077</v>
      </c>
      <c r="M62" s="13" t="s">
        <v>2077</v>
      </c>
      <c r="N62" s="211" t="s">
        <v>2415</v>
      </c>
      <c r="O62" s="13" t="s">
        <v>2416</v>
      </c>
      <c r="P62" s="69" t="str">
        <f t="shared" ref="P62:Q62" si="60">D62</f>
        <v>COOLPRESS  KMI</v>
      </c>
      <c r="Q62" s="13" t="str">
        <f t="shared" si="60"/>
        <v>1PN</v>
      </c>
      <c r="R62" s="212" t="s">
        <v>23</v>
      </c>
      <c r="S62" s="213">
        <v>0.64583333333333337</v>
      </c>
      <c r="T62" s="13">
        <v>85</v>
      </c>
      <c r="U62" s="211" t="s">
        <v>24</v>
      </c>
      <c r="V62" s="13">
        <v>1</v>
      </c>
      <c r="W62" s="13" t="s">
        <v>2417</v>
      </c>
      <c r="X62" s="13" t="s">
        <v>1924</v>
      </c>
      <c r="Y62" s="13" t="s">
        <v>2073</v>
      </c>
      <c r="Z62" s="13" t="s">
        <v>2073</v>
      </c>
      <c r="AA62" s="13" t="s">
        <v>2073</v>
      </c>
      <c r="AB62" s="13" t="s">
        <v>1924</v>
      </c>
      <c r="AC62" s="211" t="s">
        <v>2415</v>
      </c>
      <c r="AD62" s="13" t="s">
        <v>2416</v>
      </c>
      <c r="AE62" s="69" t="s">
        <v>266</v>
      </c>
      <c r="AF62" s="13" t="s">
        <v>2418</v>
      </c>
      <c r="AG62" s="13" t="s">
        <v>2419</v>
      </c>
      <c r="AH62" s="13" t="s">
        <v>2420</v>
      </c>
      <c r="AI62" s="13" t="s">
        <v>2421</v>
      </c>
      <c r="AJ62" s="13" t="s">
        <v>2422</v>
      </c>
      <c r="AK62" s="13" t="s">
        <v>2416</v>
      </c>
      <c r="AL62" s="13" t="s">
        <v>2077</v>
      </c>
      <c r="AM62" s="13" t="s">
        <v>2077</v>
      </c>
      <c r="AN62" s="13" t="s">
        <v>2077</v>
      </c>
      <c r="AO62" s="13" t="s">
        <v>2077</v>
      </c>
      <c r="AP62" s="13" t="s">
        <v>2077</v>
      </c>
      <c r="AQ62" s="13" t="s">
        <v>2077</v>
      </c>
      <c r="AR62" s="13" t="s">
        <v>2418</v>
      </c>
      <c r="AS62" s="13" t="s">
        <v>2419</v>
      </c>
      <c r="AT62" s="13" t="s">
        <v>2420</v>
      </c>
      <c r="AU62" s="13" t="s">
        <v>2421</v>
      </c>
      <c r="AV62" s="13" t="s">
        <v>2422</v>
      </c>
      <c r="AW62" s="13" t="s">
        <v>2416</v>
      </c>
      <c r="AX62" s="13" t="s">
        <v>2073</v>
      </c>
      <c r="AY62" s="13" t="s">
        <v>2073</v>
      </c>
      <c r="AZ62" s="13" t="s">
        <v>2073</v>
      </c>
      <c r="BA62" s="13" t="s">
        <v>2073</v>
      </c>
      <c r="BB62" s="13" t="s">
        <v>2073</v>
      </c>
      <c r="BC62" s="13" t="s">
        <v>2073</v>
      </c>
    </row>
    <row r="63" spans="1:55" ht="15.75" customHeight="1">
      <c r="A63" s="13">
        <v>2000</v>
      </c>
      <c r="B63" s="7" t="s">
        <v>269</v>
      </c>
      <c r="C63" s="211" t="s">
        <v>2412</v>
      </c>
      <c r="D63" s="13" t="s">
        <v>268</v>
      </c>
      <c r="E63" s="13" t="s">
        <v>216</v>
      </c>
      <c r="F63" s="211" t="s">
        <v>2413</v>
      </c>
      <c r="G63" s="13" t="s">
        <v>2414</v>
      </c>
      <c r="H63" s="13" t="s">
        <v>2077</v>
      </c>
      <c r="I63" s="13" t="s">
        <v>2077</v>
      </c>
      <c r="J63" s="13" t="s">
        <v>2077</v>
      </c>
      <c r="K63" s="13" t="s">
        <v>2077</v>
      </c>
      <c r="L63" s="13" t="s">
        <v>2077</v>
      </c>
      <c r="M63" s="13" t="s">
        <v>2077</v>
      </c>
      <c r="N63" s="211" t="s">
        <v>2415</v>
      </c>
      <c r="O63" s="13" t="s">
        <v>2416</v>
      </c>
      <c r="P63" s="69" t="str">
        <f t="shared" ref="P63:Q63" si="61">D63</f>
        <v>PROSES PANEL SENNERSKOV  KMI</v>
      </c>
      <c r="Q63" s="13" t="str">
        <f t="shared" si="61"/>
        <v>1PN</v>
      </c>
      <c r="R63" s="212" t="s">
        <v>23</v>
      </c>
      <c r="S63" s="213">
        <v>0.64583333333333337</v>
      </c>
      <c r="T63" s="13">
        <v>85</v>
      </c>
      <c r="U63" s="211" t="s">
        <v>24</v>
      </c>
      <c r="V63" s="13">
        <v>1</v>
      </c>
      <c r="W63" s="13" t="s">
        <v>2417</v>
      </c>
      <c r="X63" s="13" t="s">
        <v>1924</v>
      </c>
      <c r="Y63" s="13" t="s">
        <v>2073</v>
      </c>
      <c r="Z63" s="13" t="s">
        <v>2073</v>
      </c>
      <c r="AA63" s="13" t="s">
        <v>2073</v>
      </c>
      <c r="AB63" s="13" t="s">
        <v>1924</v>
      </c>
      <c r="AC63" s="211" t="s">
        <v>2415</v>
      </c>
      <c r="AD63" s="13" t="s">
        <v>2416</v>
      </c>
      <c r="AE63" s="69" t="s">
        <v>270</v>
      </c>
      <c r="AF63" s="13" t="s">
        <v>2418</v>
      </c>
      <c r="AG63" s="13" t="s">
        <v>2419</v>
      </c>
      <c r="AH63" s="13" t="s">
        <v>2420</v>
      </c>
      <c r="AI63" s="13" t="s">
        <v>2421</v>
      </c>
      <c r="AJ63" s="13" t="s">
        <v>2422</v>
      </c>
      <c r="AK63" s="13" t="s">
        <v>2416</v>
      </c>
      <c r="AL63" s="13" t="s">
        <v>2077</v>
      </c>
      <c r="AM63" s="13" t="s">
        <v>2077</v>
      </c>
      <c r="AN63" s="13" t="s">
        <v>2077</v>
      </c>
      <c r="AO63" s="13" t="s">
        <v>2077</v>
      </c>
      <c r="AP63" s="13" t="s">
        <v>2077</v>
      </c>
      <c r="AQ63" s="13" t="s">
        <v>2077</v>
      </c>
      <c r="AR63" s="13" t="s">
        <v>2418</v>
      </c>
      <c r="AS63" s="13" t="s">
        <v>2419</v>
      </c>
      <c r="AT63" s="13" t="s">
        <v>2420</v>
      </c>
      <c r="AU63" s="13" t="s">
        <v>2421</v>
      </c>
      <c r="AV63" s="13" t="s">
        <v>2422</v>
      </c>
      <c r="AW63" s="13" t="s">
        <v>2416</v>
      </c>
      <c r="AX63" s="13" t="s">
        <v>2073</v>
      </c>
      <c r="AY63" s="13" t="s">
        <v>2073</v>
      </c>
      <c r="AZ63" s="13" t="s">
        <v>2073</v>
      </c>
      <c r="BA63" s="13" t="s">
        <v>2073</v>
      </c>
      <c r="BB63" s="13" t="s">
        <v>2073</v>
      </c>
      <c r="BC63" s="13" t="s">
        <v>2073</v>
      </c>
    </row>
    <row r="64" spans="1:55" ht="15.75" customHeight="1">
      <c r="A64" s="13">
        <v>2000</v>
      </c>
      <c r="B64" s="7" t="s">
        <v>273</v>
      </c>
      <c r="C64" s="211" t="s">
        <v>2412</v>
      </c>
      <c r="D64" s="13" t="s">
        <v>272</v>
      </c>
      <c r="E64" s="13" t="s">
        <v>216</v>
      </c>
      <c r="F64" s="211" t="s">
        <v>2413</v>
      </c>
      <c r="G64" s="13" t="s">
        <v>2414</v>
      </c>
      <c r="H64" s="13" t="s">
        <v>2077</v>
      </c>
      <c r="I64" s="13" t="s">
        <v>2077</v>
      </c>
      <c r="J64" s="13" t="s">
        <v>2077</v>
      </c>
      <c r="K64" s="13" t="s">
        <v>2077</v>
      </c>
      <c r="L64" s="13" t="s">
        <v>2077</v>
      </c>
      <c r="M64" s="13" t="s">
        <v>2077</v>
      </c>
      <c r="N64" s="211" t="s">
        <v>2415</v>
      </c>
      <c r="O64" s="13" t="s">
        <v>2416</v>
      </c>
      <c r="P64" s="69" t="str">
        <f t="shared" ref="P64:Q64" si="62">D64</f>
        <v>KOBAYASHI 1 ( A )  KMI</v>
      </c>
      <c r="Q64" s="13" t="str">
        <f t="shared" si="62"/>
        <v>1PN</v>
      </c>
      <c r="R64" s="212" t="s">
        <v>23</v>
      </c>
      <c r="S64" s="213">
        <v>0.97916666666666663</v>
      </c>
      <c r="T64" s="13">
        <v>85</v>
      </c>
      <c r="U64" s="211" t="s">
        <v>83</v>
      </c>
      <c r="V64" s="13">
        <v>1</v>
      </c>
      <c r="W64" s="13" t="s">
        <v>2417</v>
      </c>
      <c r="X64" s="13" t="s">
        <v>1924</v>
      </c>
      <c r="Y64" s="13" t="s">
        <v>2073</v>
      </c>
      <c r="Z64" s="13" t="s">
        <v>2073</v>
      </c>
      <c r="AA64" s="13" t="s">
        <v>2073</v>
      </c>
      <c r="AB64" s="13" t="s">
        <v>1924</v>
      </c>
      <c r="AC64" s="211" t="s">
        <v>2415</v>
      </c>
      <c r="AD64" s="13" t="s">
        <v>2416</v>
      </c>
      <c r="AE64" s="69" t="s">
        <v>274</v>
      </c>
      <c r="AF64" s="13" t="s">
        <v>2418</v>
      </c>
      <c r="AG64" s="13" t="s">
        <v>2419</v>
      </c>
      <c r="AH64" s="13" t="s">
        <v>2420</v>
      </c>
      <c r="AI64" s="13" t="s">
        <v>2421</v>
      </c>
      <c r="AJ64" s="13" t="s">
        <v>2422</v>
      </c>
      <c r="AK64" s="13" t="s">
        <v>2416</v>
      </c>
      <c r="AL64" s="13" t="s">
        <v>2077</v>
      </c>
      <c r="AM64" s="13" t="s">
        <v>2077</v>
      </c>
      <c r="AN64" s="13" t="s">
        <v>2077</v>
      </c>
      <c r="AO64" s="13" t="s">
        <v>2077</v>
      </c>
      <c r="AP64" s="13" t="s">
        <v>2077</v>
      </c>
      <c r="AQ64" s="13" t="s">
        <v>2077</v>
      </c>
      <c r="AR64" s="13" t="s">
        <v>2418</v>
      </c>
      <c r="AS64" s="13" t="s">
        <v>2419</v>
      </c>
      <c r="AT64" s="13" t="s">
        <v>2420</v>
      </c>
      <c r="AU64" s="13" t="s">
        <v>2421</v>
      </c>
      <c r="AV64" s="13" t="s">
        <v>2422</v>
      </c>
      <c r="AW64" s="13" t="s">
        <v>2416</v>
      </c>
      <c r="AX64" s="13" t="s">
        <v>2073</v>
      </c>
      <c r="AY64" s="13" t="s">
        <v>2073</v>
      </c>
      <c r="AZ64" s="13" t="s">
        <v>2073</v>
      </c>
      <c r="BA64" s="13" t="s">
        <v>2073</v>
      </c>
      <c r="BB64" s="13" t="s">
        <v>2073</v>
      </c>
      <c r="BC64" s="13" t="s">
        <v>2073</v>
      </c>
    </row>
    <row r="65" spans="1:55" ht="15.75" customHeight="1">
      <c r="A65" s="13">
        <v>2000</v>
      </c>
      <c r="B65" s="7" t="s">
        <v>277</v>
      </c>
      <c r="C65" s="211" t="s">
        <v>2412</v>
      </c>
      <c r="D65" s="13" t="s">
        <v>276</v>
      </c>
      <c r="E65" s="13" t="s">
        <v>216</v>
      </c>
      <c r="F65" s="211" t="s">
        <v>2413</v>
      </c>
      <c r="G65" s="13" t="s">
        <v>2414</v>
      </c>
      <c r="H65" s="13" t="s">
        <v>2077</v>
      </c>
      <c r="I65" s="13" t="s">
        <v>2077</v>
      </c>
      <c r="J65" s="13" t="s">
        <v>2077</v>
      </c>
      <c r="K65" s="13" t="s">
        <v>2077</v>
      </c>
      <c r="L65" s="13" t="s">
        <v>2077</v>
      </c>
      <c r="M65" s="13" t="s">
        <v>2077</v>
      </c>
      <c r="N65" s="211" t="s">
        <v>2415</v>
      </c>
      <c r="O65" s="13" t="s">
        <v>2416</v>
      </c>
      <c r="P65" s="69" t="str">
        <f t="shared" ref="P65:Q65" si="63">D65</f>
        <v>KOBAYASHI 2 ( D )  KMI</v>
      </c>
      <c r="Q65" s="13" t="str">
        <f t="shared" si="63"/>
        <v>1PN</v>
      </c>
      <c r="R65" s="212" t="s">
        <v>23</v>
      </c>
      <c r="S65" s="213">
        <v>0.97916666666666663</v>
      </c>
      <c r="T65" s="13">
        <v>85</v>
      </c>
      <c r="U65" s="211" t="s">
        <v>83</v>
      </c>
      <c r="V65" s="13">
        <v>1</v>
      </c>
      <c r="W65" s="13" t="s">
        <v>2417</v>
      </c>
      <c r="X65" s="13" t="s">
        <v>1924</v>
      </c>
      <c r="Y65" s="13" t="s">
        <v>2073</v>
      </c>
      <c r="Z65" s="13" t="s">
        <v>2073</v>
      </c>
      <c r="AA65" s="13" t="s">
        <v>2073</v>
      </c>
      <c r="AB65" s="13" t="s">
        <v>1924</v>
      </c>
      <c r="AC65" s="211" t="s">
        <v>2415</v>
      </c>
      <c r="AD65" s="13" t="s">
        <v>2416</v>
      </c>
      <c r="AE65" s="69" t="s">
        <v>278</v>
      </c>
      <c r="AF65" s="13" t="s">
        <v>2418</v>
      </c>
      <c r="AG65" s="13" t="s">
        <v>2419</v>
      </c>
      <c r="AH65" s="13" t="s">
        <v>2420</v>
      </c>
      <c r="AI65" s="13" t="s">
        <v>2421</v>
      </c>
      <c r="AJ65" s="13" t="s">
        <v>2422</v>
      </c>
      <c r="AK65" s="13" t="s">
        <v>2416</v>
      </c>
      <c r="AL65" s="13" t="s">
        <v>2077</v>
      </c>
      <c r="AM65" s="13" t="s">
        <v>2077</v>
      </c>
      <c r="AN65" s="13" t="s">
        <v>2077</v>
      </c>
      <c r="AO65" s="13" t="s">
        <v>2077</v>
      </c>
      <c r="AP65" s="13" t="s">
        <v>2077</v>
      </c>
      <c r="AQ65" s="13" t="s">
        <v>2077</v>
      </c>
      <c r="AR65" s="13" t="s">
        <v>2418</v>
      </c>
      <c r="AS65" s="13" t="s">
        <v>2419</v>
      </c>
      <c r="AT65" s="13" t="s">
        <v>2420</v>
      </c>
      <c r="AU65" s="13" t="s">
        <v>2421</v>
      </c>
      <c r="AV65" s="13" t="s">
        <v>2422</v>
      </c>
      <c r="AW65" s="13" t="s">
        <v>2416</v>
      </c>
      <c r="AX65" s="13" t="s">
        <v>2073</v>
      </c>
      <c r="AY65" s="13" t="s">
        <v>2073</v>
      </c>
      <c r="AZ65" s="13" t="s">
        <v>2073</v>
      </c>
      <c r="BA65" s="13" t="s">
        <v>2073</v>
      </c>
      <c r="BB65" s="13" t="s">
        <v>2073</v>
      </c>
      <c r="BC65" s="13" t="s">
        <v>2073</v>
      </c>
    </row>
    <row r="66" spans="1:55" ht="15.75" customHeight="1">
      <c r="A66" s="13">
        <v>2000</v>
      </c>
      <c r="B66" s="7" t="s">
        <v>281</v>
      </c>
      <c r="C66" s="211" t="s">
        <v>2412</v>
      </c>
      <c r="D66" s="13" t="s">
        <v>280</v>
      </c>
      <c r="E66" s="13" t="s">
        <v>216</v>
      </c>
      <c r="F66" s="211" t="s">
        <v>2413</v>
      </c>
      <c r="G66" s="13" t="s">
        <v>2414</v>
      </c>
      <c r="H66" s="13" t="s">
        <v>2077</v>
      </c>
      <c r="I66" s="13" t="s">
        <v>2077</v>
      </c>
      <c r="J66" s="13" t="s">
        <v>2077</v>
      </c>
      <c r="K66" s="13" t="s">
        <v>2077</v>
      </c>
      <c r="L66" s="13" t="s">
        <v>2077</v>
      </c>
      <c r="M66" s="13" t="s">
        <v>2077</v>
      </c>
      <c r="N66" s="211" t="s">
        <v>2415</v>
      </c>
      <c r="O66" s="13" t="s">
        <v>2416</v>
      </c>
      <c r="P66" s="69" t="str">
        <f t="shared" ref="P66:Q66" si="64">D66</f>
        <v>KOBAYASHI 3 ( PPI/DRAWER )  KMI</v>
      </c>
      <c r="Q66" s="13" t="str">
        <f t="shared" si="64"/>
        <v>1PN</v>
      </c>
      <c r="R66" s="212" t="s">
        <v>23</v>
      </c>
      <c r="S66" s="213">
        <v>0.64583333333333337</v>
      </c>
      <c r="T66" s="13">
        <v>85</v>
      </c>
      <c r="U66" s="211" t="s">
        <v>24</v>
      </c>
      <c r="V66" s="13">
        <v>1</v>
      </c>
      <c r="W66" s="13" t="s">
        <v>2417</v>
      </c>
      <c r="X66" s="13" t="s">
        <v>1924</v>
      </c>
      <c r="Y66" s="13" t="s">
        <v>2073</v>
      </c>
      <c r="Z66" s="13" t="s">
        <v>2073</v>
      </c>
      <c r="AA66" s="13" t="s">
        <v>2073</v>
      </c>
      <c r="AB66" s="13" t="s">
        <v>1924</v>
      </c>
      <c r="AC66" s="211" t="s">
        <v>2415</v>
      </c>
      <c r="AD66" s="13" t="s">
        <v>2416</v>
      </c>
      <c r="AE66" s="69" t="s">
        <v>282</v>
      </c>
      <c r="AF66" s="13" t="s">
        <v>2418</v>
      </c>
      <c r="AG66" s="13" t="s">
        <v>2419</v>
      </c>
      <c r="AH66" s="13" t="s">
        <v>2420</v>
      </c>
      <c r="AI66" s="13" t="s">
        <v>2421</v>
      </c>
      <c r="AJ66" s="13" t="s">
        <v>2422</v>
      </c>
      <c r="AK66" s="13" t="s">
        <v>2416</v>
      </c>
      <c r="AL66" s="13" t="s">
        <v>2077</v>
      </c>
      <c r="AM66" s="13" t="s">
        <v>2077</v>
      </c>
      <c r="AN66" s="13" t="s">
        <v>2077</v>
      </c>
      <c r="AO66" s="13" t="s">
        <v>2077</v>
      </c>
      <c r="AP66" s="13" t="s">
        <v>2077</v>
      </c>
      <c r="AQ66" s="13" t="s">
        <v>2077</v>
      </c>
      <c r="AR66" s="13" t="s">
        <v>2418</v>
      </c>
      <c r="AS66" s="13" t="s">
        <v>2419</v>
      </c>
      <c r="AT66" s="13" t="s">
        <v>2420</v>
      </c>
      <c r="AU66" s="13" t="s">
        <v>2421</v>
      </c>
      <c r="AV66" s="13" t="s">
        <v>2422</v>
      </c>
      <c r="AW66" s="13" t="s">
        <v>2416</v>
      </c>
      <c r="AX66" s="13" t="s">
        <v>2073</v>
      </c>
      <c r="AY66" s="13" t="s">
        <v>2073</v>
      </c>
      <c r="AZ66" s="13" t="s">
        <v>2073</v>
      </c>
      <c r="BA66" s="13" t="s">
        <v>2073</v>
      </c>
      <c r="BB66" s="13" t="s">
        <v>2073</v>
      </c>
      <c r="BC66" s="13" t="s">
        <v>2073</v>
      </c>
    </row>
    <row r="67" spans="1:55" ht="15.75" customHeight="1">
      <c r="A67" s="13">
        <v>2000</v>
      </c>
      <c r="B67" s="7" t="s">
        <v>285</v>
      </c>
      <c r="C67" s="211" t="s">
        <v>2412</v>
      </c>
      <c r="D67" s="13" t="s">
        <v>284</v>
      </c>
      <c r="E67" s="13" t="s">
        <v>216</v>
      </c>
      <c r="F67" s="211" t="s">
        <v>2413</v>
      </c>
      <c r="G67" s="13" t="s">
        <v>2414</v>
      </c>
      <c r="H67" s="13" t="s">
        <v>2077</v>
      </c>
      <c r="I67" s="13" t="s">
        <v>2077</v>
      </c>
      <c r="J67" s="13" t="s">
        <v>2077</v>
      </c>
      <c r="K67" s="13" t="s">
        <v>2077</v>
      </c>
      <c r="L67" s="13" t="s">
        <v>2077</v>
      </c>
      <c r="M67" s="13" t="s">
        <v>2077</v>
      </c>
      <c r="N67" s="211" t="s">
        <v>2415</v>
      </c>
      <c r="O67" s="13" t="s">
        <v>2416</v>
      </c>
      <c r="P67" s="69" t="str">
        <f t="shared" ref="P67:Q67" si="65">D67</f>
        <v>TAIHEI ( C )  KMI</v>
      </c>
      <c r="Q67" s="13" t="str">
        <f t="shared" si="65"/>
        <v>1PN</v>
      </c>
      <c r="R67" s="212" t="s">
        <v>23</v>
      </c>
      <c r="S67" s="213">
        <v>0.97916666666666663</v>
      </c>
      <c r="T67" s="13">
        <v>85</v>
      </c>
      <c r="U67" s="211" t="s">
        <v>83</v>
      </c>
      <c r="V67" s="13">
        <v>1</v>
      </c>
      <c r="W67" s="13" t="s">
        <v>2417</v>
      </c>
      <c r="X67" s="13" t="s">
        <v>1924</v>
      </c>
      <c r="Y67" s="13" t="s">
        <v>2073</v>
      </c>
      <c r="Z67" s="13" t="s">
        <v>2073</v>
      </c>
      <c r="AA67" s="13" t="s">
        <v>2073</v>
      </c>
      <c r="AB67" s="13" t="s">
        <v>1924</v>
      </c>
      <c r="AC67" s="211" t="s">
        <v>2415</v>
      </c>
      <c r="AD67" s="13" t="s">
        <v>2416</v>
      </c>
      <c r="AE67" s="69" t="s">
        <v>270</v>
      </c>
      <c r="AF67" s="13" t="s">
        <v>2418</v>
      </c>
      <c r="AG67" s="13" t="s">
        <v>2419</v>
      </c>
      <c r="AH67" s="13" t="s">
        <v>2420</v>
      </c>
      <c r="AI67" s="13" t="s">
        <v>2421</v>
      </c>
      <c r="AJ67" s="13" t="s">
        <v>2422</v>
      </c>
      <c r="AK67" s="13" t="s">
        <v>2416</v>
      </c>
      <c r="AL67" s="13" t="s">
        <v>2077</v>
      </c>
      <c r="AM67" s="13" t="s">
        <v>2077</v>
      </c>
      <c r="AN67" s="13" t="s">
        <v>2077</v>
      </c>
      <c r="AO67" s="13" t="s">
        <v>2077</v>
      </c>
      <c r="AP67" s="13" t="s">
        <v>2077</v>
      </c>
      <c r="AQ67" s="13" t="s">
        <v>2077</v>
      </c>
      <c r="AR67" s="13" t="s">
        <v>2418</v>
      </c>
      <c r="AS67" s="13" t="s">
        <v>2419</v>
      </c>
      <c r="AT67" s="13" t="s">
        <v>2420</v>
      </c>
      <c r="AU67" s="13" t="s">
        <v>2421</v>
      </c>
      <c r="AV67" s="13" t="s">
        <v>2422</v>
      </c>
      <c r="AW67" s="13" t="s">
        <v>2416</v>
      </c>
      <c r="AX67" s="13" t="s">
        <v>2073</v>
      </c>
      <c r="AY67" s="13" t="s">
        <v>2073</v>
      </c>
      <c r="AZ67" s="13" t="s">
        <v>2073</v>
      </c>
      <c r="BA67" s="13" t="s">
        <v>2073</v>
      </c>
      <c r="BB67" s="13" t="s">
        <v>2073</v>
      </c>
      <c r="BC67" s="13" t="s">
        <v>2073</v>
      </c>
    </row>
    <row r="68" spans="1:55" ht="15.75" customHeight="1">
      <c r="A68" s="13">
        <v>2000</v>
      </c>
      <c r="B68" s="7" t="s">
        <v>288</v>
      </c>
      <c r="C68" s="211" t="s">
        <v>2412</v>
      </c>
      <c r="D68" s="13" t="s">
        <v>287</v>
      </c>
      <c r="E68" s="13" t="s">
        <v>216</v>
      </c>
      <c r="F68" s="211" t="s">
        <v>2413</v>
      </c>
      <c r="G68" s="13" t="s">
        <v>2414</v>
      </c>
      <c r="H68" s="13" t="s">
        <v>2077</v>
      </c>
      <c r="I68" s="13" t="s">
        <v>2077</v>
      </c>
      <c r="J68" s="13" t="s">
        <v>2077</v>
      </c>
      <c r="K68" s="13" t="s">
        <v>2077</v>
      </c>
      <c r="L68" s="13" t="s">
        <v>2077</v>
      </c>
      <c r="M68" s="13" t="s">
        <v>2077</v>
      </c>
      <c r="N68" s="211" t="s">
        <v>2415</v>
      </c>
      <c r="O68" s="13" t="s">
        <v>2416</v>
      </c>
      <c r="P68" s="69" t="str">
        <f t="shared" ref="P68:Q68" si="66">D68</f>
        <v>YAMAMOTO ( DOOR/GT )  KMI</v>
      </c>
      <c r="Q68" s="13" t="str">
        <f t="shared" si="66"/>
        <v>1PN</v>
      </c>
      <c r="R68" s="212" t="s">
        <v>23</v>
      </c>
      <c r="S68" s="213">
        <v>0.64583333333333337</v>
      </c>
      <c r="T68" s="13">
        <v>85</v>
      </c>
      <c r="U68" s="211" t="s">
        <v>24</v>
      </c>
      <c r="V68" s="13">
        <v>1</v>
      </c>
      <c r="W68" s="13" t="s">
        <v>2417</v>
      </c>
      <c r="X68" s="13" t="s">
        <v>1924</v>
      </c>
      <c r="Y68" s="13" t="s">
        <v>2073</v>
      </c>
      <c r="Z68" s="13" t="s">
        <v>2073</v>
      </c>
      <c r="AA68" s="13" t="s">
        <v>2073</v>
      </c>
      <c r="AB68" s="13" t="s">
        <v>1924</v>
      </c>
      <c r="AC68" s="211" t="s">
        <v>2415</v>
      </c>
      <c r="AD68" s="13" t="s">
        <v>2416</v>
      </c>
      <c r="AE68" s="69" t="s">
        <v>289</v>
      </c>
      <c r="AF68" s="13" t="s">
        <v>2418</v>
      </c>
      <c r="AG68" s="13" t="s">
        <v>2419</v>
      </c>
      <c r="AH68" s="13" t="s">
        <v>2420</v>
      </c>
      <c r="AI68" s="13" t="s">
        <v>2421</v>
      </c>
      <c r="AJ68" s="13" t="s">
        <v>2422</v>
      </c>
      <c r="AK68" s="13" t="s">
        <v>2416</v>
      </c>
      <c r="AL68" s="13" t="s">
        <v>2077</v>
      </c>
      <c r="AM68" s="13" t="s">
        <v>2077</v>
      </c>
      <c r="AN68" s="13" t="s">
        <v>2077</v>
      </c>
      <c r="AO68" s="13" t="s">
        <v>2077</v>
      </c>
      <c r="AP68" s="13" t="s">
        <v>2077</v>
      </c>
      <c r="AQ68" s="13" t="s">
        <v>2077</v>
      </c>
      <c r="AR68" s="13" t="s">
        <v>2418</v>
      </c>
      <c r="AS68" s="13" t="s">
        <v>2419</v>
      </c>
      <c r="AT68" s="13" t="s">
        <v>2420</v>
      </c>
      <c r="AU68" s="13" t="s">
        <v>2421</v>
      </c>
      <c r="AV68" s="13" t="s">
        <v>2422</v>
      </c>
      <c r="AW68" s="13" t="s">
        <v>2416</v>
      </c>
      <c r="AX68" s="13" t="s">
        <v>2073</v>
      </c>
      <c r="AY68" s="13" t="s">
        <v>2073</v>
      </c>
      <c r="AZ68" s="13" t="s">
        <v>2073</v>
      </c>
      <c r="BA68" s="13" t="s">
        <v>2073</v>
      </c>
      <c r="BB68" s="13" t="s">
        <v>2073</v>
      </c>
      <c r="BC68" s="13" t="s">
        <v>2073</v>
      </c>
    </row>
    <row r="69" spans="1:55" ht="15.75" customHeight="1">
      <c r="A69" s="13">
        <v>2000</v>
      </c>
      <c r="B69" s="7" t="s">
        <v>292</v>
      </c>
      <c r="C69" s="211" t="s">
        <v>2412</v>
      </c>
      <c r="D69" s="13" t="s">
        <v>291</v>
      </c>
      <c r="E69" s="13" t="s">
        <v>216</v>
      </c>
      <c r="F69" s="211" t="s">
        <v>2413</v>
      </c>
      <c r="G69" s="13" t="s">
        <v>2414</v>
      </c>
      <c r="H69" s="13" t="s">
        <v>2077</v>
      </c>
      <c r="I69" s="13" t="s">
        <v>2077</v>
      </c>
      <c r="J69" s="13" t="s">
        <v>2077</v>
      </c>
      <c r="K69" s="13" t="s">
        <v>2077</v>
      </c>
      <c r="L69" s="13" t="s">
        <v>2077</v>
      </c>
      <c r="M69" s="13" t="s">
        <v>2077</v>
      </c>
      <c r="N69" s="211" t="s">
        <v>2415</v>
      </c>
      <c r="O69" s="13" t="s">
        <v>2416</v>
      </c>
      <c r="P69" s="69" t="str">
        <f t="shared" ref="P69:Q69" si="67">D69</f>
        <v>MEMBRAN SEIBU  KMI</v>
      </c>
      <c r="Q69" s="13" t="str">
        <f t="shared" si="67"/>
        <v>1PN</v>
      </c>
      <c r="R69" s="212" t="s">
        <v>23</v>
      </c>
      <c r="S69" s="213">
        <v>0.64583333333333337</v>
      </c>
      <c r="T69" s="13">
        <v>85</v>
      </c>
      <c r="U69" s="211" t="s">
        <v>24</v>
      </c>
      <c r="V69" s="13">
        <v>1</v>
      </c>
      <c r="W69" s="13" t="s">
        <v>2417</v>
      </c>
      <c r="X69" s="13" t="s">
        <v>1924</v>
      </c>
      <c r="Y69" s="13" t="s">
        <v>2073</v>
      </c>
      <c r="Z69" s="13" t="s">
        <v>2073</v>
      </c>
      <c r="AA69" s="13" t="s">
        <v>2073</v>
      </c>
      <c r="AB69" s="13" t="s">
        <v>1924</v>
      </c>
      <c r="AC69" s="211" t="s">
        <v>2415</v>
      </c>
      <c r="AD69" s="13" t="s">
        <v>2416</v>
      </c>
      <c r="AE69" s="69" t="s">
        <v>293</v>
      </c>
      <c r="AF69" s="13" t="s">
        <v>2418</v>
      </c>
      <c r="AG69" s="13" t="s">
        <v>2419</v>
      </c>
      <c r="AH69" s="13" t="s">
        <v>2420</v>
      </c>
      <c r="AI69" s="13" t="s">
        <v>2421</v>
      </c>
      <c r="AJ69" s="13" t="s">
        <v>2422</v>
      </c>
      <c r="AK69" s="13" t="s">
        <v>2416</v>
      </c>
      <c r="AL69" s="13" t="s">
        <v>2077</v>
      </c>
      <c r="AM69" s="13" t="s">
        <v>2077</v>
      </c>
      <c r="AN69" s="13" t="s">
        <v>2077</v>
      </c>
      <c r="AO69" s="13" t="s">
        <v>2077</v>
      </c>
      <c r="AP69" s="13" t="s">
        <v>2077</v>
      </c>
      <c r="AQ69" s="13" t="s">
        <v>2077</v>
      </c>
      <c r="AR69" s="13" t="s">
        <v>2418</v>
      </c>
      <c r="AS69" s="13" t="s">
        <v>2419</v>
      </c>
      <c r="AT69" s="13" t="s">
        <v>2420</v>
      </c>
      <c r="AU69" s="13" t="s">
        <v>2421</v>
      </c>
      <c r="AV69" s="13" t="s">
        <v>2422</v>
      </c>
      <c r="AW69" s="13" t="s">
        <v>2416</v>
      </c>
      <c r="AX69" s="13" t="s">
        <v>2073</v>
      </c>
      <c r="AY69" s="13" t="s">
        <v>2073</v>
      </c>
      <c r="AZ69" s="13" t="s">
        <v>2073</v>
      </c>
      <c r="BA69" s="13" t="s">
        <v>2073</v>
      </c>
      <c r="BB69" s="13" t="s">
        <v>2073</v>
      </c>
      <c r="BC69" s="13" t="s">
        <v>2073</v>
      </c>
    </row>
    <row r="70" spans="1:55" ht="15.75" customHeight="1">
      <c r="A70" s="13">
        <v>2000</v>
      </c>
      <c r="B70" s="7" t="s">
        <v>296</v>
      </c>
      <c r="C70" s="211" t="s">
        <v>2412</v>
      </c>
      <c r="D70" s="13" t="s">
        <v>295</v>
      </c>
      <c r="E70" s="13" t="s">
        <v>216</v>
      </c>
      <c r="F70" s="211" t="s">
        <v>2413</v>
      </c>
      <c r="G70" s="13" t="s">
        <v>2414</v>
      </c>
      <c r="H70" s="13" t="s">
        <v>2077</v>
      </c>
      <c r="I70" s="13" t="s">
        <v>2077</v>
      </c>
      <c r="J70" s="13" t="s">
        <v>2077</v>
      </c>
      <c r="K70" s="13" t="s">
        <v>2077</v>
      </c>
      <c r="L70" s="13" t="s">
        <v>2077</v>
      </c>
      <c r="M70" s="13" t="s">
        <v>2077</v>
      </c>
      <c r="N70" s="211" t="s">
        <v>2415</v>
      </c>
      <c r="O70" s="13" t="s">
        <v>2416</v>
      </c>
      <c r="P70" s="69" t="str">
        <f t="shared" ref="P70:Q70" si="68">D70</f>
        <v>SANDER AMITEX  KMI</v>
      </c>
      <c r="Q70" s="13" t="str">
        <f t="shared" si="68"/>
        <v>1PN</v>
      </c>
      <c r="R70" s="212" t="s">
        <v>23</v>
      </c>
      <c r="S70" s="213">
        <v>0.64583333333333337</v>
      </c>
      <c r="T70" s="13">
        <v>85</v>
      </c>
      <c r="U70" s="211" t="s">
        <v>24</v>
      </c>
      <c r="V70" s="13">
        <v>1</v>
      </c>
      <c r="W70" s="13" t="s">
        <v>2417</v>
      </c>
      <c r="X70" s="13" t="s">
        <v>1924</v>
      </c>
      <c r="Y70" s="13" t="s">
        <v>2073</v>
      </c>
      <c r="Z70" s="13" t="s">
        <v>2073</v>
      </c>
      <c r="AA70" s="13" t="s">
        <v>2073</v>
      </c>
      <c r="AB70" s="13" t="s">
        <v>1924</v>
      </c>
      <c r="AC70" s="211" t="s">
        <v>2415</v>
      </c>
      <c r="AD70" s="13" t="s">
        <v>2416</v>
      </c>
      <c r="AE70" s="69" t="s">
        <v>297</v>
      </c>
      <c r="AF70" s="13" t="s">
        <v>2418</v>
      </c>
      <c r="AG70" s="13" t="s">
        <v>2419</v>
      </c>
      <c r="AH70" s="13" t="s">
        <v>2420</v>
      </c>
      <c r="AI70" s="13" t="s">
        <v>2421</v>
      </c>
      <c r="AJ70" s="13" t="s">
        <v>2422</v>
      </c>
      <c r="AK70" s="13" t="s">
        <v>2416</v>
      </c>
      <c r="AL70" s="13" t="s">
        <v>2077</v>
      </c>
      <c r="AM70" s="13" t="s">
        <v>2077</v>
      </c>
      <c r="AN70" s="13" t="s">
        <v>2077</v>
      </c>
      <c r="AO70" s="13" t="s">
        <v>2077</v>
      </c>
      <c r="AP70" s="13" t="s">
        <v>2077</v>
      </c>
      <c r="AQ70" s="13" t="s">
        <v>2077</v>
      </c>
      <c r="AR70" s="13" t="s">
        <v>2418</v>
      </c>
      <c r="AS70" s="13" t="s">
        <v>2419</v>
      </c>
      <c r="AT70" s="13" t="s">
        <v>2420</v>
      </c>
      <c r="AU70" s="13" t="s">
        <v>2421</v>
      </c>
      <c r="AV70" s="13" t="s">
        <v>2422</v>
      </c>
      <c r="AW70" s="13" t="s">
        <v>2416</v>
      </c>
      <c r="AX70" s="13" t="s">
        <v>2073</v>
      </c>
      <c r="AY70" s="13" t="s">
        <v>2073</v>
      </c>
      <c r="AZ70" s="13" t="s">
        <v>2073</v>
      </c>
      <c r="BA70" s="13" t="s">
        <v>2073</v>
      </c>
      <c r="BB70" s="13" t="s">
        <v>2073</v>
      </c>
      <c r="BC70" s="13" t="s">
        <v>2073</v>
      </c>
    </row>
    <row r="71" spans="1:55" ht="15.75" customHeight="1">
      <c r="A71" s="69">
        <v>2000</v>
      </c>
      <c r="B71" s="7" t="s">
        <v>300</v>
      </c>
      <c r="C71" s="211" t="s">
        <v>2412</v>
      </c>
      <c r="D71" s="13" t="s">
        <v>301</v>
      </c>
      <c r="E71" s="13" t="s">
        <v>216</v>
      </c>
      <c r="F71" s="211" t="s">
        <v>2413</v>
      </c>
      <c r="G71" s="13" t="s">
        <v>2414</v>
      </c>
      <c r="H71" s="13" t="s">
        <v>2077</v>
      </c>
      <c r="I71" s="13" t="s">
        <v>2077</v>
      </c>
      <c r="J71" s="13" t="s">
        <v>2077</v>
      </c>
      <c r="K71" s="13" t="s">
        <v>2077</v>
      </c>
      <c r="L71" s="13" t="s">
        <v>2077</v>
      </c>
      <c r="M71" s="13" t="s">
        <v>2077</v>
      </c>
      <c r="N71" s="211" t="s">
        <v>2415</v>
      </c>
      <c r="O71" s="13" t="s">
        <v>2416</v>
      </c>
      <c r="P71" s="69" t="str">
        <f t="shared" ref="P71:Q71" si="69">D71</f>
        <v>HASSEMEN &amp; WARE BRUSH KMI</v>
      </c>
      <c r="Q71" s="13" t="str">
        <f t="shared" si="69"/>
        <v>1PN</v>
      </c>
      <c r="R71" s="212" t="s">
        <v>23</v>
      </c>
      <c r="S71" s="213">
        <v>0.97916666666666663</v>
      </c>
      <c r="T71" s="13">
        <v>85</v>
      </c>
      <c r="U71" s="211" t="s">
        <v>83</v>
      </c>
      <c r="V71" s="13">
        <v>1</v>
      </c>
      <c r="W71" s="13" t="s">
        <v>2417</v>
      </c>
      <c r="X71" s="13" t="s">
        <v>1924</v>
      </c>
      <c r="Y71" s="13" t="s">
        <v>2073</v>
      </c>
      <c r="Z71" s="13" t="s">
        <v>2073</v>
      </c>
      <c r="AA71" s="13" t="s">
        <v>2073</v>
      </c>
      <c r="AB71" s="13" t="s">
        <v>1924</v>
      </c>
      <c r="AC71" s="211" t="s">
        <v>2415</v>
      </c>
      <c r="AD71" s="13" t="s">
        <v>2416</v>
      </c>
      <c r="AE71" s="69" t="s">
        <v>302</v>
      </c>
      <c r="AF71" s="13" t="s">
        <v>2418</v>
      </c>
      <c r="AG71" s="13" t="s">
        <v>2419</v>
      </c>
      <c r="AH71" s="13" t="s">
        <v>2420</v>
      </c>
      <c r="AI71" s="13" t="s">
        <v>2421</v>
      </c>
      <c r="AJ71" s="13" t="s">
        <v>2422</v>
      </c>
      <c r="AK71" s="13" t="s">
        <v>2416</v>
      </c>
      <c r="AL71" s="13" t="s">
        <v>2077</v>
      </c>
      <c r="AM71" s="13" t="s">
        <v>2077</v>
      </c>
      <c r="AN71" s="13" t="s">
        <v>2077</v>
      </c>
      <c r="AO71" s="13" t="s">
        <v>2077</v>
      </c>
      <c r="AP71" s="13" t="s">
        <v>2077</v>
      </c>
      <c r="AQ71" s="13" t="s">
        <v>2077</v>
      </c>
      <c r="AR71" s="13" t="s">
        <v>2418</v>
      </c>
      <c r="AS71" s="13" t="s">
        <v>2419</v>
      </c>
      <c r="AT71" s="13" t="s">
        <v>2420</v>
      </c>
      <c r="AU71" s="13" t="s">
        <v>2421</v>
      </c>
      <c r="AV71" s="13" t="s">
        <v>2422</v>
      </c>
      <c r="AW71" s="13" t="s">
        <v>2416</v>
      </c>
      <c r="AX71" s="13" t="s">
        <v>2073</v>
      </c>
      <c r="AY71" s="13" t="s">
        <v>2073</v>
      </c>
      <c r="AZ71" s="13" t="s">
        <v>2073</v>
      </c>
      <c r="BA71" s="13" t="s">
        <v>2073</v>
      </c>
      <c r="BB71" s="13" t="s">
        <v>2073</v>
      </c>
      <c r="BC71" s="13" t="s">
        <v>2073</v>
      </c>
    </row>
    <row r="72" spans="1:55" ht="15.75" customHeight="1">
      <c r="A72" s="13">
        <v>2000</v>
      </c>
      <c r="B72" s="7" t="s">
        <v>305</v>
      </c>
      <c r="C72" s="211" t="s">
        <v>2412</v>
      </c>
      <c r="D72" s="13" t="s">
        <v>304</v>
      </c>
      <c r="E72" s="13" t="s">
        <v>216</v>
      </c>
      <c r="F72" s="211" t="s">
        <v>2413</v>
      </c>
      <c r="G72" s="13" t="s">
        <v>2414</v>
      </c>
      <c r="H72" s="13" t="s">
        <v>2077</v>
      </c>
      <c r="I72" s="13" t="s">
        <v>2077</v>
      </c>
      <c r="J72" s="13" t="s">
        <v>2077</v>
      </c>
      <c r="K72" s="13" t="s">
        <v>2077</v>
      </c>
      <c r="L72" s="13" t="s">
        <v>2077</v>
      </c>
      <c r="M72" s="13" t="s">
        <v>2077</v>
      </c>
      <c r="N72" s="211" t="s">
        <v>2415</v>
      </c>
      <c r="O72" s="13" t="s">
        <v>2416</v>
      </c>
      <c r="P72" s="69" t="str">
        <f t="shared" ref="P72:Q72" si="70">D72</f>
        <v>VINITA BENDING 1  KMI</v>
      </c>
      <c r="Q72" s="13" t="str">
        <f t="shared" si="70"/>
        <v>1PN</v>
      </c>
      <c r="R72" s="212" t="s">
        <v>23</v>
      </c>
      <c r="S72" s="213">
        <v>0.64583333333333337</v>
      </c>
      <c r="T72" s="13">
        <v>85</v>
      </c>
      <c r="U72" s="211" t="s">
        <v>24</v>
      </c>
      <c r="V72" s="13">
        <v>1</v>
      </c>
      <c r="W72" s="13" t="s">
        <v>2417</v>
      </c>
      <c r="X72" s="13" t="s">
        <v>1924</v>
      </c>
      <c r="Y72" s="13" t="s">
        <v>2073</v>
      </c>
      <c r="Z72" s="13" t="s">
        <v>2073</v>
      </c>
      <c r="AA72" s="13" t="s">
        <v>2073</v>
      </c>
      <c r="AB72" s="13" t="s">
        <v>1924</v>
      </c>
      <c r="AC72" s="211" t="s">
        <v>2415</v>
      </c>
      <c r="AD72" s="13" t="s">
        <v>2416</v>
      </c>
      <c r="AE72" s="69" t="s">
        <v>306</v>
      </c>
      <c r="AF72" s="13" t="s">
        <v>2418</v>
      </c>
      <c r="AG72" s="13" t="s">
        <v>2419</v>
      </c>
      <c r="AH72" s="13" t="s">
        <v>2420</v>
      </c>
      <c r="AI72" s="13" t="s">
        <v>2421</v>
      </c>
      <c r="AJ72" s="13" t="s">
        <v>2422</v>
      </c>
      <c r="AK72" s="13" t="s">
        <v>2416</v>
      </c>
      <c r="AL72" s="13" t="s">
        <v>2077</v>
      </c>
      <c r="AM72" s="13" t="s">
        <v>2077</v>
      </c>
      <c r="AN72" s="13" t="s">
        <v>2077</v>
      </c>
      <c r="AO72" s="13" t="s">
        <v>2077</v>
      </c>
      <c r="AP72" s="13" t="s">
        <v>2077</v>
      </c>
      <c r="AQ72" s="13" t="s">
        <v>2077</v>
      </c>
      <c r="AR72" s="13" t="s">
        <v>2418</v>
      </c>
      <c r="AS72" s="13" t="s">
        <v>2419</v>
      </c>
      <c r="AT72" s="13" t="s">
        <v>2420</v>
      </c>
      <c r="AU72" s="13" t="s">
        <v>2421</v>
      </c>
      <c r="AV72" s="13" t="s">
        <v>2422</v>
      </c>
      <c r="AW72" s="13" t="s">
        <v>2416</v>
      </c>
      <c r="AX72" s="13" t="s">
        <v>2073</v>
      </c>
      <c r="AY72" s="13" t="s">
        <v>2073</v>
      </c>
      <c r="AZ72" s="13" t="s">
        <v>2073</v>
      </c>
      <c r="BA72" s="13" t="s">
        <v>2073</v>
      </c>
      <c r="BB72" s="13" t="s">
        <v>2073</v>
      </c>
      <c r="BC72" s="13" t="s">
        <v>2073</v>
      </c>
    </row>
    <row r="73" spans="1:55" ht="15.75" customHeight="1">
      <c r="A73" s="13">
        <v>2000</v>
      </c>
      <c r="B73" s="7" t="s">
        <v>310</v>
      </c>
      <c r="C73" s="211" t="s">
        <v>2412</v>
      </c>
      <c r="D73" s="13" t="s">
        <v>309</v>
      </c>
      <c r="E73" s="13" t="s">
        <v>313</v>
      </c>
      <c r="F73" s="211" t="s">
        <v>2413</v>
      </c>
      <c r="G73" s="13" t="s">
        <v>2414</v>
      </c>
      <c r="H73" s="13" t="s">
        <v>2077</v>
      </c>
      <c r="I73" s="13" t="s">
        <v>2077</v>
      </c>
      <c r="J73" s="13" t="s">
        <v>2077</v>
      </c>
      <c r="K73" s="13" t="s">
        <v>2077</v>
      </c>
      <c r="L73" s="13" t="s">
        <v>2077</v>
      </c>
      <c r="M73" s="13" t="s">
        <v>2077</v>
      </c>
      <c r="N73" s="211" t="s">
        <v>2415</v>
      </c>
      <c r="O73" s="13" t="s">
        <v>2416</v>
      </c>
      <c r="P73" s="69" t="str">
        <f t="shared" ref="P73:Q73" si="71">D73</f>
        <v>CNC ROUTER HEIAN NC-531P-FS MP.0558</v>
      </c>
      <c r="Q73" s="13" t="str">
        <f t="shared" si="71"/>
        <v>2GT</v>
      </c>
      <c r="R73" s="212" t="s">
        <v>23</v>
      </c>
      <c r="S73" s="212" t="s">
        <v>23</v>
      </c>
      <c r="T73" s="13">
        <v>85</v>
      </c>
      <c r="U73" s="211" t="s">
        <v>134</v>
      </c>
      <c r="V73" s="13">
        <v>1</v>
      </c>
      <c r="W73" s="13" t="s">
        <v>2417</v>
      </c>
      <c r="X73" s="13" t="s">
        <v>1924</v>
      </c>
      <c r="Y73" s="13" t="s">
        <v>2073</v>
      </c>
      <c r="Z73" s="13" t="s">
        <v>2073</v>
      </c>
      <c r="AA73" s="13" t="s">
        <v>2073</v>
      </c>
      <c r="AB73" s="13" t="s">
        <v>1924</v>
      </c>
      <c r="AC73" s="211" t="s">
        <v>2415</v>
      </c>
      <c r="AD73" s="13" t="s">
        <v>2416</v>
      </c>
      <c r="AE73" s="69" t="s">
        <v>311</v>
      </c>
      <c r="AF73" s="13" t="s">
        <v>2418</v>
      </c>
      <c r="AG73" s="13" t="s">
        <v>2419</v>
      </c>
      <c r="AH73" s="13" t="s">
        <v>2420</v>
      </c>
      <c r="AI73" s="13" t="s">
        <v>2421</v>
      </c>
      <c r="AJ73" s="13" t="s">
        <v>2422</v>
      </c>
      <c r="AK73" s="13" t="s">
        <v>2416</v>
      </c>
      <c r="AL73" s="13" t="s">
        <v>2077</v>
      </c>
      <c r="AM73" s="13" t="s">
        <v>2077</v>
      </c>
      <c r="AN73" s="13" t="s">
        <v>2077</v>
      </c>
      <c r="AO73" s="13" t="s">
        <v>2077</v>
      </c>
      <c r="AP73" s="13" t="s">
        <v>2077</v>
      </c>
      <c r="AQ73" s="13" t="s">
        <v>2077</v>
      </c>
      <c r="AR73" s="13" t="s">
        <v>2418</v>
      </c>
      <c r="AS73" s="13" t="s">
        <v>2419</v>
      </c>
      <c r="AT73" s="13" t="s">
        <v>2420</v>
      </c>
      <c r="AU73" s="13" t="s">
        <v>2421</v>
      </c>
      <c r="AV73" s="13" t="s">
        <v>2422</v>
      </c>
      <c r="AW73" s="13" t="s">
        <v>2416</v>
      </c>
      <c r="AX73" s="13" t="s">
        <v>2073</v>
      </c>
      <c r="AY73" s="13" t="s">
        <v>2073</v>
      </c>
      <c r="AZ73" s="13" t="s">
        <v>2073</v>
      </c>
      <c r="BA73" s="13" t="s">
        <v>2073</v>
      </c>
      <c r="BB73" s="13" t="s">
        <v>2073</v>
      </c>
      <c r="BC73" s="13" t="s">
        <v>2073</v>
      </c>
    </row>
    <row r="74" spans="1:55" ht="15.75" customHeight="1">
      <c r="A74" s="13">
        <v>2000</v>
      </c>
      <c r="B74" s="7" t="s">
        <v>316</v>
      </c>
      <c r="C74" s="211" t="s">
        <v>2412</v>
      </c>
      <c r="D74" s="13" t="s">
        <v>315</v>
      </c>
      <c r="E74" s="13" t="s">
        <v>313</v>
      </c>
      <c r="F74" s="211" t="s">
        <v>2413</v>
      </c>
      <c r="G74" s="13" t="s">
        <v>2414</v>
      </c>
      <c r="H74" s="13" t="s">
        <v>2077</v>
      </c>
      <c r="I74" s="13" t="s">
        <v>2077</v>
      </c>
      <c r="J74" s="13" t="s">
        <v>2077</v>
      </c>
      <c r="K74" s="13" t="s">
        <v>2077</v>
      </c>
      <c r="L74" s="13" t="s">
        <v>2077</v>
      </c>
      <c r="M74" s="13" t="s">
        <v>2077</v>
      </c>
      <c r="N74" s="211" t="s">
        <v>2415</v>
      </c>
      <c r="O74" s="13" t="s">
        <v>2416</v>
      </c>
      <c r="P74" s="69" t="str">
        <f t="shared" ref="P74:Q74" si="72">D74</f>
        <v>CNC 2 NC.163 SHODA MP.0187</v>
      </c>
      <c r="Q74" s="13" t="str">
        <f t="shared" si="72"/>
        <v>2GT</v>
      </c>
      <c r="R74" s="212" t="s">
        <v>23</v>
      </c>
      <c r="S74" s="212" t="s">
        <v>23</v>
      </c>
      <c r="T74" s="13">
        <v>85</v>
      </c>
      <c r="U74" s="211" t="s">
        <v>134</v>
      </c>
      <c r="V74" s="13">
        <v>1</v>
      </c>
      <c r="W74" s="13" t="s">
        <v>2417</v>
      </c>
      <c r="X74" s="13" t="s">
        <v>1924</v>
      </c>
      <c r="Y74" s="13" t="s">
        <v>2073</v>
      </c>
      <c r="Z74" s="13" t="s">
        <v>2073</v>
      </c>
      <c r="AA74" s="13" t="s">
        <v>2073</v>
      </c>
      <c r="AB74" s="13" t="s">
        <v>1924</v>
      </c>
      <c r="AC74" s="211" t="s">
        <v>2415</v>
      </c>
      <c r="AD74" s="13" t="s">
        <v>2416</v>
      </c>
      <c r="AE74" s="69" t="s">
        <v>317</v>
      </c>
      <c r="AF74" s="13" t="s">
        <v>2418</v>
      </c>
      <c r="AG74" s="13" t="s">
        <v>2419</v>
      </c>
      <c r="AH74" s="13" t="s">
        <v>2420</v>
      </c>
      <c r="AI74" s="13" t="s">
        <v>2421</v>
      </c>
      <c r="AJ74" s="13" t="s">
        <v>2422</v>
      </c>
      <c r="AK74" s="13" t="s">
        <v>2416</v>
      </c>
      <c r="AL74" s="13" t="s">
        <v>2077</v>
      </c>
      <c r="AM74" s="13" t="s">
        <v>2077</v>
      </c>
      <c r="AN74" s="13" t="s">
        <v>2077</v>
      </c>
      <c r="AO74" s="13" t="s">
        <v>2077</v>
      </c>
      <c r="AP74" s="13" t="s">
        <v>2077</v>
      </c>
      <c r="AQ74" s="13" t="s">
        <v>2077</v>
      </c>
      <c r="AR74" s="13" t="s">
        <v>2418</v>
      </c>
      <c r="AS74" s="13" t="s">
        <v>2419</v>
      </c>
      <c r="AT74" s="13" t="s">
        <v>2420</v>
      </c>
      <c r="AU74" s="13" t="s">
        <v>2421</v>
      </c>
      <c r="AV74" s="13" t="s">
        <v>2422</v>
      </c>
      <c r="AW74" s="13" t="s">
        <v>2416</v>
      </c>
      <c r="AX74" s="13" t="s">
        <v>2073</v>
      </c>
      <c r="AY74" s="13" t="s">
        <v>2073</v>
      </c>
      <c r="AZ74" s="13" t="s">
        <v>2073</v>
      </c>
      <c r="BA74" s="13" t="s">
        <v>2073</v>
      </c>
      <c r="BB74" s="13" t="s">
        <v>2073</v>
      </c>
      <c r="BC74" s="13" t="s">
        <v>2073</v>
      </c>
    </row>
    <row r="75" spans="1:55" ht="15.75" customHeight="1">
      <c r="A75" s="13">
        <v>2000</v>
      </c>
      <c r="B75" s="7" t="s">
        <v>320</v>
      </c>
      <c r="C75" s="211" t="s">
        <v>2412</v>
      </c>
      <c r="D75" s="13" t="s">
        <v>319</v>
      </c>
      <c r="E75" s="13" t="s">
        <v>313</v>
      </c>
      <c r="F75" s="211" t="s">
        <v>2413</v>
      </c>
      <c r="G75" s="13" t="s">
        <v>2414</v>
      </c>
      <c r="H75" s="13" t="s">
        <v>2077</v>
      </c>
      <c r="I75" s="13" t="s">
        <v>2077</v>
      </c>
      <c r="J75" s="13" t="s">
        <v>2077</v>
      </c>
      <c r="K75" s="13" t="s">
        <v>2077</v>
      </c>
      <c r="L75" s="13" t="s">
        <v>2077</v>
      </c>
      <c r="M75" s="13" t="s">
        <v>2077</v>
      </c>
      <c r="N75" s="211" t="s">
        <v>2415</v>
      </c>
      <c r="O75" s="13" t="s">
        <v>2416</v>
      </c>
      <c r="P75" s="69" t="str">
        <f t="shared" ref="P75:Q75" si="73">D75</f>
        <v>PROSES MANUAL LEG 2SGMNLG</v>
      </c>
      <c r="Q75" s="13" t="str">
        <f t="shared" si="73"/>
        <v>2GT</v>
      </c>
      <c r="R75" s="212" t="s">
        <v>23</v>
      </c>
      <c r="S75" s="212" t="s">
        <v>23</v>
      </c>
      <c r="T75" s="13">
        <v>85</v>
      </c>
      <c r="U75" s="211" t="s">
        <v>134</v>
      </c>
      <c r="V75" s="13">
        <v>1</v>
      </c>
      <c r="W75" s="13" t="s">
        <v>2417</v>
      </c>
      <c r="X75" s="13" t="s">
        <v>1924</v>
      </c>
      <c r="Y75" s="13" t="s">
        <v>2073</v>
      </c>
      <c r="Z75" s="13" t="s">
        <v>2073</v>
      </c>
      <c r="AA75" s="13" t="s">
        <v>2073</v>
      </c>
      <c r="AB75" s="13" t="s">
        <v>1924</v>
      </c>
      <c r="AC75" s="211" t="s">
        <v>2415</v>
      </c>
      <c r="AD75" s="13" t="s">
        <v>2416</v>
      </c>
      <c r="AE75" s="69" t="s">
        <v>321</v>
      </c>
      <c r="AF75" s="13" t="s">
        <v>2418</v>
      </c>
      <c r="AG75" s="13" t="s">
        <v>2419</v>
      </c>
      <c r="AH75" s="13" t="s">
        <v>2420</v>
      </c>
      <c r="AI75" s="13" t="s">
        <v>2421</v>
      </c>
      <c r="AJ75" s="13" t="s">
        <v>2422</v>
      </c>
      <c r="AK75" s="13" t="s">
        <v>2416</v>
      </c>
      <c r="AL75" s="13" t="s">
        <v>2077</v>
      </c>
      <c r="AM75" s="13" t="s">
        <v>2077</v>
      </c>
      <c r="AN75" s="13" t="s">
        <v>2077</v>
      </c>
      <c r="AO75" s="13" t="s">
        <v>2077</v>
      </c>
      <c r="AP75" s="13" t="s">
        <v>2077</v>
      </c>
      <c r="AQ75" s="13" t="s">
        <v>2077</v>
      </c>
      <c r="AR75" s="13" t="s">
        <v>2418</v>
      </c>
      <c r="AS75" s="13" t="s">
        <v>2419</v>
      </c>
      <c r="AT75" s="13" t="s">
        <v>2420</v>
      </c>
      <c r="AU75" s="13" t="s">
        <v>2421</v>
      </c>
      <c r="AV75" s="13" t="s">
        <v>2422</v>
      </c>
      <c r="AW75" s="13" t="s">
        <v>2416</v>
      </c>
      <c r="AX75" s="13" t="s">
        <v>2073</v>
      </c>
      <c r="AY75" s="13" t="s">
        <v>2073</v>
      </c>
      <c r="AZ75" s="13" t="s">
        <v>2073</v>
      </c>
      <c r="BA75" s="13" t="s">
        <v>2073</v>
      </c>
      <c r="BB75" s="13" t="s">
        <v>2073</v>
      </c>
      <c r="BC75" s="13" t="s">
        <v>2073</v>
      </c>
    </row>
    <row r="76" spans="1:55" ht="15.75" customHeight="1">
      <c r="A76" s="13">
        <v>2000</v>
      </c>
      <c r="B76" s="7" t="s">
        <v>325</v>
      </c>
      <c r="C76" s="211" t="s">
        <v>2412</v>
      </c>
      <c r="D76" s="13" t="s">
        <v>324</v>
      </c>
      <c r="E76" s="13" t="s">
        <v>313</v>
      </c>
      <c r="F76" s="211" t="s">
        <v>2413</v>
      </c>
      <c r="G76" s="13" t="s">
        <v>2414</v>
      </c>
      <c r="H76" s="13" t="s">
        <v>2077</v>
      </c>
      <c r="I76" s="13" t="s">
        <v>2077</v>
      </c>
      <c r="J76" s="13" t="s">
        <v>2077</v>
      </c>
      <c r="K76" s="13" t="s">
        <v>2077</v>
      </c>
      <c r="L76" s="13" t="s">
        <v>2077</v>
      </c>
      <c r="M76" s="13" t="s">
        <v>2077</v>
      </c>
      <c r="N76" s="211" t="s">
        <v>2415</v>
      </c>
      <c r="O76" s="13" t="s">
        <v>2416</v>
      </c>
      <c r="P76" s="69" t="str">
        <f t="shared" ref="P76:Q76" si="74">D76</f>
        <v>CNC ROUTER HEIAN NC-271 PMC   UN REG MP.0606</v>
      </c>
      <c r="Q76" s="13" t="str">
        <f t="shared" si="74"/>
        <v>2GT</v>
      </c>
      <c r="R76" s="212" t="s">
        <v>23</v>
      </c>
      <c r="S76" s="212" t="s">
        <v>23</v>
      </c>
      <c r="T76" s="13">
        <v>85</v>
      </c>
      <c r="U76" s="211" t="s">
        <v>134</v>
      </c>
      <c r="V76" s="13">
        <v>1</v>
      </c>
      <c r="W76" s="13" t="s">
        <v>2417</v>
      </c>
      <c r="X76" s="13" t="s">
        <v>1924</v>
      </c>
      <c r="Y76" s="13" t="s">
        <v>2073</v>
      </c>
      <c r="Z76" s="13" t="s">
        <v>2073</v>
      </c>
      <c r="AA76" s="13" t="s">
        <v>2073</v>
      </c>
      <c r="AB76" s="13" t="s">
        <v>1924</v>
      </c>
      <c r="AC76" s="211" t="s">
        <v>2415</v>
      </c>
      <c r="AD76" s="13" t="s">
        <v>2416</v>
      </c>
      <c r="AE76" s="69" t="s">
        <v>326</v>
      </c>
      <c r="AF76" s="13" t="s">
        <v>2418</v>
      </c>
      <c r="AG76" s="13" t="s">
        <v>2419</v>
      </c>
      <c r="AH76" s="13" t="s">
        <v>2420</v>
      </c>
      <c r="AI76" s="13" t="s">
        <v>2421</v>
      </c>
      <c r="AJ76" s="13" t="s">
        <v>2422</v>
      </c>
      <c r="AK76" s="13" t="s">
        <v>2416</v>
      </c>
      <c r="AL76" s="13" t="s">
        <v>2077</v>
      </c>
      <c r="AM76" s="13" t="s">
        <v>2077</v>
      </c>
      <c r="AN76" s="13" t="s">
        <v>2077</v>
      </c>
      <c r="AO76" s="13" t="s">
        <v>2077</v>
      </c>
      <c r="AP76" s="13" t="s">
        <v>2077</v>
      </c>
      <c r="AQ76" s="13" t="s">
        <v>2077</v>
      </c>
      <c r="AR76" s="13" t="s">
        <v>2418</v>
      </c>
      <c r="AS76" s="13" t="s">
        <v>2419</v>
      </c>
      <c r="AT76" s="13" t="s">
        <v>2420</v>
      </c>
      <c r="AU76" s="13" t="s">
        <v>2421</v>
      </c>
      <c r="AV76" s="13" t="s">
        <v>2422</v>
      </c>
      <c r="AW76" s="13" t="s">
        <v>2416</v>
      </c>
      <c r="AX76" s="13" t="s">
        <v>2073</v>
      </c>
      <c r="AY76" s="13" t="s">
        <v>2073</v>
      </c>
      <c r="AZ76" s="13" t="s">
        <v>2073</v>
      </c>
      <c r="BA76" s="13" t="s">
        <v>2073</v>
      </c>
      <c r="BB76" s="13" t="s">
        <v>2073</v>
      </c>
      <c r="BC76" s="13" t="s">
        <v>2073</v>
      </c>
    </row>
    <row r="77" spans="1:55" ht="15.75" customHeight="1">
      <c r="A77" s="13">
        <v>2000</v>
      </c>
      <c r="B77" s="7" t="s">
        <v>329</v>
      </c>
      <c r="C77" s="211" t="s">
        <v>2412</v>
      </c>
      <c r="D77" s="13" t="s">
        <v>328</v>
      </c>
      <c r="E77" s="13" t="s">
        <v>313</v>
      </c>
      <c r="F77" s="211" t="s">
        <v>2413</v>
      </c>
      <c r="G77" s="13" t="s">
        <v>2414</v>
      </c>
      <c r="H77" s="13" t="s">
        <v>2077</v>
      </c>
      <c r="I77" s="13" t="s">
        <v>2077</v>
      </c>
      <c r="J77" s="13" t="s">
        <v>2077</v>
      </c>
      <c r="K77" s="13" t="s">
        <v>2077</v>
      </c>
      <c r="L77" s="13" t="s">
        <v>2077</v>
      </c>
      <c r="M77" s="13" t="s">
        <v>2077</v>
      </c>
      <c r="N77" s="211" t="s">
        <v>2415</v>
      </c>
      <c r="O77" s="13" t="s">
        <v>2416</v>
      </c>
      <c r="P77" s="69" t="str">
        <f t="shared" ref="P77:Q77" si="75">D77</f>
        <v>CNC ROUTER HEIAN NC-271 PMC   MP.0605</v>
      </c>
      <c r="Q77" s="13" t="str">
        <f t="shared" si="75"/>
        <v>2GT</v>
      </c>
      <c r="R77" s="212" t="s">
        <v>23</v>
      </c>
      <c r="S77" s="212" t="s">
        <v>23</v>
      </c>
      <c r="T77" s="13">
        <v>85</v>
      </c>
      <c r="U77" s="211" t="s">
        <v>134</v>
      </c>
      <c r="V77" s="13">
        <v>1</v>
      </c>
      <c r="W77" s="13" t="s">
        <v>2417</v>
      </c>
      <c r="X77" s="13" t="s">
        <v>1924</v>
      </c>
      <c r="Y77" s="13" t="s">
        <v>2073</v>
      </c>
      <c r="Z77" s="13" t="s">
        <v>2073</v>
      </c>
      <c r="AA77" s="13" t="s">
        <v>2073</v>
      </c>
      <c r="AB77" s="13" t="s">
        <v>1924</v>
      </c>
      <c r="AC77" s="211" t="s">
        <v>2415</v>
      </c>
      <c r="AD77" s="13" t="s">
        <v>2416</v>
      </c>
      <c r="AE77" s="69" t="s">
        <v>330</v>
      </c>
      <c r="AF77" s="13" t="s">
        <v>2418</v>
      </c>
      <c r="AG77" s="13" t="s">
        <v>2419</v>
      </c>
      <c r="AH77" s="13" t="s">
        <v>2420</v>
      </c>
      <c r="AI77" s="13" t="s">
        <v>2421</v>
      </c>
      <c r="AJ77" s="13" t="s">
        <v>2422</v>
      </c>
      <c r="AK77" s="13" t="s">
        <v>2416</v>
      </c>
      <c r="AL77" s="13" t="s">
        <v>2077</v>
      </c>
      <c r="AM77" s="13" t="s">
        <v>2077</v>
      </c>
      <c r="AN77" s="13" t="s">
        <v>2077</v>
      </c>
      <c r="AO77" s="13" t="s">
        <v>2077</v>
      </c>
      <c r="AP77" s="13" t="s">
        <v>2077</v>
      </c>
      <c r="AQ77" s="13" t="s">
        <v>2077</v>
      </c>
      <c r="AR77" s="13" t="s">
        <v>2418</v>
      </c>
      <c r="AS77" s="13" t="s">
        <v>2419</v>
      </c>
      <c r="AT77" s="13" t="s">
        <v>2420</v>
      </c>
      <c r="AU77" s="13" t="s">
        <v>2421</v>
      </c>
      <c r="AV77" s="13" t="s">
        <v>2422</v>
      </c>
      <c r="AW77" s="13" t="s">
        <v>2416</v>
      </c>
      <c r="AX77" s="13" t="s">
        <v>2073</v>
      </c>
      <c r="AY77" s="13" t="s">
        <v>2073</v>
      </c>
      <c r="AZ77" s="13" t="s">
        <v>2073</v>
      </c>
      <c r="BA77" s="13" t="s">
        <v>2073</v>
      </c>
      <c r="BB77" s="13" t="s">
        <v>2073</v>
      </c>
      <c r="BC77" s="13" t="s">
        <v>2073</v>
      </c>
    </row>
    <row r="78" spans="1:55" ht="15.75" customHeight="1">
      <c r="A78" s="13">
        <v>2000</v>
      </c>
      <c r="B78" s="7" t="s">
        <v>333</v>
      </c>
      <c r="C78" s="211" t="s">
        <v>2412</v>
      </c>
      <c r="D78" s="13" t="s">
        <v>332</v>
      </c>
      <c r="E78" s="13" t="s">
        <v>313</v>
      </c>
      <c r="F78" s="211" t="s">
        <v>2413</v>
      </c>
      <c r="G78" s="13" t="s">
        <v>2414</v>
      </c>
      <c r="H78" s="13" t="s">
        <v>2077</v>
      </c>
      <c r="I78" s="13" t="s">
        <v>2077</v>
      </c>
      <c r="J78" s="13" t="s">
        <v>2077</v>
      </c>
      <c r="K78" s="13" t="s">
        <v>2077</v>
      </c>
      <c r="L78" s="13" t="s">
        <v>2077</v>
      </c>
      <c r="M78" s="13" t="s">
        <v>2077</v>
      </c>
      <c r="N78" s="211" t="s">
        <v>2415</v>
      </c>
      <c r="O78" s="13" t="s">
        <v>2416</v>
      </c>
      <c r="P78" s="69" t="str">
        <f t="shared" ref="P78:Q78" si="76">D78</f>
        <v>CNC ROUTER HEIAN ER-431PS MP.0557</v>
      </c>
      <c r="Q78" s="13" t="str">
        <f t="shared" si="76"/>
        <v>2GT</v>
      </c>
      <c r="R78" s="212" t="s">
        <v>23</v>
      </c>
      <c r="S78" s="212" t="s">
        <v>23</v>
      </c>
      <c r="T78" s="13">
        <v>85</v>
      </c>
      <c r="U78" s="211" t="s">
        <v>134</v>
      </c>
      <c r="V78" s="13">
        <v>1</v>
      </c>
      <c r="W78" s="13" t="s">
        <v>2417</v>
      </c>
      <c r="X78" s="13" t="s">
        <v>1924</v>
      </c>
      <c r="Y78" s="13" t="s">
        <v>2073</v>
      </c>
      <c r="Z78" s="13" t="s">
        <v>2073</v>
      </c>
      <c r="AA78" s="13" t="s">
        <v>2073</v>
      </c>
      <c r="AB78" s="13" t="s">
        <v>1924</v>
      </c>
      <c r="AC78" s="211" t="s">
        <v>2415</v>
      </c>
      <c r="AD78" s="13" t="s">
        <v>2416</v>
      </c>
      <c r="AE78" s="69" t="s">
        <v>334</v>
      </c>
      <c r="AF78" s="13" t="s">
        <v>2418</v>
      </c>
      <c r="AG78" s="13" t="s">
        <v>2419</v>
      </c>
      <c r="AH78" s="13" t="s">
        <v>2420</v>
      </c>
      <c r="AI78" s="13" t="s">
        <v>2421</v>
      </c>
      <c r="AJ78" s="13" t="s">
        <v>2422</v>
      </c>
      <c r="AK78" s="13" t="s">
        <v>2416</v>
      </c>
      <c r="AL78" s="13" t="s">
        <v>2077</v>
      </c>
      <c r="AM78" s="13" t="s">
        <v>2077</v>
      </c>
      <c r="AN78" s="13" t="s">
        <v>2077</v>
      </c>
      <c r="AO78" s="13" t="s">
        <v>2077</v>
      </c>
      <c r="AP78" s="13" t="s">
        <v>2077</v>
      </c>
      <c r="AQ78" s="13" t="s">
        <v>2077</v>
      </c>
      <c r="AR78" s="13" t="s">
        <v>2418</v>
      </c>
      <c r="AS78" s="13" t="s">
        <v>2419</v>
      </c>
      <c r="AT78" s="13" t="s">
        <v>2420</v>
      </c>
      <c r="AU78" s="13" t="s">
        <v>2421</v>
      </c>
      <c r="AV78" s="13" t="s">
        <v>2422</v>
      </c>
      <c r="AW78" s="13" t="s">
        <v>2416</v>
      </c>
      <c r="AX78" s="13" t="s">
        <v>2073</v>
      </c>
      <c r="AY78" s="13" t="s">
        <v>2073</v>
      </c>
      <c r="AZ78" s="13" t="s">
        <v>2073</v>
      </c>
      <c r="BA78" s="13" t="s">
        <v>2073</v>
      </c>
      <c r="BB78" s="13" t="s">
        <v>2073</v>
      </c>
      <c r="BC78" s="13" t="s">
        <v>2073</v>
      </c>
    </row>
    <row r="79" spans="1:55" ht="15.75" customHeight="1">
      <c r="A79" s="13">
        <v>2000</v>
      </c>
      <c r="B79" s="7" t="s">
        <v>337</v>
      </c>
      <c r="C79" s="211" t="s">
        <v>2412</v>
      </c>
      <c r="D79" s="13" t="s">
        <v>336</v>
      </c>
      <c r="E79" s="13" t="s">
        <v>313</v>
      </c>
      <c r="F79" s="211" t="s">
        <v>2413</v>
      </c>
      <c r="G79" s="13" t="s">
        <v>2414</v>
      </c>
      <c r="H79" s="13" t="s">
        <v>2077</v>
      </c>
      <c r="I79" s="13" t="s">
        <v>2077</v>
      </c>
      <c r="J79" s="13" t="s">
        <v>2077</v>
      </c>
      <c r="K79" s="13" t="s">
        <v>2077</v>
      </c>
      <c r="L79" s="13" t="s">
        <v>2077</v>
      </c>
      <c r="M79" s="13" t="s">
        <v>2077</v>
      </c>
      <c r="N79" s="211" t="s">
        <v>2415</v>
      </c>
      <c r="O79" s="13" t="s">
        <v>2416</v>
      </c>
      <c r="P79" s="69" t="str">
        <f t="shared" ref="P79:Q79" si="77">D79</f>
        <v>PROSES MANUAL RAIL 2SGMNRL</v>
      </c>
      <c r="Q79" s="13" t="str">
        <f t="shared" si="77"/>
        <v>2GT</v>
      </c>
      <c r="R79" s="212" t="s">
        <v>23</v>
      </c>
      <c r="S79" s="212" t="s">
        <v>23</v>
      </c>
      <c r="T79" s="13">
        <v>85</v>
      </c>
      <c r="U79" s="211" t="s">
        <v>134</v>
      </c>
      <c r="V79" s="13">
        <v>1</v>
      </c>
      <c r="W79" s="13" t="s">
        <v>2417</v>
      </c>
      <c r="X79" s="13" t="s">
        <v>1924</v>
      </c>
      <c r="Y79" s="13" t="s">
        <v>2073</v>
      </c>
      <c r="Z79" s="13" t="s">
        <v>2073</v>
      </c>
      <c r="AA79" s="13" t="s">
        <v>2073</v>
      </c>
      <c r="AB79" s="13" t="s">
        <v>1924</v>
      </c>
      <c r="AC79" s="211" t="s">
        <v>2415</v>
      </c>
      <c r="AD79" s="13" t="s">
        <v>2416</v>
      </c>
      <c r="AE79" s="69" t="s">
        <v>338</v>
      </c>
      <c r="AF79" s="13" t="s">
        <v>2418</v>
      </c>
      <c r="AG79" s="13" t="s">
        <v>2419</v>
      </c>
      <c r="AH79" s="13" t="s">
        <v>2420</v>
      </c>
      <c r="AI79" s="13" t="s">
        <v>2421</v>
      </c>
      <c r="AJ79" s="13" t="s">
        <v>2422</v>
      </c>
      <c r="AK79" s="13" t="s">
        <v>2416</v>
      </c>
      <c r="AL79" s="13" t="s">
        <v>2077</v>
      </c>
      <c r="AM79" s="13" t="s">
        <v>2077</v>
      </c>
      <c r="AN79" s="13" t="s">
        <v>2077</v>
      </c>
      <c r="AO79" s="13" t="s">
        <v>2077</v>
      </c>
      <c r="AP79" s="13" t="s">
        <v>2077</v>
      </c>
      <c r="AQ79" s="13" t="s">
        <v>2077</v>
      </c>
      <c r="AR79" s="13" t="s">
        <v>2418</v>
      </c>
      <c r="AS79" s="13" t="s">
        <v>2419</v>
      </c>
      <c r="AT79" s="13" t="s">
        <v>2420</v>
      </c>
      <c r="AU79" s="13" t="s">
        <v>2421</v>
      </c>
      <c r="AV79" s="13" t="s">
        <v>2422</v>
      </c>
      <c r="AW79" s="13" t="s">
        <v>2416</v>
      </c>
      <c r="AX79" s="13" t="s">
        <v>2073</v>
      </c>
      <c r="AY79" s="13" t="s">
        <v>2073</v>
      </c>
      <c r="AZ79" s="13" t="s">
        <v>2073</v>
      </c>
      <c r="BA79" s="13" t="s">
        <v>2073</v>
      </c>
      <c r="BB79" s="13" t="s">
        <v>2073</v>
      </c>
      <c r="BC79" s="13" t="s">
        <v>2073</v>
      </c>
    </row>
    <row r="80" spans="1:55" ht="15.75" customHeight="1">
      <c r="A80" s="13">
        <v>2000</v>
      </c>
      <c r="B80" s="7" t="s">
        <v>342</v>
      </c>
      <c r="C80" s="211" t="s">
        <v>2412</v>
      </c>
      <c r="D80" s="13" t="s">
        <v>341</v>
      </c>
      <c r="E80" s="13" t="s">
        <v>313</v>
      </c>
      <c r="F80" s="211" t="s">
        <v>2413</v>
      </c>
      <c r="G80" s="13" t="s">
        <v>2414</v>
      </c>
      <c r="H80" s="13" t="s">
        <v>2077</v>
      </c>
      <c r="I80" s="13" t="s">
        <v>2077</v>
      </c>
      <c r="J80" s="13" t="s">
        <v>2077</v>
      </c>
      <c r="K80" s="13" t="s">
        <v>2077</v>
      </c>
      <c r="L80" s="13" t="s">
        <v>2077</v>
      </c>
      <c r="M80" s="13" t="s">
        <v>2077</v>
      </c>
      <c r="N80" s="211" t="s">
        <v>2415</v>
      </c>
      <c r="O80" s="13" t="s">
        <v>2416</v>
      </c>
      <c r="P80" s="69" t="str">
        <f t="shared" ref="P80:Q80" si="78">D80</f>
        <v>CNC ROUTER SHODA NC291-6716   MP.0633</v>
      </c>
      <c r="Q80" s="13" t="str">
        <f t="shared" si="78"/>
        <v>2GT</v>
      </c>
      <c r="R80" s="212" t="s">
        <v>23</v>
      </c>
      <c r="S80" s="212" t="s">
        <v>23</v>
      </c>
      <c r="T80" s="13">
        <v>85</v>
      </c>
      <c r="U80" s="211" t="s">
        <v>134</v>
      </c>
      <c r="V80" s="13">
        <v>1</v>
      </c>
      <c r="W80" s="13" t="s">
        <v>2417</v>
      </c>
      <c r="X80" s="13" t="s">
        <v>1924</v>
      </c>
      <c r="Y80" s="13" t="s">
        <v>2073</v>
      </c>
      <c r="Z80" s="13" t="s">
        <v>2073</v>
      </c>
      <c r="AA80" s="13" t="s">
        <v>2073</v>
      </c>
      <c r="AB80" s="13" t="s">
        <v>1924</v>
      </c>
      <c r="AC80" s="211" t="s">
        <v>2415</v>
      </c>
      <c r="AD80" s="13" t="s">
        <v>2416</v>
      </c>
      <c r="AE80" s="69" t="s">
        <v>343</v>
      </c>
      <c r="AF80" s="13" t="s">
        <v>2418</v>
      </c>
      <c r="AG80" s="13" t="s">
        <v>2419</v>
      </c>
      <c r="AH80" s="13" t="s">
        <v>2420</v>
      </c>
      <c r="AI80" s="13" t="s">
        <v>2421</v>
      </c>
      <c r="AJ80" s="13" t="s">
        <v>2422</v>
      </c>
      <c r="AK80" s="13" t="s">
        <v>2416</v>
      </c>
      <c r="AL80" s="13" t="s">
        <v>2077</v>
      </c>
      <c r="AM80" s="13" t="s">
        <v>2077</v>
      </c>
      <c r="AN80" s="13" t="s">
        <v>2077</v>
      </c>
      <c r="AO80" s="13" t="s">
        <v>2077</v>
      </c>
      <c r="AP80" s="13" t="s">
        <v>2077</v>
      </c>
      <c r="AQ80" s="13" t="s">
        <v>2077</v>
      </c>
      <c r="AR80" s="13" t="s">
        <v>2418</v>
      </c>
      <c r="AS80" s="13" t="s">
        <v>2419</v>
      </c>
      <c r="AT80" s="13" t="s">
        <v>2420</v>
      </c>
      <c r="AU80" s="13" t="s">
        <v>2421</v>
      </c>
      <c r="AV80" s="13" t="s">
        <v>2422</v>
      </c>
      <c r="AW80" s="13" t="s">
        <v>2416</v>
      </c>
      <c r="AX80" s="13" t="s">
        <v>2073</v>
      </c>
      <c r="AY80" s="13" t="s">
        <v>2073</v>
      </c>
      <c r="AZ80" s="13" t="s">
        <v>2073</v>
      </c>
      <c r="BA80" s="13" t="s">
        <v>2073</v>
      </c>
      <c r="BB80" s="13" t="s">
        <v>2073</v>
      </c>
      <c r="BC80" s="13" t="s">
        <v>2073</v>
      </c>
    </row>
    <row r="81" spans="1:55" ht="15.75" customHeight="1">
      <c r="A81" s="13">
        <v>2000</v>
      </c>
      <c r="B81" s="7" t="s">
        <v>346</v>
      </c>
      <c r="C81" s="211" t="s">
        <v>2412</v>
      </c>
      <c r="D81" s="13" t="s">
        <v>345</v>
      </c>
      <c r="E81" s="13" t="s">
        <v>313</v>
      </c>
      <c r="F81" s="211" t="s">
        <v>2413</v>
      </c>
      <c r="G81" s="13" t="s">
        <v>2414</v>
      </c>
      <c r="H81" s="13" t="s">
        <v>2077</v>
      </c>
      <c r="I81" s="13" t="s">
        <v>2077</v>
      </c>
      <c r="J81" s="13" t="s">
        <v>2077</v>
      </c>
      <c r="K81" s="13" t="s">
        <v>2077</v>
      </c>
      <c r="L81" s="13" t="s">
        <v>2077</v>
      </c>
      <c r="M81" s="13" t="s">
        <v>2077</v>
      </c>
      <c r="N81" s="211" t="s">
        <v>2415</v>
      </c>
      <c r="O81" s="13" t="s">
        <v>2416</v>
      </c>
      <c r="P81" s="69" t="str">
        <f t="shared" ref="P81:Q81" si="79">D81</f>
        <v>CNC ROUTER SHODA NCW-516-1346 MP.0553</v>
      </c>
      <c r="Q81" s="13" t="str">
        <f t="shared" si="79"/>
        <v>2GT</v>
      </c>
      <c r="R81" s="212" t="s">
        <v>23</v>
      </c>
      <c r="S81" s="212" t="s">
        <v>23</v>
      </c>
      <c r="T81" s="13">
        <v>85</v>
      </c>
      <c r="U81" s="211" t="s">
        <v>134</v>
      </c>
      <c r="V81" s="13">
        <v>1</v>
      </c>
      <c r="W81" s="13" t="s">
        <v>2417</v>
      </c>
      <c r="X81" s="13" t="s">
        <v>1924</v>
      </c>
      <c r="Y81" s="13" t="s">
        <v>2073</v>
      </c>
      <c r="Z81" s="13" t="s">
        <v>2073</v>
      </c>
      <c r="AA81" s="13" t="s">
        <v>2073</v>
      </c>
      <c r="AB81" s="13" t="s">
        <v>1924</v>
      </c>
      <c r="AC81" s="211" t="s">
        <v>2415</v>
      </c>
      <c r="AD81" s="13" t="s">
        <v>2416</v>
      </c>
      <c r="AE81" s="69" t="s">
        <v>347</v>
      </c>
      <c r="AF81" s="13" t="s">
        <v>2418</v>
      </c>
      <c r="AG81" s="13" t="s">
        <v>2419</v>
      </c>
      <c r="AH81" s="13" t="s">
        <v>2420</v>
      </c>
      <c r="AI81" s="13" t="s">
        <v>2421</v>
      </c>
      <c r="AJ81" s="13" t="s">
        <v>2422</v>
      </c>
      <c r="AK81" s="13" t="s">
        <v>2416</v>
      </c>
      <c r="AL81" s="13" t="s">
        <v>2077</v>
      </c>
      <c r="AM81" s="13" t="s">
        <v>2077</v>
      </c>
      <c r="AN81" s="13" t="s">
        <v>2077</v>
      </c>
      <c r="AO81" s="13" t="s">
        <v>2077</v>
      </c>
      <c r="AP81" s="13" t="s">
        <v>2077</v>
      </c>
      <c r="AQ81" s="13" t="s">
        <v>2077</v>
      </c>
      <c r="AR81" s="13" t="s">
        <v>2418</v>
      </c>
      <c r="AS81" s="13" t="s">
        <v>2419</v>
      </c>
      <c r="AT81" s="13" t="s">
        <v>2420</v>
      </c>
      <c r="AU81" s="13" t="s">
        <v>2421</v>
      </c>
      <c r="AV81" s="13" t="s">
        <v>2422</v>
      </c>
      <c r="AW81" s="13" t="s">
        <v>2416</v>
      </c>
      <c r="AX81" s="13" t="s">
        <v>2073</v>
      </c>
      <c r="AY81" s="13" t="s">
        <v>2073</v>
      </c>
      <c r="AZ81" s="13" t="s">
        <v>2073</v>
      </c>
      <c r="BA81" s="13" t="s">
        <v>2073</v>
      </c>
      <c r="BB81" s="13" t="s">
        <v>2073</v>
      </c>
      <c r="BC81" s="13" t="s">
        <v>2073</v>
      </c>
    </row>
    <row r="82" spans="1:55" ht="15.75" customHeight="1">
      <c r="A82" s="13">
        <v>2000</v>
      </c>
      <c r="B82" s="7" t="s">
        <v>350</v>
      </c>
      <c r="C82" s="211" t="s">
        <v>2412</v>
      </c>
      <c r="D82" s="13" t="s">
        <v>349</v>
      </c>
      <c r="E82" s="13" t="s">
        <v>313</v>
      </c>
      <c r="F82" s="211" t="s">
        <v>2413</v>
      </c>
      <c r="G82" s="13" t="s">
        <v>2414</v>
      </c>
      <c r="H82" s="13" t="s">
        <v>2077</v>
      </c>
      <c r="I82" s="13" t="s">
        <v>2077</v>
      </c>
      <c r="J82" s="13" t="s">
        <v>2077</v>
      </c>
      <c r="K82" s="13" t="s">
        <v>2077</v>
      </c>
      <c r="L82" s="13" t="s">
        <v>2077</v>
      </c>
      <c r="M82" s="13" t="s">
        <v>2077</v>
      </c>
      <c r="N82" s="211" t="s">
        <v>2415</v>
      </c>
      <c r="O82" s="13" t="s">
        <v>2416</v>
      </c>
      <c r="P82" s="69" t="str">
        <f t="shared" ref="P82:Q82" si="80">D82</f>
        <v>PROSES MANUAL SILL APRONT 2SGMNSA</v>
      </c>
      <c r="Q82" s="13" t="str">
        <f t="shared" si="80"/>
        <v>2GT</v>
      </c>
      <c r="R82" s="212" t="s">
        <v>23</v>
      </c>
      <c r="S82" s="212" t="s">
        <v>23</v>
      </c>
      <c r="T82" s="13">
        <v>85</v>
      </c>
      <c r="U82" s="211" t="s">
        <v>134</v>
      </c>
      <c r="V82" s="13">
        <v>1</v>
      </c>
      <c r="W82" s="13" t="s">
        <v>2417</v>
      </c>
      <c r="X82" s="13" t="s">
        <v>1924</v>
      </c>
      <c r="Y82" s="13" t="s">
        <v>2073</v>
      </c>
      <c r="Z82" s="13" t="s">
        <v>2073</v>
      </c>
      <c r="AA82" s="13" t="s">
        <v>2073</v>
      </c>
      <c r="AB82" s="13" t="s">
        <v>1924</v>
      </c>
      <c r="AC82" s="211" t="s">
        <v>2415</v>
      </c>
      <c r="AD82" s="13" t="s">
        <v>2416</v>
      </c>
      <c r="AE82" s="69" t="s">
        <v>351</v>
      </c>
      <c r="AF82" s="13" t="s">
        <v>2418</v>
      </c>
      <c r="AG82" s="13" t="s">
        <v>2419</v>
      </c>
      <c r="AH82" s="13" t="s">
        <v>2420</v>
      </c>
      <c r="AI82" s="13" t="s">
        <v>2421</v>
      </c>
      <c r="AJ82" s="13" t="s">
        <v>2422</v>
      </c>
      <c r="AK82" s="13" t="s">
        <v>2416</v>
      </c>
      <c r="AL82" s="13" t="s">
        <v>2077</v>
      </c>
      <c r="AM82" s="13" t="s">
        <v>2077</v>
      </c>
      <c r="AN82" s="13" t="s">
        <v>2077</v>
      </c>
      <c r="AO82" s="13" t="s">
        <v>2077</v>
      </c>
      <c r="AP82" s="13" t="s">
        <v>2077</v>
      </c>
      <c r="AQ82" s="13" t="s">
        <v>2077</v>
      </c>
      <c r="AR82" s="13" t="s">
        <v>2418</v>
      </c>
      <c r="AS82" s="13" t="s">
        <v>2419</v>
      </c>
      <c r="AT82" s="13" t="s">
        <v>2420</v>
      </c>
      <c r="AU82" s="13" t="s">
        <v>2421</v>
      </c>
      <c r="AV82" s="13" t="s">
        <v>2422</v>
      </c>
      <c r="AW82" s="13" t="s">
        <v>2416</v>
      </c>
      <c r="AX82" s="13" t="s">
        <v>2073</v>
      </c>
      <c r="AY82" s="13" t="s">
        <v>2073</v>
      </c>
      <c r="AZ82" s="13" t="s">
        <v>2073</v>
      </c>
      <c r="BA82" s="13" t="s">
        <v>2073</v>
      </c>
      <c r="BB82" s="13" t="s">
        <v>2073</v>
      </c>
      <c r="BC82" s="13" t="s">
        <v>2073</v>
      </c>
    </row>
    <row r="83" spans="1:55" ht="15.75" customHeight="1">
      <c r="A83" s="13">
        <v>2000</v>
      </c>
      <c r="B83" s="7" t="s">
        <v>355</v>
      </c>
      <c r="C83" s="211" t="s">
        <v>2412</v>
      </c>
      <c r="D83" s="13" t="s">
        <v>354</v>
      </c>
      <c r="E83" s="13" t="s">
        <v>313</v>
      </c>
      <c r="F83" s="211" t="s">
        <v>2413</v>
      </c>
      <c r="G83" s="13" t="s">
        <v>2414</v>
      </c>
      <c r="H83" s="13" t="s">
        <v>2077</v>
      </c>
      <c r="I83" s="13" t="s">
        <v>2077</v>
      </c>
      <c r="J83" s="13" t="s">
        <v>2077</v>
      </c>
      <c r="K83" s="13" t="s">
        <v>2077</v>
      </c>
      <c r="L83" s="13" t="s">
        <v>2077</v>
      </c>
      <c r="M83" s="13" t="s">
        <v>2077</v>
      </c>
      <c r="N83" s="211" t="s">
        <v>2415</v>
      </c>
      <c r="O83" s="13" t="s">
        <v>2416</v>
      </c>
      <c r="P83" s="69" t="str">
        <f t="shared" ref="P83:Q83" si="81">D83</f>
        <v>CNC BACCI MASTER FLAT MAST/02 DOOR&amp;GG</v>
      </c>
      <c r="Q83" s="13" t="str">
        <f t="shared" si="81"/>
        <v>2GT</v>
      </c>
      <c r="R83" s="212" t="s">
        <v>23</v>
      </c>
      <c r="S83" s="212" t="s">
        <v>23</v>
      </c>
      <c r="T83" s="13">
        <v>85</v>
      </c>
      <c r="U83" s="211" t="s">
        <v>134</v>
      </c>
      <c r="V83" s="13">
        <v>1</v>
      </c>
      <c r="W83" s="13" t="s">
        <v>2417</v>
      </c>
      <c r="X83" s="13" t="s">
        <v>1924</v>
      </c>
      <c r="Y83" s="13" t="s">
        <v>2073</v>
      </c>
      <c r="Z83" s="13" t="s">
        <v>2073</v>
      </c>
      <c r="AA83" s="13" t="s">
        <v>2073</v>
      </c>
      <c r="AB83" s="13" t="s">
        <v>1924</v>
      </c>
      <c r="AC83" s="211" t="s">
        <v>2415</v>
      </c>
      <c r="AD83" s="13" t="s">
        <v>2416</v>
      </c>
      <c r="AE83" s="69">
        <v>1111041401</v>
      </c>
      <c r="AF83" s="13" t="s">
        <v>2418</v>
      </c>
      <c r="AG83" s="13" t="s">
        <v>2419</v>
      </c>
      <c r="AH83" s="13" t="s">
        <v>2420</v>
      </c>
      <c r="AI83" s="13" t="s">
        <v>2421</v>
      </c>
      <c r="AJ83" s="13" t="s">
        <v>2422</v>
      </c>
      <c r="AK83" s="13" t="s">
        <v>2416</v>
      </c>
      <c r="AL83" s="13" t="s">
        <v>2077</v>
      </c>
      <c r="AM83" s="13" t="s">
        <v>2077</v>
      </c>
      <c r="AN83" s="13" t="s">
        <v>2077</v>
      </c>
      <c r="AO83" s="13" t="s">
        <v>2077</v>
      </c>
      <c r="AP83" s="13" t="s">
        <v>2077</v>
      </c>
      <c r="AQ83" s="13" t="s">
        <v>2077</v>
      </c>
      <c r="AR83" s="13" t="s">
        <v>2418</v>
      </c>
      <c r="AS83" s="13" t="s">
        <v>2419</v>
      </c>
      <c r="AT83" s="13" t="s">
        <v>2420</v>
      </c>
      <c r="AU83" s="13" t="s">
        <v>2421</v>
      </c>
      <c r="AV83" s="13" t="s">
        <v>2422</v>
      </c>
      <c r="AW83" s="13" t="s">
        <v>2416</v>
      </c>
      <c r="AX83" s="13" t="s">
        <v>2073</v>
      </c>
      <c r="AY83" s="13" t="s">
        <v>2073</v>
      </c>
      <c r="AZ83" s="13" t="s">
        <v>2073</v>
      </c>
      <c r="BA83" s="13" t="s">
        <v>2073</v>
      </c>
      <c r="BB83" s="13" t="s">
        <v>2073</v>
      </c>
      <c r="BC83" s="13" t="s">
        <v>2073</v>
      </c>
    </row>
    <row r="84" spans="1:55" ht="15.75" customHeight="1">
      <c r="A84" s="13">
        <v>2000</v>
      </c>
      <c r="B84" s="7" t="s">
        <v>359</v>
      </c>
      <c r="C84" s="211" t="s">
        <v>2412</v>
      </c>
      <c r="D84" s="13" t="s">
        <v>358</v>
      </c>
      <c r="E84" s="13" t="s">
        <v>313</v>
      </c>
      <c r="F84" s="211" t="s">
        <v>2413</v>
      </c>
      <c r="G84" s="13" t="s">
        <v>2414</v>
      </c>
      <c r="H84" s="13" t="s">
        <v>2077</v>
      </c>
      <c r="I84" s="13" t="s">
        <v>2077</v>
      </c>
      <c r="J84" s="13" t="s">
        <v>2077</v>
      </c>
      <c r="K84" s="13" t="s">
        <v>2077</v>
      </c>
      <c r="L84" s="13" t="s">
        <v>2077</v>
      </c>
      <c r="M84" s="13" t="s">
        <v>2077</v>
      </c>
      <c r="N84" s="211" t="s">
        <v>2415</v>
      </c>
      <c r="O84" s="13" t="s">
        <v>2416</v>
      </c>
      <c r="P84" s="69" t="str">
        <f t="shared" ref="P84:Q84" si="82">D84</f>
        <v>PROSES ASSEMBLY LEG</v>
      </c>
      <c r="Q84" s="13" t="str">
        <f t="shared" si="82"/>
        <v>2GT</v>
      </c>
      <c r="R84" s="212" t="s">
        <v>23</v>
      </c>
      <c r="S84" s="212" t="s">
        <v>23</v>
      </c>
      <c r="T84" s="13">
        <v>85</v>
      </c>
      <c r="U84" s="211" t="s">
        <v>134</v>
      </c>
      <c r="V84" s="13">
        <v>1</v>
      </c>
      <c r="W84" s="13" t="s">
        <v>2417</v>
      </c>
      <c r="X84" s="13" t="s">
        <v>1924</v>
      </c>
      <c r="Y84" s="13" t="s">
        <v>2073</v>
      </c>
      <c r="Z84" s="13" t="s">
        <v>2073</v>
      </c>
      <c r="AA84" s="13" t="s">
        <v>2073</v>
      </c>
      <c r="AB84" s="13" t="s">
        <v>1924</v>
      </c>
      <c r="AC84" s="211" t="s">
        <v>2415</v>
      </c>
      <c r="AD84" s="13" t="s">
        <v>2416</v>
      </c>
      <c r="AE84" s="69" t="s">
        <v>360</v>
      </c>
      <c r="AF84" s="13" t="s">
        <v>2418</v>
      </c>
      <c r="AG84" s="13" t="s">
        <v>2419</v>
      </c>
      <c r="AH84" s="13" t="s">
        <v>2420</v>
      </c>
      <c r="AI84" s="13" t="s">
        <v>2421</v>
      </c>
      <c r="AJ84" s="13" t="s">
        <v>2422</v>
      </c>
      <c r="AK84" s="13" t="s">
        <v>2416</v>
      </c>
      <c r="AL84" s="13" t="s">
        <v>2077</v>
      </c>
      <c r="AM84" s="13" t="s">
        <v>2077</v>
      </c>
      <c r="AN84" s="13" t="s">
        <v>2077</v>
      </c>
      <c r="AO84" s="13" t="s">
        <v>2077</v>
      </c>
      <c r="AP84" s="13" t="s">
        <v>2077</v>
      </c>
      <c r="AQ84" s="13" t="s">
        <v>2077</v>
      </c>
      <c r="AR84" s="13" t="s">
        <v>2418</v>
      </c>
      <c r="AS84" s="13" t="s">
        <v>2419</v>
      </c>
      <c r="AT84" s="13" t="s">
        <v>2420</v>
      </c>
      <c r="AU84" s="13" t="s">
        <v>2421</v>
      </c>
      <c r="AV84" s="13" t="s">
        <v>2422</v>
      </c>
      <c r="AW84" s="13" t="s">
        <v>2416</v>
      </c>
      <c r="AX84" s="13" t="s">
        <v>2073</v>
      </c>
      <c r="AY84" s="13" t="s">
        <v>2073</v>
      </c>
      <c r="AZ84" s="13" t="s">
        <v>2073</v>
      </c>
      <c r="BA84" s="13" t="s">
        <v>2073</v>
      </c>
      <c r="BB84" s="13" t="s">
        <v>2073</v>
      </c>
      <c r="BC84" s="13" t="s">
        <v>2073</v>
      </c>
    </row>
    <row r="85" spans="1:55" ht="15.75" customHeight="1">
      <c r="A85" s="13">
        <v>2000</v>
      </c>
      <c r="B85" s="7" t="s">
        <v>363</v>
      </c>
      <c r="C85" s="211" t="s">
        <v>2412</v>
      </c>
      <c r="D85" s="13" t="s">
        <v>362</v>
      </c>
      <c r="E85" s="13" t="s">
        <v>313</v>
      </c>
      <c r="F85" s="211" t="s">
        <v>2413</v>
      </c>
      <c r="G85" s="13" t="s">
        <v>2414</v>
      </c>
      <c r="H85" s="13" t="s">
        <v>2077</v>
      </c>
      <c r="I85" s="13" t="s">
        <v>2077</v>
      </c>
      <c r="J85" s="13" t="s">
        <v>2077</v>
      </c>
      <c r="K85" s="13" t="s">
        <v>2077</v>
      </c>
      <c r="L85" s="13" t="s">
        <v>2077</v>
      </c>
      <c r="M85" s="13" t="s">
        <v>2077</v>
      </c>
      <c r="N85" s="211" t="s">
        <v>2415</v>
      </c>
      <c r="O85" s="13" t="s">
        <v>2416</v>
      </c>
      <c r="P85" s="69" t="str">
        <f t="shared" ref="P85:Q85" si="83">D85</f>
        <v>PROSES ASSEMBLY RAIL</v>
      </c>
      <c r="Q85" s="13" t="str">
        <f t="shared" si="83"/>
        <v>2GT</v>
      </c>
      <c r="R85" s="212" t="s">
        <v>23</v>
      </c>
      <c r="S85" s="212" t="s">
        <v>23</v>
      </c>
      <c r="T85" s="13">
        <v>85</v>
      </c>
      <c r="U85" s="211" t="s">
        <v>134</v>
      </c>
      <c r="V85" s="13">
        <v>1</v>
      </c>
      <c r="W85" s="13" t="s">
        <v>2417</v>
      </c>
      <c r="X85" s="13" t="s">
        <v>1924</v>
      </c>
      <c r="Y85" s="13" t="s">
        <v>2073</v>
      </c>
      <c r="Z85" s="13" t="s">
        <v>2073</v>
      </c>
      <c r="AA85" s="13" t="s">
        <v>2073</v>
      </c>
      <c r="AB85" s="13" t="s">
        <v>1924</v>
      </c>
      <c r="AC85" s="211" t="s">
        <v>2415</v>
      </c>
      <c r="AD85" s="13" t="s">
        <v>2416</v>
      </c>
      <c r="AE85" s="69" t="s">
        <v>364</v>
      </c>
      <c r="AF85" s="13" t="s">
        <v>2418</v>
      </c>
      <c r="AG85" s="13" t="s">
        <v>2419</v>
      </c>
      <c r="AH85" s="13" t="s">
        <v>2420</v>
      </c>
      <c r="AI85" s="13" t="s">
        <v>2421</v>
      </c>
      <c r="AJ85" s="13" t="s">
        <v>2422</v>
      </c>
      <c r="AK85" s="13" t="s">
        <v>2416</v>
      </c>
      <c r="AL85" s="13" t="s">
        <v>2077</v>
      </c>
      <c r="AM85" s="13" t="s">
        <v>2077</v>
      </c>
      <c r="AN85" s="13" t="s">
        <v>2077</v>
      </c>
      <c r="AO85" s="13" t="s">
        <v>2077</v>
      </c>
      <c r="AP85" s="13" t="s">
        <v>2077</v>
      </c>
      <c r="AQ85" s="13" t="s">
        <v>2077</v>
      </c>
      <c r="AR85" s="13" t="s">
        <v>2418</v>
      </c>
      <c r="AS85" s="13" t="s">
        <v>2419</v>
      </c>
      <c r="AT85" s="13" t="s">
        <v>2420</v>
      </c>
      <c r="AU85" s="13" t="s">
        <v>2421</v>
      </c>
      <c r="AV85" s="13" t="s">
        <v>2422</v>
      </c>
      <c r="AW85" s="13" t="s">
        <v>2416</v>
      </c>
      <c r="AX85" s="13" t="s">
        <v>2073</v>
      </c>
      <c r="AY85" s="13" t="s">
        <v>2073</v>
      </c>
      <c r="AZ85" s="13" t="s">
        <v>2073</v>
      </c>
      <c r="BA85" s="13" t="s">
        <v>2073</v>
      </c>
      <c r="BB85" s="13" t="s">
        <v>2073</v>
      </c>
      <c r="BC85" s="13" t="s">
        <v>2073</v>
      </c>
    </row>
    <row r="86" spans="1:55" ht="15.75" customHeight="1">
      <c r="A86" s="13">
        <v>2000</v>
      </c>
      <c r="B86" s="7" t="s">
        <v>367</v>
      </c>
      <c r="C86" s="211" t="s">
        <v>2412</v>
      </c>
      <c r="D86" s="13" t="s">
        <v>366</v>
      </c>
      <c r="E86" s="13" t="s">
        <v>313</v>
      </c>
      <c r="F86" s="211" t="s">
        <v>2413</v>
      </c>
      <c r="G86" s="13" t="s">
        <v>2414</v>
      </c>
      <c r="H86" s="13" t="s">
        <v>2077</v>
      </c>
      <c r="I86" s="13" t="s">
        <v>2077</v>
      </c>
      <c r="J86" s="13" t="s">
        <v>2077</v>
      </c>
      <c r="K86" s="13" t="s">
        <v>2077</v>
      </c>
      <c r="L86" s="13" t="s">
        <v>2077</v>
      </c>
      <c r="M86" s="13" t="s">
        <v>2077</v>
      </c>
      <c r="N86" s="211" t="s">
        <v>2415</v>
      </c>
      <c r="O86" s="13" t="s">
        <v>2416</v>
      </c>
      <c r="P86" s="69" t="str">
        <f t="shared" ref="P86:Q86" si="84">D86</f>
        <v>PROSES ASSEMBLY SILL APRONT</v>
      </c>
      <c r="Q86" s="13" t="str">
        <f t="shared" si="84"/>
        <v>2GT</v>
      </c>
      <c r="R86" s="212" t="s">
        <v>23</v>
      </c>
      <c r="S86" s="212" t="s">
        <v>23</v>
      </c>
      <c r="T86" s="13">
        <v>85</v>
      </c>
      <c r="U86" s="211" t="s">
        <v>134</v>
      </c>
      <c r="V86" s="13">
        <v>1</v>
      </c>
      <c r="W86" s="13" t="s">
        <v>2417</v>
      </c>
      <c r="X86" s="13" t="s">
        <v>1924</v>
      </c>
      <c r="Y86" s="13" t="s">
        <v>2073</v>
      </c>
      <c r="Z86" s="13" t="s">
        <v>2073</v>
      </c>
      <c r="AA86" s="13" t="s">
        <v>2073</v>
      </c>
      <c r="AB86" s="13" t="s">
        <v>1924</v>
      </c>
      <c r="AC86" s="211" t="s">
        <v>2415</v>
      </c>
      <c r="AD86" s="13" t="s">
        <v>2416</v>
      </c>
      <c r="AE86" s="69" t="s">
        <v>368</v>
      </c>
      <c r="AF86" s="13" t="s">
        <v>2418</v>
      </c>
      <c r="AG86" s="13" t="s">
        <v>2419</v>
      </c>
      <c r="AH86" s="13" t="s">
        <v>2420</v>
      </c>
      <c r="AI86" s="13" t="s">
        <v>2421</v>
      </c>
      <c r="AJ86" s="13" t="s">
        <v>2422</v>
      </c>
      <c r="AK86" s="13" t="s">
        <v>2416</v>
      </c>
      <c r="AL86" s="13" t="s">
        <v>2077</v>
      </c>
      <c r="AM86" s="13" t="s">
        <v>2077</v>
      </c>
      <c r="AN86" s="13" t="s">
        <v>2077</v>
      </c>
      <c r="AO86" s="13" t="s">
        <v>2077</v>
      </c>
      <c r="AP86" s="13" t="s">
        <v>2077</v>
      </c>
      <c r="AQ86" s="13" t="s">
        <v>2077</v>
      </c>
      <c r="AR86" s="13" t="s">
        <v>2418</v>
      </c>
      <c r="AS86" s="13" t="s">
        <v>2419</v>
      </c>
      <c r="AT86" s="13" t="s">
        <v>2420</v>
      </c>
      <c r="AU86" s="13" t="s">
        <v>2421</v>
      </c>
      <c r="AV86" s="13" t="s">
        <v>2422</v>
      </c>
      <c r="AW86" s="13" t="s">
        <v>2416</v>
      </c>
      <c r="AX86" s="13" t="s">
        <v>2073</v>
      </c>
      <c r="AY86" s="13" t="s">
        <v>2073</v>
      </c>
      <c r="AZ86" s="13" t="s">
        <v>2073</v>
      </c>
      <c r="BA86" s="13" t="s">
        <v>2073</v>
      </c>
      <c r="BB86" s="13" t="s">
        <v>2073</v>
      </c>
      <c r="BC86" s="13" t="s">
        <v>2073</v>
      </c>
    </row>
    <row r="87" spans="1:55" ht="15.75" customHeight="1">
      <c r="A87" s="13">
        <v>2000</v>
      </c>
      <c r="B87" s="7" t="s">
        <v>371</v>
      </c>
      <c r="C87" s="211" t="s">
        <v>2412</v>
      </c>
      <c r="D87" s="13" t="s">
        <v>370</v>
      </c>
      <c r="E87" s="13" t="s">
        <v>313</v>
      </c>
      <c r="F87" s="211" t="s">
        <v>2413</v>
      </c>
      <c r="G87" s="13" t="s">
        <v>2414</v>
      </c>
      <c r="H87" s="13" t="s">
        <v>2077</v>
      </c>
      <c r="I87" s="13" t="s">
        <v>2077</v>
      </c>
      <c r="J87" s="13" t="s">
        <v>2077</v>
      </c>
      <c r="K87" s="13" t="s">
        <v>2077</v>
      </c>
      <c r="L87" s="13" t="s">
        <v>2077</v>
      </c>
      <c r="M87" s="13" t="s">
        <v>2077</v>
      </c>
      <c r="N87" s="211" t="s">
        <v>2415</v>
      </c>
      <c r="O87" s="13" t="s">
        <v>2416</v>
      </c>
      <c r="P87" s="69" t="str">
        <f t="shared" ref="P87:Q87" si="85">D87</f>
        <v>PROSES SANDING</v>
      </c>
      <c r="Q87" s="13" t="str">
        <f t="shared" si="85"/>
        <v>2GT</v>
      </c>
      <c r="R87" s="212" t="s">
        <v>23</v>
      </c>
      <c r="S87" s="212" t="s">
        <v>373</v>
      </c>
      <c r="T87" s="13">
        <v>85</v>
      </c>
      <c r="U87" s="211" t="s">
        <v>83</v>
      </c>
      <c r="V87" s="13">
        <v>1</v>
      </c>
      <c r="W87" s="13" t="s">
        <v>2417</v>
      </c>
      <c r="X87" s="13" t="s">
        <v>1924</v>
      </c>
      <c r="Y87" s="13" t="s">
        <v>2073</v>
      </c>
      <c r="Z87" s="13" t="s">
        <v>2073</v>
      </c>
      <c r="AA87" s="13" t="s">
        <v>2073</v>
      </c>
      <c r="AB87" s="13" t="s">
        <v>1924</v>
      </c>
      <c r="AC87" s="211" t="s">
        <v>2415</v>
      </c>
      <c r="AD87" s="13" t="s">
        <v>2416</v>
      </c>
      <c r="AE87" s="69" t="s">
        <v>372</v>
      </c>
      <c r="AF87" s="13" t="s">
        <v>2418</v>
      </c>
      <c r="AG87" s="13" t="s">
        <v>2419</v>
      </c>
      <c r="AH87" s="13" t="s">
        <v>2420</v>
      </c>
      <c r="AI87" s="13" t="s">
        <v>2421</v>
      </c>
      <c r="AJ87" s="13" t="s">
        <v>2422</v>
      </c>
      <c r="AK87" s="13" t="s">
        <v>2416</v>
      </c>
      <c r="AL87" s="13" t="s">
        <v>2077</v>
      </c>
      <c r="AM87" s="13" t="s">
        <v>2077</v>
      </c>
      <c r="AN87" s="13" t="s">
        <v>2077</v>
      </c>
      <c r="AO87" s="13" t="s">
        <v>2077</v>
      </c>
      <c r="AP87" s="13" t="s">
        <v>2077</v>
      </c>
      <c r="AQ87" s="13" t="s">
        <v>2077</v>
      </c>
      <c r="AR87" s="13" t="s">
        <v>2418</v>
      </c>
      <c r="AS87" s="13" t="s">
        <v>2419</v>
      </c>
      <c r="AT87" s="13" t="s">
        <v>2420</v>
      </c>
      <c r="AU87" s="13" t="s">
        <v>2421</v>
      </c>
      <c r="AV87" s="13" t="s">
        <v>2422</v>
      </c>
      <c r="AW87" s="13" t="s">
        <v>2416</v>
      </c>
      <c r="AX87" s="13" t="s">
        <v>2073</v>
      </c>
      <c r="AY87" s="13" t="s">
        <v>2073</v>
      </c>
      <c r="AZ87" s="13" t="s">
        <v>2073</v>
      </c>
      <c r="BA87" s="13" t="s">
        <v>2073</v>
      </c>
      <c r="BB87" s="13" t="s">
        <v>2073</v>
      </c>
      <c r="BC87" s="13" t="s">
        <v>2073</v>
      </c>
    </row>
    <row r="88" spans="1:55" ht="15.75" customHeight="1">
      <c r="A88" s="30">
        <v>2000</v>
      </c>
      <c r="B88" s="7" t="s">
        <v>376</v>
      </c>
      <c r="C88" s="208" t="s">
        <v>2412</v>
      </c>
      <c r="D88" s="30" t="s">
        <v>375</v>
      </c>
      <c r="E88" s="30" t="s">
        <v>313</v>
      </c>
      <c r="F88" s="208" t="s">
        <v>2413</v>
      </c>
      <c r="G88" s="30" t="s">
        <v>2414</v>
      </c>
      <c r="H88" s="30" t="s">
        <v>2077</v>
      </c>
      <c r="I88" s="30" t="s">
        <v>2077</v>
      </c>
      <c r="J88" s="30" t="s">
        <v>2077</v>
      </c>
      <c r="K88" s="30" t="s">
        <v>2077</v>
      </c>
      <c r="L88" s="30" t="s">
        <v>2077</v>
      </c>
      <c r="M88" s="30" t="s">
        <v>2077</v>
      </c>
      <c r="N88" s="208" t="s">
        <v>2415</v>
      </c>
      <c r="O88" s="30" t="s">
        <v>2416</v>
      </c>
      <c r="P88" s="30" t="str">
        <f t="shared" ref="P88:Q88" si="86">D88</f>
        <v>PROSES WIRE BRASS</v>
      </c>
      <c r="Q88" s="30" t="str">
        <f t="shared" si="86"/>
        <v>2GT</v>
      </c>
      <c r="R88" s="209" t="s">
        <v>23</v>
      </c>
      <c r="S88" s="209" t="s">
        <v>373</v>
      </c>
      <c r="T88" s="30">
        <v>85</v>
      </c>
      <c r="U88" s="208" t="s">
        <v>83</v>
      </c>
      <c r="V88" s="30">
        <v>1</v>
      </c>
      <c r="W88" s="30" t="s">
        <v>2417</v>
      </c>
      <c r="X88" s="30" t="s">
        <v>1924</v>
      </c>
      <c r="Y88" s="30" t="s">
        <v>2073</v>
      </c>
      <c r="Z88" s="30" t="s">
        <v>2073</v>
      </c>
      <c r="AA88" s="30" t="s">
        <v>2073</v>
      </c>
      <c r="AB88" s="30" t="s">
        <v>1924</v>
      </c>
      <c r="AC88" s="208" t="s">
        <v>2415</v>
      </c>
      <c r="AD88" s="30" t="s">
        <v>2416</v>
      </c>
      <c r="AE88" s="69" t="s">
        <v>377</v>
      </c>
      <c r="AF88" s="30" t="s">
        <v>2418</v>
      </c>
      <c r="AG88" s="30" t="s">
        <v>2419</v>
      </c>
      <c r="AH88" s="30" t="s">
        <v>2420</v>
      </c>
      <c r="AI88" s="30" t="s">
        <v>2421</v>
      </c>
      <c r="AJ88" s="30" t="s">
        <v>2422</v>
      </c>
      <c r="AK88" s="30" t="s">
        <v>2416</v>
      </c>
      <c r="AL88" s="30" t="s">
        <v>2077</v>
      </c>
      <c r="AM88" s="30" t="s">
        <v>2077</v>
      </c>
      <c r="AN88" s="30" t="s">
        <v>2077</v>
      </c>
      <c r="AO88" s="30" t="s">
        <v>2077</v>
      </c>
      <c r="AP88" s="30" t="s">
        <v>2077</v>
      </c>
      <c r="AQ88" s="30" t="s">
        <v>2077</v>
      </c>
      <c r="AR88" s="30" t="s">
        <v>2418</v>
      </c>
      <c r="AS88" s="30" t="s">
        <v>2419</v>
      </c>
      <c r="AT88" s="30" t="s">
        <v>2420</v>
      </c>
      <c r="AU88" s="30" t="s">
        <v>2421</v>
      </c>
      <c r="AV88" s="30" t="s">
        <v>2422</v>
      </c>
      <c r="AW88" s="30" t="s">
        <v>2416</v>
      </c>
      <c r="AX88" s="30" t="s">
        <v>2073</v>
      </c>
      <c r="AY88" s="30" t="s">
        <v>2073</v>
      </c>
      <c r="AZ88" s="30" t="s">
        <v>2073</v>
      </c>
      <c r="BA88" s="30" t="s">
        <v>2073</v>
      </c>
      <c r="BB88" s="30" t="s">
        <v>2073</v>
      </c>
      <c r="BC88" s="30" t="s">
        <v>2073</v>
      </c>
    </row>
    <row r="89" spans="1:55" ht="15.75" customHeight="1">
      <c r="A89" s="13">
        <v>2000</v>
      </c>
      <c r="B89" s="7" t="s">
        <v>380</v>
      </c>
      <c r="C89" s="211" t="s">
        <v>2412</v>
      </c>
      <c r="D89" s="13" t="s">
        <v>379</v>
      </c>
      <c r="E89" s="13" t="s">
        <v>313</v>
      </c>
      <c r="F89" s="211" t="s">
        <v>2413</v>
      </c>
      <c r="G89" s="13" t="s">
        <v>2414</v>
      </c>
      <c r="H89" s="13" t="s">
        <v>2077</v>
      </c>
      <c r="I89" s="13" t="s">
        <v>2077</v>
      </c>
      <c r="J89" s="13" t="s">
        <v>2077</v>
      </c>
      <c r="K89" s="13" t="s">
        <v>2077</v>
      </c>
      <c r="L89" s="13" t="s">
        <v>2077</v>
      </c>
      <c r="M89" s="13" t="s">
        <v>2077</v>
      </c>
      <c r="N89" s="211" t="s">
        <v>2415</v>
      </c>
      <c r="O89" s="13" t="s">
        <v>2416</v>
      </c>
      <c r="P89" s="69" t="str">
        <f t="shared" ref="P89:Q89" si="87">D89</f>
        <v>PROSES PACKING PALET</v>
      </c>
      <c r="Q89" s="13" t="str">
        <f t="shared" si="87"/>
        <v>2GT</v>
      </c>
      <c r="R89" s="212" t="s">
        <v>23</v>
      </c>
      <c r="S89" s="212" t="s">
        <v>373</v>
      </c>
      <c r="T89" s="13">
        <v>85</v>
      </c>
      <c r="U89" s="211" t="s">
        <v>83</v>
      </c>
      <c r="V89" s="13">
        <v>1</v>
      </c>
      <c r="W89" s="13" t="s">
        <v>2417</v>
      </c>
      <c r="X89" s="13" t="s">
        <v>1924</v>
      </c>
      <c r="Y89" s="13" t="s">
        <v>2073</v>
      </c>
      <c r="Z89" s="13" t="s">
        <v>2073</v>
      </c>
      <c r="AA89" s="13" t="s">
        <v>2073</v>
      </c>
      <c r="AB89" s="13" t="s">
        <v>1924</v>
      </c>
      <c r="AC89" s="211" t="s">
        <v>2415</v>
      </c>
      <c r="AD89" s="13" t="s">
        <v>2416</v>
      </c>
      <c r="AE89" s="69" t="s">
        <v>381</v>
      </c>
      <c r="AF89" s="13" t="s">
        <v>2418</v>
      </c>
      <c r="AG89" s="13" t="s">
        <v>2419</v>
      </c>
      <c r="AH89" s="13" t="s">
        <v>2420</v>
      </c>
      <c r="AI89" s="13" t="s">
        <v>2421</v>
      </c>
      <c r="AJ89" s="13" t="s">
        <v>2422</v>
      </c>
      <c r="AK89" s="13" t="s">
        <v>2416</v>
      </c>
      <c r="AL89" s="13" t="s">
        <v>2077</v>
      </c>
      <c r="AM89" s="13" t="s">
        <v>2077</v>
      </c>
      <c r="AN89" s="13" t="s">
        <v>2077</v>
      </c>
      <c r="AO89" s="13" t="s">
        <v>2077</v>
      </c>
      <c r="AP89" s="13" t="s">
        <v>2077</v>
      </c>
      <c r="AQ89" s="13" t="s">
        <v>2077</v>
      </c>
      <c r="AR89" s="13" t="s">
        <v>2418</v>
      </c>
      <c r="AS89" s="13" t="s">
        <v>2419</v>
      </c>
      <c r="AT89" s="13" t="s">
        <v>2420</v>
      </c>
      <c r="AU89" s="13" t="s">
        <v>2421</v>
      </c>
      <c r="AV89" s="13" t="s">
        <v>2422</v>
      </c>
      <c r="AW89" s="13" t="s">
        <v>2416</v>
      </c>
      <c r="AX89" s="13" t="s">
        <v>2073</v>
      </c>
      <c r="AY89" s="13" t="s">
        <v>2073</v>
      </c>
      <c r="AZ89" s="13" t="s">
        <v>2073</v>
      </c>
      <c r="BA89" s="13" t="s">
        <v>2073</v>
      </c>
      <c r="BB89" s="13" t="s">
        <v>2073</v>
      </c>
      <c r="BC89" s="13" t="s">
        <v>2073</v>
      </c>
    </row>
    <row r="90" spans="1:55" ht="15.75" customHeight="1">
      <c r="A90" s="13">
        <v>2000</v>
      </c>
      <c r="B90" s="7" t="s">
        <v>385</v>
      </c>
      <c r="C90" s="211" t="s">
        <v>2412</v>
      </c>
      <c r="D90" s="13" t="s">
        <v>384</v>
      </c>
      <c r="E90" s="13" t="s">
        <v>313</v>
      </c>
      <c r="F90" s="211" t="s">
        <v>2413</v>
      </c>
      <c r="G90" s="13" t="s">
        <v>2414</v>
      </c>
      <c r="H90" s="13" t="s">
        <v>2077</v>
      </c>
      <c r="I90" s="13" t="s">
        <v>2077</v>
      </c>
      <c r="J90" s="13" t="s">
        <v>2077</v>
      </c>
      <c r="K90" s="13" t="s">
        <v>2077</v>
      </c>
      <c r="L90" s="13" t="s">
        <v>2077</v>
      </c>
      <c r="M90" s="13" t="s">
        <v>2077</v>
      </c>
      <c r="N90" s="211" t="s">
        <v>2415</v>
      </c>
      <c r="O90" s="13" t="s">
        <v>2416</v>
      </c>
      <c r="P90" s="69" t="str">
        <f t="shared" ref="P90:Q90" si="88">D90</f>
        <v>PROSES PAINTING SPORT GAME &amp; DOOR</v>
      </c>
      <c r="Q90" s="13" t="str">
        <f t="shared" si="88"/>
        <v>2GT</v>
      </c>
      <c r="R90" s="212" t="s">
        <v>23</v>
      </c>
      <c r="S90" s="212" t="s">
        <v>23</v>
      </c>
      <c r="T90" s="13">
        <v>85</v>
      </c>
      <c r="U90" s="211" t="s">
        <v>134</v>
      </c>
      <c r="V90" s="13">
        <v>1</v>
      </c>
      <c r="W90" s="13" t="s">
        <v>2417</v>
      </c>
      <c r="X90" s="13" t="s">
        <v>1924</v>
      </c>
      <c r="Y90" s="13" t="s">
        <v>2073</v>
      </c>
      <c r="Z90" s="13" t="s">
        <v>2073</v>
      </c>
      <c r="AA90" s="13" t="s">
        <v>2073</v>
      </c>
      <c r="AB90" s="13" t="s">
        <v>1924</v>
      </c>
      <c r="AC90" s="211" t="s">
        <v>2415</v>
      </c>
      <c r="AD90" s="13" t="s">
        <v>2416</v>
      </c>
      <c r="AE90" s="69" t="s">
        <v>360</v>
      </c>
      <c r="AF90" s="13" t="s">
        <v>2418</v>
      </c>
      <c r="AG90" s="13" t="s">
        <v>2419</v>
      </c>
      <c r="AH90" s="13" t="s">
        <v>2420</v>
      </c>
      <c r="AI90" s="13" t="s">
        <v>2421</v>
      </c>
      <c r="AJ90" s="13" t="s">
        <v>2422</v>
      </c>
      <c r="AK90" s="13" t="s">
        <v>2416</v>
      </c>
      <c r="AL90" s="13" t="s">
        <v>2077</v>
      </c>
      <c r="AM90" s="13" t="s">
        <v>2077</v>
      </c>
      <c r="AN90" s="13" t="s">
        <v>2077</v>
      </c>
      <c r="AO90" s="13" t="s">
        <v>2077</v>
      </c>
      <c r="AP90" s="13" t="s">
        <v>2077</v>
      </c>
      <c r="AQ90" s="13" t="s">
        <v>2077</v>
      </c>
      <c r="AR90" s="13" t="s">
        <v>2418</v>
      </c>
      <c r="AS90" s="13" t="s">
        <v>2419</v>
      </c>
      <c r="AT90" s="13" t="s">
        <v>2420</v>
      </c>
      <c r="AU90" s="13" t="s">
        <v>2421</v>
      </c>
      <c r="AV90" s="13" t="s">
        <v>2422</v>
      </c>
      <c r="AW90" s="13" t="s">
        <v>2416</v>
      </c>
      <c r="AX90" s="13" t="s">
        <v>2073</v>
      </c>
      <c r="AY90" s="13" t="s">
        <v>2073</v>
      </c>
      <c r="AZ90" s="13" t="s">
        <v>2073</v>
      </c>
      <c r="BA90" s="13" t="s">
        <v>2073</v>
      </c>
      <c r="BB90" s="13" t="s">
        <v>2073</v>
      </c>
      <c r="BC90" s="13" t="s">
        <v>2073</v>
      </c>
    </row>
    <row r="91" spans="1:55" ht="15.75" customHeight="1">
      <c r="A91" s="13">
        <v>2000</v>
      </c>
      <c r="B91" s="7" t="s">
        <v>389</v>
      </c>
      <c r="C91" s="211" t="s">
        <v>2412</v>
      </c>
      <c r="D91" s="13" t="s">
        <v>388</v>
      </c>
      <c r="E91" s="13" t="s">
        <v>392</v>
      </c>
      <c r="F91" s="211" t="s">
        <v>2413</v>
      </c>
      <c r="G91" s="13" t="s">
        <v>2414</v>
      </c>
      <c r="H91" s="13" t="s">
        <v>2077</v>
      </c>
      <c r="I91" s="13" t="s">
        <v>2077</v>
      </c>
      <c r="J91" s="13" t="s">
        <v>2077</v>
      </c>
      <c r="K91" s="13" t="s">
        <v>2077</v>
      </c>
      <c r="L91" s="13" t="s">
        <v>2077</v>
      </c>
      <c r="M91" s="13" t="s">
        <v>2077</v>
      </c>
      <c r="N91" s="211" t="s">
        <v>2415</v>
      </c>
      <c r="O91" s="13" t="s">
        <v>2416</v>
      </c>
      <c r="P91" s="69" t="str">
        <f t="shared" ref="P91:Q91" si="89">D91</f>
        <v>CASE GOOD C1 BED MACHINING MANUAL</v>
      </c>
      <c r="Q91" s="13" t="str">
        <f t="shared" si="89"/>
        <v>2C1</v>
      </c>
      <c r="R91" s="212" t="s">
        <v>23</v>
      </c>
      <c r="S91" s="212" t="s">
        <v>373</v>
      </c>
      <c r="T91" s="13">
        <v>85</v>
      </c>
      <c r="U91" s="211" t="s">
        <v>83</v>
      </c>
      <c r="V91" s="13">
        <v>1</v>
      </c>
      <c r="W91" s="13" t="s">
        <v>2417</v>
      </c>
      <c r="X91" s="13" t="s">
        <v>1924</v>
      </c>
      <c r="Y91" s="13" t="s">
        <v>2073</v>
      </c>
      <c r="Z91" s="13" t="s">
        <v>2073</v>
      </c>
      <c r="AA91" s="13" t="s">
        <v>2073</v>
      </c>
      <c r="AB91" s="13" t="s">
        <v>1924</v>
      </c>
      <c r="AC91" s="211" t="s">
        <v>2415</v>
      </c>
      <c r="AD91" s="13" t="s">
        <v>2416</v>
      </c>
      <c r="AE91" s="69" t="s">
        <v>390</v>
      </c>
      <c r="AF91" s="13" t="s">
        <v>2418</v>
      </c>
      <c r="AG91" s="13" t="s">
        <v>2419</v>
      </c>
      <c r="AH91" s="13" t="s">
        <v>2420</v>
      </c>
      <c r="AI91" s="13" t="s">
        <v>2421</v>
      </c>
      <c r="AJ91" s="13" t="s">
        <v>2422</v>
      </c>
      <c r="AK91" s="13" t="s">
        <v>2416</v>
      </c>
      <c r="AL91" s="13" t="s">
        <v>2077</v>
      </c>
      <c r="AM91" s="13" t="s">
        <v>2077</v>
      </c>
      <c r="AN91" s="13" t="s">
        <v>2077</v>
      </c>
      <c r="AO91" s="13" t="s">
        <v>2077</v>
      </c>
      <c r="AP91" s="13" t="s">
        <v>2077</v>
      </c>
      <c r="AQ91" s="13" t="s">
        <v>2077</v>
      </c>
      <c r="AR91" s="13" t="s">
        <v>2418</v>
      </c>
      <c r="AS91" s="13" t="s">
        <v>2419</v>
      </c>
      <c r="AT91" s="13" t="s">
        <v>2420</v>
      </c>
      <c r="AU91" s="13" t="s">
        <v>2421</v>
      </c>
      <c r="AV91" s="13" t="s">
        <v>2422</v>
      </c>
      <c r="AW91" s="13" t="s">
        <v>2416</v>
      </c>
      <c r="AX91" s="13" t="s">
        <v>2073</v>
      </c>
      <c r="AY91" s="13" t="s">
        <v>2073</v>
      </c>
      <c r="AZ91" s="13" t="s">
        <v>2073</v>
      </c>
      <c r="BA91" s="13" t="s">
        <v>2073</v>
      </c>
      <c r="BB91" s="13" t="s">
        <v>2073</v>
      </c>
      <c r="BC91" s="13" t="s">
        <v>2073</v>
      </c>
    </row>
    <row r="92" spans="1:55" ht="15.75" customHeight="1">
      <c r="A92" s="13">
        <v>2000</v>
      </c>
      <c r="B92" s="7" t="s">
        <v>395</v>
      </c>
      <c r="C92" s="211" t="s">
        <v>2412</v>
      </c>
      <c r="D92" s="13" t="s">
        <v>394</v>
      </c>
      <c r="E92" s="13" t="s">
        <v>392</v>
      </c>
      <c r="F92" s="211" t="s">
        <v>2413</v>
      </c>
      <c r="G92" s="13" t="s">
        <v>2414</v>
      </c>
      <c r="H92" s="13" t="s">
        <v>2077</v>
      </c>
      <c r="I92" s="13" t="s">
        <v>2077</v>
      </c>
      <c r="J92" s="13" t="s">
        <v>2077</v>
      </c>
      <c r="K92" s="13" t="s">
        <v>2077</v>
      </c>
      <c r="L92" s="13" t="s">
        <v>2077</v>
      </c>
      <c r="M92" s="13" t="s">
        <v>2077</v>
      </c>
      <c r="N92" s="211" t="s">
        <v>2415</v>
      </c>
      <c r="O92" s="13" t="s">
        <v>2416</v>
      </c>
      <c r="P92" s="69" t="str">
        <f t="shared" ref="P92:Q92" si="90">D92</f>
        <v>CNC ROUTER (9) HEIAN ZR442PE MP.0342</v>
      </c>
      <c r="Q92" s="13" t="str">
        <f t="shared" si="90"/>
        <v>2C1</v>
      </c>
      <c r="R92" s="212" t="s">
        <v>23</v>
      </c>
      <c r="S92" s="212" t="s">
        <v>23</v>
      </c>
      <c r="T92" s="13">
        <v>85</v>
      </c>
      <c r="U92" s="211" t="s">
        <v>134</v>
      </c>
      <c r="V92" s="13">
        <v>1</v>
      </c>
      <c r="W92" s="13" t="s">
        <v>2417</v>
      </c>
      <c r="X92" s="13" t="s">
        <v>1924</v>
      </c>
      <c r="Y92" s="13" t="s">
        <v>2073</v>
      </c>
      <c r="Z92" s="13" t="s">
        <v>2073</v>
      </c>
      <c r="AA92" s="13" t="s">
        <v>2073</v>
      </c>
      <c r="AB92" s="13" t="s">
        <v>1924</v>
      </c>
      <c r="AC92" s="211" t="s">
        <v>2415</v>
      </c>
      <c r="AD92" s="13" t="s">
        <v>2416</v>
      </c>
      <c r="AE92" s="69" t="s">
        <v>396</v>
      </c>
      <c r="AF92" s="13" t="s">
        <v>2418</v>
      </c>
      <c r="AG92" s="13" t="s">
        <v>2419</v>
      </c>
      <c r="AH92" s="13" t="s">
        <v>2420</v>
      </c>
      <c r="AI92" s="13" t="s">
        <v>2421</v>
      </c>
      <c r="AJ92" s="13" t="s">
        <v>2422</v>
      </c>
      <c r="AK92" s="13" t="s">
        <v>2416</v>
      </c>
      <c r="AL92" s="13" t="s">
        <v>2077</v>
      </c>
      <c r="AM92" s="13" t="s">
        <v>2077</v>
      </c>
      <c r="AN92" s="13" t="s">
        <v>2077</v>
      </c>
      <c r="AO92" s="13" t="s">
        <v>2077</v>
      </c>
      <c r="AP92" s="13" t="s">
        <v>2077</v>
      </c>
      <c r="AQ92" s="13" t="s">
        <v>2077</v>
      </c>
      <c r="AR92" s="13" t="s">
        <v>2418</v>
      </c>
      <c r="AS92" s="13" t="s">
        <v>2419</v>
      </c>
      <c r="AT92" s="13" t="s">
        <v>2420</v>
      </c>
      <c r="AU92" s="13" t="s">
        <v>2421</v>
      </c>
      <c r="AV92" s="13" t="s">
        <v>2422</v>
      </c>
      <c r="AW92" s="13" t="s">
        <v>2416</v>
      </c>
      <c r="AX92" s="13" t="s">
        <v>2073</v>
      </c>
      <c r="AY92" s="13" t="s">
        <v>2073</v>
      </c>
      <c r="AZ92" s="13" t="s">
        <v>2073</v>
      </c>
      <c r="BA92" s="13" t="s">
        <v>2073</v>
      </c>
      <c r="BB92" s="13" t="s">
        <v>2073</v>
      </c>
      <c r="BC92" s="13" t="s">
        <v>2073</v>
      </c>
    </row>
    <row r="93" spans="1:55" ht="15.75" customHeight="1">
      <c r="A93" s="13">
        <v>2000</v>
      </c>
      <c r="B93" s="7" t="s">
        <v>399</v>
      </c>
      <c r="C93" s="211" t="s">
        <v>2412</v>
      </c>
      <c r="D93" s="13" t="s">
        <v>398</v>
      </c>
      <c r="E93" s="13" t="s">
        <v>392</v>
      </c>
      <c r="F93" s="211" t="s">
        <v>2413</v>
      </c>
      <c r="G93" s="13" t="s">
        <v>2414</v>
      </c>
      <c r="H93" s="13" t="s">
        <v>2077</v>
      </c>
      <c r="I93" s="13" t="s">
        <v>2077</v>
      </c>
      <c r="J93" s="13" t="s">
        <v>2077</v>
      </c>
      <c r="K93" s="13" t="s">
        <v>2077</v>
      </c>
      <c r="L93" s="13" t="s">
        <v>2077</v>
      </c>
      <c r="M93" s="13" t="s">
        <v>2077</v>
      </c>
      <c r="N93" s="211" t="s">
        <v>2415</v>
      </c>
      <c r="O93" s="13" t="s">
        <v>2416</v>
      </c>
      <c r="P93" s="69" t="str">
        <f t="shared" ref="P93:Q93" si="91">D93</f>
        <v>CNC ROUTER HEIAN NC-431P MP.0602</v>
      </c>
      <c r="Q93" s="13" t="str">
        <f t="shared" si="91"/>
        <v>2C1</v>
      </c>
      <c r="R93" s="212" t="s">
        <v>23</v>
      </c>
      <c r="S93" s="212" t="s">
        <v>23</v>
      </c>
      <c r="T93" s="13">
        <v>85</v>
      </c>
      <c r="U93" s="211" t="s">
        <v>134</v>
      </c>
      <c r="V93" s="13">
        <v>1</v>
      </c>
      <c r="W93" s="13" t="s">
        <v>2417</v>
      </c>
      <c r="X93" s="13" t="s">
        <v>1924</v>
      </c>
      <c r="Y93" s="13" t="s">
        <v>2073</v>
      </c>
      <c r="Z93" s="13" t="s">
        <v>2073</v>
      </c>
      <c r="AA93" s="13" t="s">
        <v>2073</v>
      </c>
      <c r="AB93" s="13" t="s">
        <v>1924</v>
      </c>
      <c r="AC93" s="211" t="s">
        <v>2415</v>
      </c>
      <c r="AD93" s="13" t="s">
        <v>2416</v>
      </c>
      <c r="AE93" s="69" t="s">
        <v>400</v>
      </c>
      <c r="AF93" s="13" t="s">
        <v>2418</v>
      </c>
      <c r="AG93" s="13" t="s">
        <v>2419</v>
      </c>
      <c r="AH93" s="13" t="s">
        <v>2420</v>
      </c>
      <c r="AI93" s="13" t="s">
        <v>2421</v>
      </c>
      <c r="AJ93" s="13" t="s">
        <v>2422</v>
      </c>
      <c r="AK93" s="13" t="s">
        <v>2416</v>
      </c>
      <c r="AL93" s="13" t="s">
        <v>2077</v>
      </c>
      <c r="AM93" s="13" t="s">
        <v>2077</v>
      </c>
      <c r="AN93" s="13" t="s">
        <v>2077</v>
      </c>
      <c r="AO93" s="13" t="s">
        <v>2077</v>
      </c>
      <c r="AP93" s="13" t="s">
        <v>2077</v>
      </c>
      <c r="AQ93" s="13" t="s">
        <v>2077</v>
      </c>
      <c r="AR93" s="13" t="s">
        <v>2418</v>
      </c>
      <c r="AS93" s="13" t="s">
        <v>2419</v>
      </c>
      <c r="AT93" s="13" t="s">
        <v>2420</v>
      </c>
      <c r="AU93" s="13" t="s">
        <v>2421</v>
      </c>
      <c r="AV93" s="13" t="s">
        <v>2422</v>
      </c>
      <c r="AW93" s="13" t="s">
        <v>2416</v>
      </c>
      <c r="AX93" s="13" t="s">
        <v>2073</v>
      </c>
      <c r="AY93" s="13" t="s">
        <v>2073</v>
      </c>
      <c r="AZ93" s="13" t="s">
        <v>2073</v>
      </c>
      <c r="BA93" s="13" t="s">
        <v>2073</v>
      </c>
      <c r="BB93" s="13" t="s">
        <v>2073</v>
      </c>
      <c r="BC93" s="13" t="s">
        <v>2073</v>
      </c>
    </row>
    <row r="94" spans="1:55" ht="15.75" customHeight="1">
      <c r="A94" s="13">
        <v>2000</v>
      </c>
      <c r="B94" s="7" t="s">
        <v>403</v>
      </c>
      <c r="C94" s="211" t="s">
        <v>2412</v>
      </c>
      <c r="D94" s="13" t="s">
        <v>402</v>
      </c>
      <c r="E94" s="13" t="s">
        <v>392</v>
      </c>
      <c r="F94" s="211" t="s">
        <v>2413</v>
      </c>
      <c r="G94" s="13" t="s">
        <v>2414</v>
      </c>
      <c r="H94" s="13" t="s">
        <v>2077</v>
      </c>
      <c r="I94" s="13" t="s">
        <v>2077</v>
      </c>
      <c r="J94" s="13" t="s">
        <v>2077</v>
      </c>
      <c r="K94" s="13" t="s">
        <v>2077</v>
      </c>
      <c r="L94" s="13" t="s">
        <v>2077</v>
      </c>
      <c r="M94" s="13" t="s">
        <v>2077</v>
      </c>
      <c r="N94" s="211" t="s">
        <v>2415</v>
      </c>
      <c r="O94" s="13" t="s">
        <v>2416</v>
      </c>
      <c r="P94" s="69" t="str">
        <f t="shared" ref="P94:Q94" si="92">D94</f>
        <v>CNC CARVING (1) KITAKO CVH4-2300-5A  MP.0190</v>
      </c>
      <c r="Q94" s="13" t="str">
        <f t="shared" si="92"/>
        <v>2C1</v>
      </c>
      <c r="R94" s="212" t="s">
        <v>23</v>
      </c>
      <c r="S94" s="212" t="s">
        <v>23</v>
      </c>
      <c r="T94" s="13">
        <v>85</v>
      </c>
      <c r="U94" s="211" t="s">
        <v>134</v>
      </c>
      <c r="V94" s="13">
        <v>1</v>
      </c>
      <c r="W94" s="13" t="s">
        <v>2417</v>
      </c>
      <c r="X94" s="13" t="s">
        <v>1924</v>
      </c>
      <c r="Y94" s="13" t="s">
        <v>2073</v>
      </c>
      <c r="Z94" s="13" t="s">
        <v>2073</v>
      </c>
      <c r="AA94" s="13" t="s">
        <v>2073</v>
      </c>
      <c r="AB94" s="13" t="s">
        <v>1924</v>
      </c>
      <c r="AC94" s="211" t="s">
        <v>2415</v>
      </c>
      <c r="AD94" s="13" t="s">
        <v>2416</v>
      </c>
      <c r="AE94" s="69" t="s">
        <v>404</v>
      </c>
      <c r="AF94" s="13" t="s">
        <v>2418</v>
      </c>
      <c r="AG94" s="13" t="s">
        <v>2419</v>
      </c>
      <c r="AH94" s="13" t="s">
        <v>2420</v>
      </c>
      <c r="AI94" s="13" t="s">
        <v>2421</v>
      </c>
      <c r="AJ94" s="13" t="s">
        <v>2422</v>
      </c>
      <c r="AK94" s="13" t="s">
        <v>2416</v>
      </c>
      <c r="AL94" s="13" t="s">
        <v>2077</v>
      </c>
      <c r="AM94" s="13" t="s">
        <v>2077</v>
      </c>
      <c r="AN94" s="13" t="s">
        <v>2077</v>
      </c>
      <c r="AO94" s="13" t="s">
        <v>2077</v>
      </c>
      <c r="AP94" s="13" t="s">
        <v>2077</v>
      </c>
      <c r="AQ94" s="13" t="s">
        <v>2077</v>
      </c>
      <c r="AR94" s="13" t="s">
        <v>2418</v>
      </c>
      <c r="AS94" s="13" t="s">
        <v>2419</v>
      </c>
      <c r="AT94" s="13" t="s">
        <v>2420</v>
      </c>
      <c r="AU94" s="13" t="s">
        <v>2421</v>
      </c>
      <c r="AV94" s="13" t="s">
        <v>2422</v>
      </c>
      <c r="AW94" s="13" t="s">
        <v>2416</v>
      </c>
      <c r="AX94" s="13" t="s">
        <v>2073</v>
      </c>
      <c r="AY94" s="13" t="s">
        <v>2073</v>
      </c>
      <c r="AZ94" s="13" t="s">
        <v>2073</v>
      </c>
      <c r="BA94" s="13" t="s">
        <v>2073</v>
      </c>
      <c r="BB94" s="13" t="s">
        <v>2073</v>
      </c>
      <c r="BC94" s="13" t="s">
        <v>2073</v>
      </c>
    </row>
    <row r="95" spans="1:55" ht="15.75" customHeight="1">
      <c r="A95" s="13">
        <v>2000</v>
      </c>
      <c r="B95" s="7" t="s">
        <v>407</v>
      </c>
      <c r="C95" s="211" t="s">
        <v>2412</v>
      </c>
      <c r="D95" s="13" t="s">
        <v>406</v>
      </c>
      <c r="E95" s="13" t="s">
        <v>392</v>
      </c>
      <c r="F95" s="211" t="s">
        <v>2413</v>
      </c>
      <c r="G95" s="13" t="s">
        <v>2414</v>
      </c>
      <c r="H95" s="13" t="s">
        <v>2077</v>
      </c>
      <c r="I95" s="13" t="s">
        <v>2077</v>
      </c>
      <c r="J95" s="13" t="s">
        <v>2077</v>
      </c>
      <c r="K95" s="13" t="s">
        <v>2077</v>
      </c>
      <c r="L95" s="13" t="s">
        <v>2077</v>
      </c>
      <c r="M95" s="13" t="s">
        <v>2077</v>
      </c>
      <c r="N95" s="211" t="s">
        <v>2415</v>
      </c>
      <c r="O95" s="13" t="s">
        <v>2416</v>
      </c>
      <c r="P95" s="69" t="str">
        <f t="shared" ref="P95:Q95" si="93">D95</f>
        <v>CNC NC 272P HEIAN MP.0591</v>
      </c>
      <c r="Q95" s="13" t="str">
        <f t="shared" si="93"/>
        <v>2C1</v>
      </c>
      <c r="R95" s="212" t="s">
        <v>23</v>
      </c>
      <c r="S95" s="212" t="s">
        <v>23</v>
      </c>
      <c r="T95" s="13">
        <v>85</v>
      </c>
      <c r="U95" s="211" t="s">
        <v>134</v>
      </c>
      <c r="V95" s="13">
        <v>1</v>
      </c>
      <c r="W95" s="13" t="s">
        <v>2417</v>
      </c>
      <c r="X95" s="13" t="s">
        <v>1924</v>
      </c>
      <c r="Y95" s="13" t="s">
        <v>2073</v>
      </c>
      <c r="Z95" s="13" t="s">
        <v>2073</v>
      </c>
      <c r="AA95" s="13" t="s">
        <v>2073</v>
      </c>
      <c r="AB95" s="13" t="s">
        <v>1924</v>
      </c>
      <c r="AC95" s="211" t="s">
        <v>2415</v>
      </c>
      <c r="AD95" s="13" t="s">
        <v>2416</v>
      </c>
      <c r="AE95" s="69" t="s">
        <v>408</v>
      </c>
      <c r="AF95" s="13" t="s">
        <v>2418</v>
      </c>
      <c r="AG95" s="13" t="s">
        <v>2419</v>
      </c>
      <c r="AH95" s="13" t="s">
        <v>2420</v>
      </c>
      <c r="AI95" s="13" t="s">
        <v>2421</v>
      </c>
      <c r="AJ95" s="13" t="s">
        <v>2422</v>
      </c>
      <c r="AK95" s="13" t="s">
        <v>2416</v>
      </c>
      <c r="AL95" s="13" t="s">
        <v>2077</v>
      </c>
      <c r="AM95" s="13" t="s">
        <v>2077</v>
      </c>
      <c r="AN95" s="13" t="s">
        <v>2077</v>
      </c>
      <c r="AO95" s="13" t="s">
        <v>2077</v>
      </c>
      <c r="AP95" s="13" t="s">
        <v>2077</v>
      </c>
      <c r="AQ95" s="13" t="s">
        <v>2077</v>
      </c>
      <c r="AR95" s="13" t="s">
        <v>2418</v>
      </c>
      <c r="AS95" s="13" t="s">
        <v>2419</v>
      </c>
      <c r="AT95" s="13" t="s">
        <v>2420</v>
      </c>
      <c r="AU95" s="13" t="s">
        <v>2421</v>
      </c>
      <c r="AV95" s="13" t="s">
        <v>2422</v>
      </c>
      <c r="AW95" s="13" t="s">
        <v>2416</v>
      </c>
      <c r="AX95" s="13" t="s">
        <v>2073</v>
      </c>
      <c r="AY95" s="13" t="s">
        <v>2073</v>
      </c>
      <c r="AZ95" s="13" t="s">
        <v>2073</v>
      </c>
      <c r="BA95" s="13" t="s">
        <v>2073</v>
      </c>
      <c r="BB95" s="13" t="s">
        <v>2073</v>
      </c>
      <c r="BC95" s="13" t="s">
        <v>2073</v>
      </c>
    </row>
    <row r="96" spans="1:55" ht="15.75" customHeight="1">
      <c r="A96" s="13">
        <v>2000</v>
      </c>
      <c r="B96" s="7" t="s">
        <v>411</v>
      </c>
      <c r="C96" s="211" t="s">
        <v>2412</v>
      </c>
      <c r="D96" s="13" t="s">
        <v>410</v>
      </c>
      <c r="E96" s="13" t="s">
        <v>392</v>
      </c>
      <c r="F96" s="211" t="s">
        <v>2413</v>
      </c>
      <c r="G96" s="13" t="s">
        <v>2414</v>
      </c>
      <c r="H96" s="13" t="s">
        <v>2077</v>
      </c>
      <c r="I96" s="13" t="s">
        <v>2077</v>
      </c>
      <c r="J96" s="13" t="s">
        <v>2077</v>
      </c>
      <c r="K96" s="13" t="s">
        <v>2077</v>
      </c>
      <c r="L96" s="13" t="s">
        <v>2077</v>
      </c>
      <c r="M96" s="13" t="s">
        <v>2077</v>
      </c>
      <c r="N96" s="211" t="s">
        <v>2415</v>
      </c>
      <c r="O96" s="13" t="s">
        <v>2416</v>
      </c>
      <c r="P96" s="69" t="str">
        <f t="shared" ref="P96:Q96" si="94">D96</f>
        <v>CNC ROUTER HEIAN ER-43 1P HEIAN ER-431P MP.0550</v>
      </c>
      <c r="Q96" s="13" t="str">
        <f t="shared" si="94"/>
        <v>2C1</v>
      </c>
      <c r="R96" s="212" t="s">
        <v>23</v>
      </c>
      <c r="S96" s="212" t="s">
        <v>23</v>
      </c>
      <c r="T96" s="13">
        <v>85</v>
      </c>
      <c r="U96" s="211" t="s">
        <v>134</v>
      </c>
      <c r="V96" s="13">
        <v>1</v>
      </c>
      <c r="W96" s="13" t="s">
        <v>2417</v>
      </c>
      <c r="X96" s="13" t="s">
        <v>1924</v>
      </c>
      <c r="Y96" s="13" t="s">
        <v>2073</v>
      </c>
      <c r="Z96" s="13" t="s">
        <v>2073</v>
      </c>
      <c r="AA96" s="13" t="s">
        <v>2073</v>
      </c>
      <c r="AB96" s="13" t="s">
        <v>1924</v>
      </c>
      <c r="AC96" s="211" t="s">
        <v>2415</v>
      </c>
      <c r="AD96" s="13" t="s">
        <v>2416</v>
      </c>
      <c r="AE96" s="69" t="s">
        <v>412</v>
      </c>
      <c r="AF96" s="13" t="s">
        <v>2418</v>
      </c>
      <c r="AG96" s="13" t="s">
        <v>2419</v>
      </c>
      <c r="AH96" s="13" t="s">
        <v>2420</v>
      </c>
      <c r="AI96" s="13" t="s">
        <v>2421</v>
      </c>
      <c r="AJ96" s="13" t="s">
        <v>2422</v>
      </c>
      <c r="AK96" s="13" t="s">
        <v>2416</v>
      </c>
      <c r="AL96" s="13" t="s">
        <v>2077</v>
      </c>
      <c r="AM96" s="13" t="s">
        <v>2077</v>
      </c>
      <c r="AN96" s="13" t="s">
        <v>2077</v>
      </c>
      <c r="AO96" s="13" t="s">
        <v>2077</v>
      </c>
      <c r="AP96" s="13" t="s">
        <v>2077</v>
      </c>
      <c r="AQ96" s="13" t="s">
        <v>2077</v>
      </c>
      <c r="AR96" s="13" t="s">
        <v>2418</v>
      </c>
      <c r="AS96" s="13" t="s">
        <v>2419</v>
      </c>
      <c r="AT96" s="13" t="s">
        <v>2420</v>
      </c>
      <c r="AU96" s="13" t="s">
        <v>2421</v>
      </c>
      <c r="AV96" s="13" t="s">
        <v>2422</v>
      </c>
      <c r="AW96" s="13" t="s">
        <v>2416</v>
      </c>
      <c r="AX96" s="13" t="s">
        <v>2073</v>
      </c>
      <c r="AY96" s="13" t="s">
        <v>2073</v>
      </c>
      <c r="AZ96" s="13" t="s">
        <v>2073</v>
      </c>
      <c r="BA96" s="13" t="s">
        <v>2073</v>
      </c>
      <c r="BB96" s="13" t="s">
        <v>2073</v>
      </c>
      <c r="BC96" s="13" t="s">
        <v>2073</v>
      </c>
    </row>
    <row r="97" spans="1:55" ht="15.75" customHeight="1">
      <c r="A97" s="13">
        <v>2000</v>
      </c>
      <c r="B97" s="7" t="s">
        <v>415</v>
      </c>
      <c r="C97" s="211" t="s">
        <v>2412</v>
      </c>
      <c r="D97" s="13" t="s">
        <v>414</v>
      </c>
      <c r="E97" s="13" t="s">
        <v>392</v>
      </c>
      <c r="F97" s="211" t="s">
        <v>2413</v>
      </c>
      <c r="G97" s="13" t="s">
        <v>2414</v>
      </c>
      <c r="H97" s="13" t="s">
        <v>2077</v>
      </c>
      <c r="I97" s="13" t="s">
        <v>2077</v>
      </c>
      <c r="J97" s="13" t="s">
        <v>2077</v>
      </c>
      <c r="K97" s="13" t="s">
        <v>2077</v>
      </c>
      <c r="L97" s="13" t="s">
        <v>2077</v>
      </c>
      <c r="M97" s="13" t="s">
        <v>2077</v>
      </c>
      <c r="N97" s="211" t="s">
        <v>2415</v>
      </c>
      <c r="O97" s="13" t="s">
        <v>2416</v>
      </c>
      <c r="P97" s="69" t="str">
        <f t="shared" ref="P97:Q97" si="95">D97</f>
        <v>CNC Ares 4818</v>
      </c>
      <c r="Q97" s="13" t="str">
        <f t="shared" si="95"/>
        <v>2C1</v>
      </c>
      <c r="R97" s="212" t="s">
        <v>23</v>
      </c>
      <c r="S97" s="212" t="s">
        <v>23</v>
      </c>
      <c r="T97" s="13">
        <v>85</v>
      </c>
      <c r="U97" s="211" t="s">
        <v>134</v>
      </c>
      <c r="V97" s="13">
        <v>1</v>
      </c>
      <c r="W97" s="13" t="s">
        <v>2417</v>
      </c>
      <c r="X97" s="13" t="s">
        <v>1924</v>
      </c>
      <c r="Y97" s="13" t="s">
        <v>2073</v>
      </c>
      <c r="Z97" s="13" t="s">
        <v>2073</v>
      </c>
      <c r="AA97" s="13" t="s">
        <v>2073</v>
      </c>
      <c r="AB97" s="13" t="s">
        <v>1924</v>
      </c>
      <c r="AC97" s="211" t="s">
        <v>2415</v>
      </c>
      <c r="AD97" s="13" t="s">
        <v>2416</v>
      </c>
      <c r="AE97" s="69" t="s">
        <v>416</v>
      </c>
      <c r="AF97" s="13" t="s">
        <v>2418</v>
      </c>
      <c r="AG97" s="13" t="s">
        <v>2419</v>
      </c>
      <c r="AH97" s="13" t="s">
        <v>2420</v>
      </c>
      <c r="AI97" s="13" t="s">
        <v>2421</v>
      </c>
      <c r="AJ97" s="13" t="s">
        <v>2422</v>
      </c>
      <c r="AK97" s="13" t="s">
        <v>2416</v>
      </c>
      <c r="AL97" s="13" t="s">
        <v>2077</v>
      </c>
      <c r="AM97" s="13" t="s">
        <v>2077</v>
      </c>
      <c r="AN97" s="13" t="s">
        <v>2077</v>
      </c>
      <c r="AO97" s="13" t="s">
        <v>2077</v>
      </c>
      <c r="AP97" s="13" t="s">
        <v>2077</v>
      </c>
      <c r="AQ97" s="13" t="s">
        <v>2077</v>
      </c>
      <c r="AR97" s="13" t="s">
        <v>2418</v>
      </c>
      <c r="AS97" s="13" t="s">
        <v>2419</v>
      </c>
      <c r="AT97" s="13" t="s">
        <v>2420</v>
      </c>
      <c r="AU97" s="13" t="s">
        <v>2421</v>
      </c>
      <c r="AV97" s="13" t="s">
        <v>2422</v>
      </c>
      <c r="AW97" s="13" t="s">
        <v>2416</v>
      </c>
      <c r="AX97" s="13" t="s">
        <v>2073</v>
      </c>
      <c r="AY97" s="13" t="s">
        <v>2073</v>
      </c>
      <c r="AZ97" s="13" t="s">
        <v>2073</v>
      </c>
      <c r="BA97" s="13" t="s">
        <v>2073</v>
      </c>
      <c r="BB97" s="13" t="s">
        <v>2073</v>
      </c>
      <c r="BC97" s="13" t="s">
        <v>2073</v>
      </c>
    </row>
    <row r="98" spans="1:55" ht="15.75" customHeight="1">
      <c r="A98" s="13">
        <v>2000</v>
      </c>
      <c r="B98" s="7" t="s">
        <v>419</v>
      </c>
      <c r="C98" s="211" t="s">
        <v>2412</v>
      </c>
      <c r="D98" s="13" t="s">
        <v>418</v>
      </c>
      <c r="E98" s="13" t="s">
        <v>392</v>
      </c>
      <c r="F98" s="211" t="s">
        <v>2413</v>
      </c>
      <c r="G98" s="13" t="s">
        <v>2414</v>
      </c>
      <c r="H98" s="13" t="s">
        <v>2077</v>
      </c>
      <c r="I98" s="13" t="s">
        <v>2077</v>
      </c>
      <c r="J98" s="13" t="s">
        <v>2077</v>
      </c>
      <c r="K98" s="13" t="s">
        <v>2077</v>
      </c>
      <c r="L98" s="13" t="s">
        <v>2077</v>
      </c>
      <c r="M98" s="13" t="s">
        <v>2077</v>
      </c>
      <c r="N98" s="211" t="s">
        <v>2415</v>
      </c>
      <c r="O98" s="13" t="s">
        <v>2416</v>
      </c>
      <c r="P98" s="69" t="str">
        <f t="shared" ref="P98:Q98" si="96">D98</f>
        <v>CNC BACCI MASTER 1866</v>
      </c>
      <c r="Q98" s="13" t="str">
        <f t="shared" si="96"/>
        <v>2C1</v>
      </c>
      <c r="R98" s="212" t="s">
        <v>23</v>
      </c>
      <c r="S98" s="212" t="s">
        <v>23</v>
      </c>
      <c r="T98" s="13">
        <v>85</v>
      </c>
      <c r="U98" s="211" t="s">
        <v>134</v>
      </c>
      <c r="V98" s="13">
        <v>1</v>
      </c>
      <c r="W98" s="13" t="s">
        <v>2417</v>
      </c>
      <c r="X98" s="13" t="s">
        <v>1924</v>
      </c>
      <c r="Y98" s="13" t="s">
        <v>2073</v>
      </c>
      <c r="Z98" s="13" t="s">
        <v>2073</v>
      </c>
      <c r="AA98" s="13" t="s">
        <v>2073</v>
      </c>
      <c r="AB98" s="13" t="s">
        <v>1924</v>
      </c>
      <c r="AC98" s="211" t="s">
        <v>2415</v>
      </c>
      <c r="AD98" s="13" t="s">
        <v>2416</v>
      </c>
      <c r="AE98" s="69">
        <v>1111081008</v>
      </c>
      <c r="AF98" s="13" t="s">
        <v>2418</v>
      </c>
      <c r="AG98" s="13" t="s">
        <v>2419</v>
      </c>
      <c r="AH98" s="13" t="s">
        <v>2420</v>
      </c>
      <c r="AI98" s="13" t="s">
        <v>2421</v>
      </c>
      <c r="AJ98" s="13" t="s">
        <v>2422</v>
      </c>
      <c r="AK98" s="13" t="s">
        <v>2416</v>
      </c>
      <c r="AL98" s="13" t="s">
        <v>2077</v>
      </c>
      <c r="AM98" s="13" t="s">
        <v>2077</v>
      </c>
      <c r="AN98" s="13" t="s">
        <v>2077</v>
      </c>
      <c r="AO98" s="13" t="s">
        <v>2077</v>
      </c>
      <c r="AP98" s="13" t="s">
        <v>2077</v>
      </c>
      <c r="AQ98" s="13" t="s">
        <v>2077</v>
      </c>
      <c r="AR98" s="13" t="s">
        <v>2418</v>
      </c>
      <c r="AS98" s="13" t="s">
        <v>2419</v>
      </c>
      <c r="AT98" s="13" t="s">
        <v>2420</v>
      </c>
      <c r="AU98" s="13" t="s">
        <v>2421</v>
      </c>
      <c r="AV98" s="13" t="s">
        <v>2422</v>
      </c>
      <c r="AW98" s="13" t="s">
        <v>2416</v>
      </c>
      <c r="AX98" s="13" t="s">
        <v>2073</v>
      </c>
      <c r="AY98" s="13" t="s">
        <v>2073</v>
      </c>
      <c r="AZ98" s="13" t="s">
        <v>2073</v>
      </c>
      <c r="BA98" s="13" t="s">
        <v>2073</v>
      </c>
      <c r="BB98" s="13" t="s">
        <v>2073</v>
      </c>
      <c r="BC98" s="13" t="s">
        <v>2073</v>
      </c>
    </row>
    <row r="99" spans="1:55" ht="15.75" customHeight="1">
      <c r="A99" s="13">
        <v>2000</v>
      </c>
      <c r="B99" s="7" t="s">
        <v>422</v>
      </c>
      <c r="C99" s="211" t="s">
        <v>2412</v>
      </c>
      <c r="D99" s="13" t="s">
        <v>421</v>
      </c>
      <c r="E99" s="13" t="s">
        <v>392</v>
      </c>
      <c r="F99" s="211" t="s">
        <v>2413</v>
      </c>
      <c r="G99" s="13" t="s">
        <v>2414</v>
      </c>
      <c r="H99" s="13" t="s">
        <v>2077</v>
      </c>
      <c r="I99" s="13" t="s">
        <v>2077</v>
      </c>
      <c r="J99" s="13" t="s">
        <v>2077</v>
      </c>
      <c r="K99" s="13" t="s">
        <v>2077</v>
      </c>
      <c r="L99" s="13" t="s">
        <v>2077</v>
      </c>
      <c r="M99" s="13" t="s">
        <v>2077</v>
      </c>
      <c r="N99" s="211" t="s">
        <v>2415</v>
      </c>
      <c r="O99" s="13" t="s">
        <v>2416</v>
      </c>
      <c r="P99" s="69" t="str">
        <f t="shared" ref="P99:Q99" si="97">D99</f>
        <v>CG C Sanding Komponen Dining</v>
      </c>
      <c r="Q99" s="13" t="str">
        <f t="shared" si="97"/>
        <v>2C1</v>
      </c>
      <c r="R99" s="212" t="s">
        <v>23</v>
      </c>
      <c r="S99" s="212" t="s">
        <v>423</v>
      </c>
      <c r="T99" s="13">
        <v>85</v>
      </c>
      <c r="U99" s="211" t="s">
        <v>83</v>
      </c>
      <c r="V99" s="13">
        <v>1</v>
      </c>
      <c r="W99" s="13" t="s">
        <v>2417</v>
      </c>
      <c r="X99" s="13" t="s">
        <v>1924</v>
      </c>
      <c r="Y99" s="13" t="s">
        <v>2073</v>
      </c>
      <c r="Z99" s="13" t="s">
        <v>2073</v>
      </c>
      <c r="AA99" s="13" t="s">
        <v>2073</v>
      </c>
      <c r="AB99" s="13" t="s">
        <v>1924</v>
      </c>
      <c r="AC99" s="211" t="s">
        <v>2415</v>
      </c>
      <c r="AD99" s="13" t="s">
        <v>2416</v>
      </c>
      <c r="AE99" s="69">
        <v>1111082501</v>
      </c>
      <c r="AF99" s="13" t="s">
        <v>2418</v>
      </c>
      <c r="AG99" s="13" t="s">
        <v>2419</v>
      </c>
      <c r="AH99" s="13" t="s">
        <v>2420</v>
      </c>
      <c r="AI99" s="13" t="s">
        <v>2421</v>
      </c>
      <c r="AJ99" s="13" t="s">
        <v>2422</v>
      </c>
      <c r="AK99" s="13" t="s">
        <v>2416</v>
      </c>
      <c r="AL99" s="13" t="s">
        <v>2077</v>
      </c>
      <c r="AM99" s="13" t="s">
        <v>2077</v>
      </c>
      <c r="AN99" s="13" t="s">
        <v>2077</v>
      </c>
      <c r="AO99" s="13" t="s">
        <v>2077</v>
      </c>
      <c r="AP99" s="13" t="s">
        <v>2077</v>
      </c>
      <c r="AQ99" s="13" t="s">
        <v>2077</v>
      </c>
      <c r="AR99" s="13" t="s">
        <v>2418</v>
      </c>
      <c r="AS99" s="13" t="s">
        <v>2419</v>
      </c>
      <c r="AT99" s="13" t="s">
        <v>2420</v>
      </c>
      <c r="AU99" s="13" t="s">
        <v>2421</v>
      </c>
      <c r="AV99" s="13" t="s">
        <v>2422</v>
      </c>
      <c r="AW99" s="13" t="s">
        <v>2416</v>
      </c>
      <c r="AX99" s="13" t="s">
        <v>2073</v>
      </c>
      <c r="AY99" s="13" t="s">
        <v>2073</v>
      </c>
      <c r="AZ99" s="13" t="s">
        <v>2073</v>
      </c>
      <c r="BA99" s="13" t="s">
        <v>2073</v>
      </c>
      <c r="BB99" s="13" t="s">
        <v>2073</v>
      </c>
      <c r="BC99" s="13" t="s">
        <v>2073</v>
      </c>
    </row>
    <row r="100" spans="1:55" ht="15.75" customHeight="1">
      <c r="A100" s="13">
        <v>2000</v>
      </c>
      <c r="B100" s="7" t="s">
        <v>426</v>
      </c>
      <c r="C100" s="211" t="s">
        <v>2412</v>
      </c>
      <c r="D100" s="13" t="s">
        <v>2270</v>
      </c>
      <c r="E100" s="13" t="s">
        <v>392</v>
      </c>
      <c r="F100" s="211" t="s">
        <v>2413</v>
      </c>
      <c r="G100" s="13" t="s">
        <v>2414</v>
      </c>
      <c r="H100" s="13" t="s">
        <v>2077</v>
      </c>
      <c r="I100" s="13" t="s">
        <v>2077</v>
      </c>
      <c r="J100" s="13" t="s">
        <v>2077</v>
      </c>
      <c r="K100" s="13" t="s">
        <v>2077</v>
      </c>
      <c r="L100" s="13" t="s">
        <v>2077</v>
      </c>
      <c r="M100" s="13" t="s">
        <v>2077</v>
      </c>
      <c r="N100" s="211" t="s">
        <v>2415</v>
      </c>
      <c r="O100" s="13" t="s">
        <v>2416</v>
      </c>
      <c r="P100" s="69" t="str">
        <f t="shared" ref="P100:Q100" si="98">D100</f>
        <v>Palang Kuda Top</v>
      </c>
      <c r="Q100" s="13" t="str">
        <f t="shared" si="98"/>
        <v>2C1</v>
      </c>
      <c r="R100" s="212" t="s">
        <v>23</v>
      </c>
      <c r="S100" s="213">
        <v>0.64583333333333337</v>
      </c>
      <c r="T100" s="13">
        <v>85</v>
      </c>
      <c r="U100" s="211" t="s">
        <v>24</v>
      </c>
      <c r="V100" s="13">
        <v>1</v>
      </c>
      <c r="W100" s="13" t="s">
        <v>2417</v>
      </c>
      <c r="X100" s="13" t="s">
        <v>1924</v>
      </c>
      <c r="Y100" s="13" t="s">
        <v>2073</v>
      </c>
      <c r="Z100" s="13" t="s">
        <v>2073</v>
      </c>
      <c r="AA100" s="13" t="s">
        <v>2073</v>
      </c>
      <c r="AB100" s="13" t="s">
        <v>1924</v>
      </c>
      <c r="AC100" s="211" t="s">
        <v>2415</v>
      </c>
      <c r="AD100" s="13" t="s">
        <v>2416</v>
      </c>
      <c r="AE100" s="69">
        <v>1111082502</v>
      </c>
      <c r="AF100" s="13" t="s">
        <v>2418</v>
      </c>
      <c r="AG100" s="13" t="s">
        <v>2419</v>
      </c>
      <c r="AH100" s="13" t="s">
        <v>2420</v>
      </c>
      <c r="AI100" s="13" t="s">
        <v>2421</v>
      </c>
      <c r="AJ100" s="13" t="s">
        <v>2422</v>
      </c>
      <c r="AK100" s="13" t="s">
        <v>2416</v>
      </c>
      <c r="AL100" s="13" t="s">
        <v>2077</v>
      </c>
      <c r="AM100" s="13" t="s">
        <v>2077</v>
      </c>
      <c r="AN100" s="13" t="s">
        <v>2077</v>
      </c>
      <c r="AO100" s="13" t="s">
        <v>2077</v>
      </c>
      <c r="AP100" s="13" t="s">
        <v>2077</v>
      </c>
      <c r="AQ100" s="13" t="s">
        <v>2077</v>
      </c>
      <c r="AR100" s="13" t="s">
        <v>2418</v>
      </c>
      <c r="AS100" s="13" t="s">
        <v>2419</v>
      </c>
      <c r="AT100" s="13" t="s">
        <v>2420</v>
      </c>
      <c r="AU100" s="13" t="s">
        <v>2421</v>
      </c>
      <c r="AV100" s="13" t="s">
        <v>2422</v>
      </c>
      <c r="AW100" s="13" t="s">
        <v>2416</v>
      </c>
      <c r="AX100" s="13" t="s">
        <v>2073</v>
      </c>
      <c r="AY100" s="13" t="s">
        <v>2073</v>
      </c>
      <c r="AZ100" s="13" t="s">
        <v>2073</v>
      </c>
      <c r="BA100" s="13" t="s">
        <v>2073</v>
      </c>
      <c r="BB100" s="13" t="s">
        <v>2073</v>
      </c>
      <c r="BC100" s="13" t="s">
        <v>2073</v>
      </c>
    </row>
    <row r="101" spans="1:55" ht="15.75" customHeight="1">
      <c r="A101" s="13">
        <v>2000</v>
      </c>
      <c r="B101" s="7" t="s">
        <v>430</v>
      </c>
      <c r="C101" s="211" t="s">
        <v>2412</v>
      </c>
      <c r="D101" s="13" t="s">
        <v>431</v>
      </c>
      <c r="E101" s="13" t="s">
        <v>392</v>
      </c>
      <c r="F101" s="211" t="s">
        <v>2413</v>
      </c>
      <c r="G101" s="13" t="s">
        <v>2414</v>
      </c>
      <c r="H101" s="13" t="s">
        <v>2077</v>
      </c>
      <c r="I101" s="13" t="s">
        <v>2077</v>
      </c>
      <c r="J101" s="13" t="s">
        <v>2077</v>
      </c>
      <c r="K101" s="13" t="s">
        <v>2077</v>
      </c>
      <c r="L101" s="13" t="s">
        <v>2077</v>
      </c>
      <c r="M101" s="13" t="s">
        <v>2077</v>
      </c>
      <c r="N101" s="211" t="s">
        <v>2415</v>
      </c>
      <c r="O101" s="13" t="s">
        <v>2416</v>
      </c>
      <c r="P101" s="69" t="str">
        <f t="shared" ref="P101:Q101" si="99">D101</f>
        <v xml:space="preserve">Palang kuda Base </v>
      </c>
      <c r="Q101" s="13" t="str">
        <f t="shared" si="99"/>
        <v>2C1</v>
      </c>
      <c r="R101" s="212" t="s">
        <v>23</v>
      </c>
      <c r="S101" s="213">
        <v>0.64583333333333337</v>
      </c>
      <c r="T101" s="13">
        <v>85</v>
      </c>
      <c r="U101" s="211" t="s">
        <v>24</v>
      </c>
      <c r="V101" s="13">
        <v>1</v>
      </c>
      <c r="W101" s="13" t="s">
        <v>2417</v>
      </c>
      <c r="X101" s="13" t="s">
        <v>1924</v>
      </c>
      <c r="Y101" s="13" t="s">
        <v>2073</v>
      </c>
      <c r="Z101" s="13" t="s">
        <v>2073</v>
      </c>
      <c r="AA101" s="13" t="s">
        <v>2073</v>
      </c>
      <c r="AB101" s="13" t="s">
        <v>1924</v>
      </c>
      <c r="AC101" s="211" t="s">
        <v>2415</v>
      </c>
      <c r="AD101" s="13" t="s">
        <v>2416</v>
      </c>
      <c r="AE101" s="69">
        <v>1111082503</v>
      </c>
      <c r="AF101" s="13" t="s">
        <v>2418</v>
      </c>
      <c r="AG101" s="13" t="s">
        <v>2419</v>
      </c>
      <c r="AH101" s="13" t="s">
        <v>2420</v>
      </c>
      <c r="AI101" s="13" t="s">
        <v>2421</v>
      </c>
      <c r="AJ101" s="13" t="s">
        <v>2422</v>
      </c>
      <c r="AK101" s="13" t="s">
        <v>2416</v>
      </c>
      <c r="AL101" s="13" t="s">
        <v>2077</v>
      </c>
      <c r="AM101" s="13" t="s">
        <v>2077</v>
      </c>
      <c r="AN101" s="13" t="s">
        <v>2077</v>
      </c>
      <c r="AO101" s="13" t="s">
        <v>2077</v>
      </c>
      <c r="AP101" s="13" t="s">
        <v>2077</v>
      </c>
      <c r="AQ101" s="13" t="s">
        <v>2077</v>
      </c>
      <c r="AR101" s="13" t="s">
        <v>2418</v>
      </c>
      <c r="AS101" s="13" t="s">
        <v>2419</v>
      </c>
      <c r="AT101" s="13" t="s">
        <v>2420</v>
      </c>
      <c r="AU101" s="13" t="s">
        <v>2421</v>
      </c>
      <c r="AV101" s="13" t="s">
        <v>2422</v>
      </c>
      <c r="AW101" s="13" t="s">
        <v>2416</v>
      </c>
      <c r="AX101" s="13" t="s">
        <v>2073</v>
      </c>
      <c r="AY101" s="13" t="s">
        <v>2073</v>
      </c>
      <c r="AZ101" s="13" t="s">
        <v>2073</v>
      </c>
      <c r="BA101" s="13" t="s">
        <v>2073</v>
      </c>
      <c r="BB101" s="13" t="s">
        <v>2073</v>
      </c>
      <c r="BC101" s="13" t="s">
        <v>2073</v>
      </c>
    </row>
    <row r="102" spans="1:55" ht="15.75" customHeight="1">
      <c r="A102" s="13">
        <v>2000</v>
      </c>
      <c r="B102" s="7" t="s">
        <v>434</v>
      </c>
      <c r="C102" s="211" t="s">
        <v>2412</v>
      </c>
      <c r="D102" s="13" t="s">
        <v>433</v>
      </c>
      <c r="E102" s="13" t="s">
        <v>392</v>
      </c>
      <c r="F102" s="211" t="s">
        <v>2413</v>
      </c>
      <c r="G102" s="13" t="s">
        <v>2414</v>
      </c>
      <c r="H102" s="13" t="s">
        <v>2077</v>
      </c>
      <c r="I102" s="13" t="s">
        <v>2077</v>
      </c>
      <c r="J102" s="13" t="s">
        <v>2077</v>
      </c>
      <c r="K102" s="13" t="s">
        <v>2077</v>
      </c>
      <c r="L102" s="13" t="s">
        <v>2077</v>
      </c>
      <c r="M102" s="13" t="s">
        <v>2077</v>
      </c>
      <c r="N102" s="211" t="s">
        <v>2415</v>
      </c>
      <c r="O102" s="13" t="s">
        <v>2416</v>
      </c>
      <c r="P102" s="69" t="str">
        <f t="shared" ref="P102:Q102" si="100">D102</f>
        <v>CG C Sanding Komponen Bed</v>
      </c>
      <c r="Q102" s="13" t="str">
        <f t="shared" si="100"/>
        <v>2C1</v>
      </c>
      <c r="R102" s="212" t="s">
        <v>23</v>
      </c>
      <c r="S102" s="212" t="s">
        <v>423</v>
      </c>
      <c r="T102" s="13">
        <v>85</v>
      </c>
      <c r="U102" s="211" t="s">
        <v>83</v>
      </c>
      <c r="V102" s="13">
        <v>1</v>
      </c>
      <c r="W102" s="13" t="s">
        <v>2417</v>
      </c>
      <c r="X102" s="13" t="s">
        <v>1924</v>
      </c>
      <c r="Y102" s="13" t="s">
        <v>2073</v>
      </c>
      <c r="Z102" s="13" t="s">
        <v>2073</v>
      </c>
      <c r="AA102" s="13" t="s">
        <v>2073</v>
      </c>
      <c r="AB102" s="13" t="s">
        <v>1924</v>
      </c>
      <c r="AC102" s="211" t="s">
        <v>2415</v>
      </c>
      <c r="AD102" s="13" t="s">
        <v>2416</v>
      </c>
      <c r="AE102" s="69">
        <v>1111082401</v>
      </c>
      <c r="AF102" s="13" t="s">
        <v>2418</v>
      </c>
      <c r="AG102" s="13" t="s">
        <v>2419</v>
      </c>
      <c r="AH102" s="13" t="s">
        <v>2420</v>
      </c>
      <c r="AI102" s="13" t="s">
        <v>2421</v>
      </c>
      <c r="AJ102" s="13" t="s">
        <v>2422</v>
      </c>
      <c r="AK102" s="13" t="s">
        <v>2416</v>
      </c>
      <c r="AL102" s="13" t="s">
        <v>2077</v>
      </c>
      <c r="AM102" s="13" t="s">
        <v>2077</v>
      </c>
      <c r="AN102" s="13" t="s">
        <v>2077</v>
      </c>
      <c r="AO102" s="13" t="s">
        <v>2077</v>
      </c>
      <c r="AP102" s="13" t="s">
        <v>2077</v>
      </c>
      <c r="AQ102" s="13" t="s">
        <v>2077</v>
      </c>
      <c r="AR102" s="13" t="s">
        <v>2418</v>
      </c>
      <c r="AS102" s="13" t="s">
        <v>2419</v>
      </c>
      <c r="AT102" s="13" t="s">
        <v>2420</v>
      </c>
      <c r="AU102" s="13" t="s">
        <v>2421</v>
      </c>
      <c r="AV102" s="13" t="s">
        <v>2422</v>
      </c>
      <c r="AW102" s="13" t="s">
        <v>2416</v>
      </c>
      <c r="AX102" s="13" t="s">
        <v>2073</v>
      </c>
      <c r="AY102" s="13" t="s">
        <v>2073</v>
      </c>
      <c r="AZ102" s="13" t="s">
        <v>2073</v>
      </c>
      <c r="BA102" s="13" t="s">
        <v>2073</v>
      </c>
      <c r="BB102" s="13" t="s">
        <v>2073</v>
      </c>
      <c r="BC102" s="13" t="s">
        <v>2073</v>
      </c>
    </row>
    <row r="103" spans="1:55" ht="15.75" customHeight="1">
      <c r="A103" s="13">
        <v>2000</v>
      </c>
      <c r="B103" s="7" t="s">
        <v>437</v>
      </c>
      <c r="C103" s="211" t="s">
        <v>2412</v>
      </c>
      <c r="D103" s="13" t="s">
        <v>2271</v>
      </c>
      <c r="E103" s="13" t="s">
        <v>392</v>
      </c>
      <c r="F103" s="211" t="s">
        <v>2413</v>
      </c>
      <c r="G103" s="13" t="s">
        <v>2414</v>
      </c>
      <c r="H103" s="13" t="s">
        <v>2077</v>
      </c>
      <c r="I103" s="13" t="s">
        <v>2077</v>
      </c>
      <c r="J103" s="13" t="s">
        <v>2077</v>
      </c>
      <c r="K103" s="13" t="s">
        <v>2077</v>
      </c>
      <c r="L103" s="13" t="s">
        <v>2077</v>
      </c>
      <c r="M103" s="13" t="s">
        <v>2077</v>
      </c>
      <c r="N103" s="211" t="s">
        <v>2415</v>
      </c>
      <c r="O103" s="13" t="s">
        <v>2416</v>
      </c>
      <c r="P103" s="69" t="str">
        <f t="shared" ref="P103:Q103" si="101">D103</f>
        <v xml:space="preserve">Palang Kuda HB/FB </v>
      </c>
      <c r="Q103" s="13" t="str">
        <f t="shared" si="101"/>
        <v>2C1</v>
      </c>
      <c r="R103" s="212" t="s">
        <v>23</v>
      </c>
      <c r="S103" s="213">
        <v>0.64583333333333337</v>
      </c>
      <c r="T103" s="13">
        <v>85</v>
      </c>
      <c r="U103" s="211" t="s">
        <v>24</v>
      </c>
      <c r="V103" s="13">
        <v>1</v>
      </c>
      <c r="W103" s="13" t="s">
        <v>2417</v>
      </c>
      <c r="X103" s="13" t="s">
        <v>1924</v>
      </c>
      <c r="Y103" s="13" t="s">
        <v>2073</v>
      </c>
      <c r="Z103" s="13" t="s">
        <v>2073</v>
      </c>
      <c r="AA103" s="13" t="s">
        <v>2073</v>
      </c>
      <c r="AB103" s="13" t="s">
        <v>1924</v>
      </c>
      <c r="AC103" s="211" t="s">
        <v>2415</v>
      </c>
      <c r="AD103" s="13" t="s">
        <v>2416</v>
      </c>
      <c r="AE103" s="69">
        <v>1111082402</v>
      </c>
      <c r="AF103" s="13" t="s">
        <v>2418</v>
      </c>
      <c r="AG103" s="13" t="s">
        <v>2419</v>
      </c>
      <c r="AH103" s="13" t="s">
        <v>2420</v>
      </c>
      <c r="AI103" s="13" t="s">
        <v>2421</v>
      </c>
      <c r="AJ103" s="13" t="s">
        <v>2422</v>
      </c>
      <c r="AK103" s="13" t="s">
        <v>2416</v>
      </c>
      <c r="AL103" s="13" t="s">
        <v>2077</v>
      </c>
      <c r="AM103" s="13" t="s">
        <v>2077</v>
      </c>
      <c r="AN103" s="13" t="s">
        <v>2077</v>
      </c>
      <c r="AO103" s="13" t="s">
        <v>2077</v>
      </c>
      <c r="AP103" s="13" t="s">
        <v>2077</v>
      </c>
      <c r="AQ103" s="13" t="s">
        <v>2077</v>
      </c>
      <c r="AR103" s="13" t="s">
        <v>2418</v>
      </c>
      <c r="AS103" s="13" t="s">
        <v>2419</v>
      </c>
      <c r="AT103" s="13" t="s">
        <v>2420</v>
      </c>
      <c r="AU103" s="13" t="s">
        <v>2421</v>
      </c>
      <c r="AV103" s="13" t="s">
        <v>2422</v>
      </c>
      <c r="AW103" s="13" t="s">
        <v>2416</v>
      </c>
      <c r="AX103" s="13" t="s">
        <v>2073</v>
      </c>
      <c r="AY103" s="13" t="s">
        <v>2073</v>
      </c>
      <c r="AZ103" s="13" t="s">
        <v>2073</v>
      </c>
      <c r="BA103" s="13" t="s">
        <v>2073</v>
      </c>
      <c r="BB103" s="13" t="s">
        <v>2073</v>
      </c>
      <c r="BC103" s="13" t="s">
        <v>2073</v>
      </c>
    </row>
    <row r="104" spans="1:55" ht="15.75" customHeight="1">
      <c r="A104" s="13">
        <v>2000</v>
      </c>
      <c r="B104" s="7" t="s">
        <v>441</v>
      </c>
      <c r="C104" s="211" t="s">
        <v>2412</v>
      </c>
      <c r="D104" s="13" t="s">
        <v>440</v>
      </c>
      <c r="E104" s="13" t="s">
        <v>392</v>
      </c>
      <c r="F104" s="211" t="s">
        <v>2413</v>
      </c>
      <c r="G104" s="13" t="s">
        <v>2414</v>
      </c>
      <c r="H104" s="13" t="s">
        <v>2077</v>
      </c>
      <c r="I104" s="13" t="s">
        <v>2077</v>
      </c>
      <c r="J104" s="13" t="s">
        <v>2077</v>
      </c>
      <c r="K104" s="13" t="s">
        <v>2077</v>
      </c>
      <c r="L104" s="13" t="s">
        <v>2077</v>
      </c>
      <c r="M104" s="13" t="s">
        <v>2077</v>
      </c>
      <c r="N104" s="211" t="s">
        <v>2415</v>
      </c>
      <c r="O104" s="13" t="s">
        <v>2416</v>
      </c>
      <c r="P104" s="69" t="str">
        <f t="shared" ref="P104:Q104" si="102">D104</f>
        <v xml:space="preserve">Palang Kuda Rail </v>
      </c>
      <c r="Q104" s="13" t="str">
        <f t="shared" si="102"/>
        <v>2C1</v>
      </c>
      <c r="R104" s="212" t="s">
        <v>23</v>
      </c>
      <c r="S104" s="213">
        <v>0.64583333333333337</v>
      </c>
      <c r="T104" s="13">
        <v>85</v>
      </c>
      <c r="U104" s="211" t="s">
        <v>24</v>
      </c>
      <c r="V104" s="13">
        <v>1</v>
      </c>
      <c r="W104" s="13" t="s">
        <v>2417</v>
      </c>
      <c r="X104" s="13" t="s">
        <v>1924</v>
      </c>
      <c r="Y104" s="13" t="s">
        <v>2073</v>
      </c>
      <c r="Z104" s="13" t="s">
        <v>2073</v>
      </c>
      <c r="AA104" s="13" t="s">
        <v>2073</v>
      </c>
      <c r="AB104" s="13" t="s">
        <v>1924</v>
      </c>
      <c r="AC104" s="211" t="s">
        <v>2415</v>
      </c>
      <c r="AD104" s="13" t="s">
        <v>2416</v>
      </c>
      <c r="AE104" s="69" t="s">
        <v>2272</v>
      </c>
      <c r="AF104" s="13" t="s">
        <v>2418</v>
      </c>
      <c r="AG104" s="13" t="s">
        <v>2419</v>
      </c>
      <c r="AH104" s="13" t="s">
        <v>2420</v>
      </c>
      <c r="AI104" s="13" t="s">
        <v>2421</v>
      </c>
      <c r="AJ104" s="13" t="s">
        <v>2422</v>
      </c>
      <c r="AK104" s="13" t="s">
        <v>2416</v>
      </c>
      <c r="AL104" s="13" t="s">
        <v>2077</v>
      </c>
      <c r="AM104" s="13" t="s">
        <v>2077</v>
      </c>
      <c r="AN104" s="13" t="s">
        <v>2077</v>
      </c>
      <c r="AO104" s="13" t="s">
        <v>2077</v>
      </c>
      <c r="AP104" s="13" t="s">
        <v>2077</v>
      </c>
      <c r="AQ104" s="13" t="s">
        <v>2077</v>
      </c>
      <c r="AR104" s="13" t="s">
        <v>2418</v>
      </c>
      <c r="AS104" s="13" t="s">
        <v>2419</v>
      </c>
      <c r="AT104" s="13" t="s">
        <v>2420</v>
      </c>
      <c r="AU104" s="13" t="s">
        <v>2421</v>
      </c>
      <c r="AV104" s="13" t="s">
        <v>2422</v>
      </c>
      <c r="AW104" s="13" t="s">
        <v>2416</v>
      </c>
      <c r="AX104" s="13" t="s">
        <v>2073</v>
      </c>
      <c r="AY104" s="13" t="s">
        <v>2073</v>
      </c>
      <c r="AZ104" s="13" t="s">
        <v>2073</v>
      </c>
      <c r="BA104" s="13" t="s">
        <v>2073</v>
      </c>
      <c r="BB104" s="13" t="s">
        <v>2073</v>
      </c>
      <c r="BC104" s="13" t="s">
        <v>2073</v>
      </c>
    </row>
    <row r="105" spans="1:55" ht="15.75" customHeight="1">
      <c r="A105" s="13">
        <v>2000</v>
      </c>
      <c r="B105" s="7" t="s">
        <v>453</v>
      </c>
      <c r="C105" s="211" t="s">
        <v>2412</v>
      </c>
      <c r="D105" s="13" t="s">
        <v>452</v>
      </c>
      <c r="E105" s="13" t="s">
        <v>454</v>
      </c>
      <c r="F105" s="211" t="s">
        <v>2413</v>
      </c>
      <c r="G105" s="13" t="s">
        <v>2414</v>
      </c>
      <c r="H105" s="13" t="s">
        <v>2077</v>
      </c>
      <c r="I105" s="13" t="s">
        <v>2077</v>
      </c>
      <c r="J105" s="13" t="s">
        <v>2077</v>
      </c>
      <c r="K105" s="13" t="s">
        <v>2077</v>
      </c>
      <c r="L105" s="13" t="s">
        <v>2077</v>
      </c>
      <c r="M105" s="13" t="s">
        <v>2077</v>
      </c>
      <c r="N105" s="211" t="s">
        <v>2415</v>
      </c>
      <c r="O105" s="13" t="s">
        <v>2416</v>
      </c>
      <c r="P105" s="69" t="str">
        <f t="shared" ref="P105:Q105" si="103">D105</f>
        <v>MP UPHOLSTERY</v>
      </c>
      <c r="Q105" s="13" t="str">
        <f t="shared" si="103"/>
        <v>2UP</v>
      </c>
      <c r="R105" s="212" t="s">
        <v>23</v>
      </c>
      <c r="S105" s="213">
        <v>0.70833333333333337</v>
      </c>
      <c r="T105" s="13">
        <v>85</v>
      </c>
      <c r="U105" s="211" t="s">
        <v>24</v>
      </c>
      <c r="V105" s="13">
        <v>1</v>
      </c>
      <c r="W105" s="13" t="s">
        <v>2417</v>
      </c>
      <c r="X105" s="13" t="s">
        <v>1924</v>
      </c>
      <c r="Y105" s="13" t="s">
        <v>2073</v>
      </c>
      <c r="Z105" s="13" t="s">
        <v>2073</v>
      </c>
      <c r="AA105" s="13" t="s">
        <v>2073</v>
      </c>
      <c r="AB105" s="13" t="s">
        <v>1924</v>
      </c>
      <c r="AC105" s="211" t="s">
        <v>2415</v>
      </c>
      <c r="AD105" s="13" t="s">
        <v>2416</v>
      </c>
      <c r="AE105" s="69">
        <v>1111110001</v>
      </c>
      <c r="AF105" s="13" t="s">
        <v>2418</v>
      </c>
      <c r="AG105" s="13" t="s">
        <v>2419</v>
      </c>
      <c r="AH105" s="13" t="s">
        <v>2420</v>
      </c>
      <c r="AI105" s="13" t="s">
        <v>2421</v>
      </c>
      <c r="AJ105" s="13" t="s">
        <v>2422</v>
      </c>
      <c r="AK105" s="13" t="s">
        <v>2416</v>
      </c>
      <c r="AL105" s="13" t="s">
        <v>2077</v>
      </c>
      <c r="AM105" s="13" t="s">
        <v>2077</v>
      </c>
      <c r="AN105" s="13" t="s">
        <v>2077</v>
      </c>
      <c r="AO105" s="13" t="s">
        <v>2077</v>
      </c>
      <c r="AP105" s="13" t="s">
        <v>2077</v>
      </c>
      <c r="AQ105" s="13" t="s">
        <v>2077</v>
      </c>
      <c r="AR105" s="13" t="s">
        <v>2418</v>
      </c>
      <c r="AS105" s="13" t="s">
        <v>2419</v>
      </c>
      <c r="AT105" s="13" t="s">
        <v>2420</v>
      </c>
      <c r="AU105" s="13" t="s">
        <v>2421</v>
      </c>
      <c r="AV105" s="13" t="s">
        <v>2422</v>
      </c>
      <c r="AW105" s="13" t="s">
        <v>2416</v>
      </c>
      <c r="AX105" s="13" t="s">
        <v>2073</v>
      </c>
      <c r="AY105" s="13" t="s">
        <v>2073</v>
      </c>
      <c r="AZ105" s="13" t="s">
        <v>2073</v>
      </c>
      <c r="BA105" s="13" t="s">
        <v>2073</v>
      </c>
      <c r="BB105" s="13" t="s">
        <v>2073</v>
      </c>
      <c r="BC105" s="13" t="s">
        <v>2073</v>
      </c>
    </row>
    <row r="106" spans="1:55" ht="15.75" customHeight="1">
      <c r="A106" s="13">
        <v>2000</v>
      </c>
      <c r="B106" s="7" t="s">
        <v>457</v>
      </c>
      <c r="C106" s="211" t="s">
        <v>2412</v>
      </c>
      <c r="D106" s="13" t="s">
        <v>456</v>
      </c>
      <c r="E106" s="13" t="s">
        <v>454</v>
      </c>
      <c r="F106" s="211" t="s">
        <v>2413</v>
      </c>
      <c r="G106" s="13" t="s">
        <v>2414</v>
      </c>
      <c r="H106" s="13" t="s">
        <v>2077</v>
      </c>
      <c r="I106" s="13" t="s">
        <v>2077</v>
      </c>
      <c r="J106" s="13" t="s">
        <v>2077</v>
      </c>
      <c r="K106" s="13" t="s">
        <v>2077</v>
      </c>
      <c r="L106" s="13" t="s">
        <v>2077</v>
      </c>
      <c r="M106" s="13" t="s">
        <v>2077</v>
      </c>
      <c r="N106" s="211" t="s">
        <v>2415</v>
      </c>
      <c r="O106" s="13" t="s">
        <v>2416</v>
      </c>
      <c r="P106" s="69" t="str">
        <f t="shared" ref="P106:Q106" si="104">D106</f>
        <v>ASSY UPHOLSTERY</v>
      </c>
      <c r="Q106" s="13" t="str">
        <f t="shared" si="104"/>
        <v>2UP</v>
      </c>
      <c r="R106" s="212" t="s">
        <v>23</v>
      </c>
      <c r="S106" s="213">
        <v>0.70833333333333337</v>
      </c>
      <c r="T106" s="13">
        <v>85</v>
      </c>
      <c r="U106" s="211" t="s">
        <v>24</v>
      </c>
      <c r="V106" s="13">
        <v>1</v>
      </c>
      <c r="W106" s="13" t="s">
        <v>2417</v>
      </c>
      <c r="X106" s="13" t="s">
        <v>1924</v>
      </c>
      <c r="Y106" s="13" t="s">
        <v>2073</v>
      </c>
      <c r="Z106" s="13" t="s">
        <v>2073</v>
      </c>
      <c r="AA106" s="13" t="s">
        <v>2073</v>
      </c>
      <c r="AB106" s="13" t="s">
        <v>1924</v>
      </c>
      <c r="AC106" s="211" t="s">
        <v>2415</v>
      </c>
      <c r="AD106" s="13" t="s">
        <v>2416</v>
      </c>
      <c r="AE106" s="69" t="s">
        <v>458</v>
      </c>
      <c r="AF106" s="13" t="s">
        <v>2418</v>
      </c>
      <c r="AG106" s="13" t="s">
        <v>2419</v>
      </c>
      <c r="AH106" s="13" t="s">
        <v>2420</v>
      </c>
      <c r="AI106" s="13" t="s">
        <v>2421</v>
      </c>
      <c r="AJ106" s="13" t="s">
        <v>2422</v>
      </c>
      <c r="AK106" s="13" t="s">
        <v>2416</v>
      </c>
      <c r="AL106" s="13" t="s">
        <v>2077</v>
      </c>
      <c r="AM106" s="13" t="s">
        <v>2077</v>
      </c>
      <c r="AN106" s="13" t="s">
        <v>2077</v>
      </c>
      <c r="AO106" s="13" t="s">
        <v>2077</v>
      </c>
      <c r="AP106" s="13" t="s">
        <v>2077</v>
      </c>
      <c r="AQ106" s="13" t="s">
        <v>2077</v>
      </c>
      <c r="AR106" s="13" t="s">
        <v>2418</v>
      </c>
      <c r="AS106" s="13" t="s">
        <v>2419</v>
      </c>
      <c r="AT106" s="13" t="s">
        <v>2420</v>
      </c>
      <c r="AU106" s="13" t="s">
        <v>2421</v>
      </c>
      <c r="AV106" s="13" t="s">
        <v>2422</v>
      </c>
      <c r="AW106" s="13" t="s">
        <v>2416</v>
      </c>
      <c r="AX106" s="13" t="s">
        <v>2073</v>
      </c>
      <c r="AY106" s="13" t="s">
        <v>2073</v>
      </c>
      <c r="AZ106" s="13" t="s">
        <v>2073</v>
      </c>
      <c r="BA106" s="13" t="s">
        <v>2073</v>
      </c>
      <c r="BB106" s="13" t="s">
        <v>2073</v>
      </c>
      <c r="BC106" s="13" t="s">
        <v>2073</v>
      </c>
    </row>
    <row r="107" spans="1:55" ht="15.75" customHeight="1">
      <c r="A107" s="13">
        <v>2000</v>
      </c>
      <c r="B107" s="7" t="s">
        <v>461</v>
      </c>
      <c r="C107" s="211" t="s">
        <v>2412</v>
      </c>
      <c r="D107" s="13" t="s">
        <v>460</v>
      </c>
      <c r="E107" s="13" t="s">
        <v>464</v>
      </c>
      <c r="F107" s="211" t="s">
        <v>2413</v>
      </c>
      <c r="G107" s="13" t="s">
        <v>2414</v>
      </c>
      <c r="H107" s="13" t="s">
        <v>2077</v>
      </c>
      <c r="I107" s="13" t="s">
        <v>2077</v>
      </c>
      <c r="J107" s="13" t="s">
        <v>2077</v>
      </c>
      <c r="K107" s="13" t="s">
        <v>2077</v>
      </c>
      <c r="L107" s="13" t="s">
        <v>2077</v>
      </c>
      <c r="M107" s="13" t="s">
        <v>2077</v>
      </c>
      <c r="N107" s="211" t="s">
        <v>2415</v>
      </c>
      <c r="O107" s="13" t="s">
        <v>2416</v>
      </c>
      <c r="P107" s="69" t="str">
        <f t="shared" ref="P107:Q107" si="105">D107</f>
        <v>CASE GOOD B PROSES MANUAL</v>
      </c>
      <c r="Q107" s="13" t="str">
        <f t="shared" si="105"/>
        <v>2GW</v>
      </c>
      <c r="R107" s="212" t="s">
        <v>23</v>
      </c>
      <c r="S107" s="213">
        <v>0.97916666666666663</v>
      </c>
      <c r="T107" s="13">
        <v>85</v>
      </c>
      <c r="U107" s="211" t="s">
        <v>83</v>
      </c>
      <c r="V107" s="13">
        <v>1</v>
      </c>
      <c r="W107" s="13" t="s">
        <v>2417</v>
      </c>
      <c r="X107" s="13" t="s">
        <v>1924</v>
      </c>
      <c r="Y107" s="13" t="s">
        <v>2073</v>
      </c>
      <c r="Z107" s="13" t="s">
        <v>2073</v>
      </c>
      <c r="AA107" s="13" t="s">
        <v>2073</v>
      </c>
      <c r="AB107" s="13" t="s">
        <v>1924</v>
      </c>
      <c r="AC107" s="211" t="s">
        <v>2415</v>
      </c>
      <c r="AD107" s="13" t="s">
        <v>2416</v>
      </c>
      <c r="AE107" s="69" t="s">
        <v>462</v>
      </c>
      <c r="AF107" s="13" t="s">
        <v>2418</v>
      </c>
      <c r="AG107" s="13" t="s">
        <v>2419</v>
      </c>
      <c r="AH107" s="13" t="s">
        <v>2420</v>
      </c>
      <c r="AI107" s="13" t="s">
        <v>2421</v>
      </c>
      <c r="AJ107" s="13" t="s">
        <v>2422</v>
      </c>
      <c r="AK107" s="13" t="s">
        <v>2416</v>
      </c>
      <c r="AL107" s="13" t="s">
        <v>2077</v>
      </c>
      <c r="AM107" s="13" t="s">
        <v>2077</v>
      </c>
      <c r="AN107" s="13" t="s">
        <v>2077</v>
      </c>
      <c r="AO107" s="13" t="s">
        <v>2077</v>
      </c>
      <c r="AP107" s="13" t="s">
        <v>2077</v>
      </c>
      <c r="AQ107" s="13" t="s">
        <v>2077</v>
      </c>
      <c r="AR107" s="13" t="s">
        <v>2418</v>
      </c>
      <c r="AS107" s="13" t="s">
        <v>2419</v>
      </c>
      <c r="AT107" s="13" t="s">
        <v>2420</v>
      </c>
      <c r="AU107" s="13" t="s">
        <v>2421</v>
      </c>
      <c r="AV107" s="13" t="s">
        <v>2422</v>
      </c>
      <c r="AW107" s="13" t="s">
        <v>2416</v>
      </c>
      <c r="AX107" s="13" t="s">
        <v>2073</v>
      </c>
      <c r="AY107" s="13" t="s">
        <v>2073</v>
      </c>
      <c r="AZ107" s="13" t="s">
        <v>2073</v>
      </c>
      <c r="BA107" s="13" t="s">
        <v>2073</v>
      </c>
      <c r="BB107" s="13" t="s">
        <v>2073</v>
      </c>
      <c r="BC107" s="13" t="s">
        <v>2073</v>
      </c>
    </row>
    <row r="108" spans="1:55" ht="15.75" customHeight="1">
      <c r="A108" s="13">
        <v>2000</v>
      </c>
      <c r="B108" s="7" t="s">
        <v>468</v>
      </c>
      <c r="C108" s="211" t="s">
        <v>2412</v>
      </c>
      <c r="D108" s="13" t="s">
        <v>467</v>
      </c>
      <c r="E108" s="13" t="s">
        <v>464</v>
      </c>
      <c r="F108" s="211" t="s">
        <v>2413</v>
      </c>
      <c r="G108" s="13" t="s">
        <v>2414</v>
      </c>
      <c r="H108" s="13" t="s">
        <v>2077</v>
      </c>
      <c r="I108" s="13" t="s">
        <v>2077</v>
      </c>
      <c r="J108" s="13" t="s">
        <v>2077</v>
      </c>
      <c r="K108" s="13" t="s">
        <v>2077</v>
      </c>
      <c r="L108" s="13" t="s">
        <v>2077</v>
      </c>
      <c r="M108" s="13" t="s">
        <v>2077</v>
      </c>
      <c r="N108" s="211" t="s">
        <v>2415</v>
      </c>
      <c r="O108" s="13" t="s">
        <v>2416</v>
      </c>
      <c r="P108" s="69" t="str">
        <f t="shared" ref="P108:Q108" si="106">D108</f>
        <v>CNC ROUTER HEIAN NC-442PF</v>
      </c>
      <c r="Q108" s="13" t="str">
        <f t="shared" si="106"/>
        <v>2GW</v>
      </c>
      <c r="R108" s="212" t="s">
        <v>23</v>
      </c>
      <c r="S108" s="213">
        <v>0.97916666666666663</v>
      </c>
      <c r="T108" s="13">
        <v>85</v>
      </c>
      <c r="U108" s="211" t="s">
        <v>83</v>
      </c>
      <c r="V108" s="13">
        <v>1</v>
      </c>
      <c r="W108" s="13" t="s">
        <v>2417</v>
      </c>
      <c r="X108" s="13" t="s">
        <v>1924</v>
      </c>
      <c r="Y108" s="13" t="s">
        <v>2073</v>
      </c>
      <c r="Z108" s="13" t="s">
        <v>2073</v>
      </c>
      <c r="AA108" s="13" t="s">
        <v>2073</v>
      </c>
      <c r="AB108" s="13" t="s">
        <v>1924</v>
      </c>
      <c r="AC108" s="211" t="s">
        <v>2415</v>
      </c>
      <c r="AD108" s="13" t="s">
        <v>2416</v>
      </c>
      <c r="AE108" s="69" t="s">
        <v>469</v>
      </c>
      <c r="AF108" s="13" t="s">
        <v>2418</v>
      </c>
      <c r="AG108" s="13" t="s">
        <v>2419</v>
      </c>
      <c r="AH108" s="13" t="s">
        <v>2420</v>
      </c>
      <c r="AI108" s="13" t="s">
        <v>2421</v>
      </c>
      <c r="AJ108" s="13" t="s">
        <v>2422</v>
      </c>
      <c r="AK108" s="13" t="s">
        <v>2416</v>
      </c>
      <c r="AL108" s="13" t="s">
        <v>2077</v>
      </c>
      <c r="AM108" s="13" t="s">
        <v>2077</v>
      </c>
      <c r="AN108" s="13" t="s">
        <v>2077</v>
      </c>
      <c r="AO108" s="13" t="s">
        <v>2077</v>
      </c>
      <c r="AP108" s="13" t="s">
        <v>2077</v>
      </c>
      <c r="AQ108" s="13" t="s">
        <v>2077</v>
      </c>
      <c r="AR108" s="13" t="s">
        <v>2418</v>
      </c>
      <c r="AS108" s="13" t="s">
        <v>2419</v>
      </c>
      <c r="AT108" s="13" t="s">
        <v>2420</v>
      </c>
      <c r="AU108" s="13" t="s">
        <v>2421</v>
      </c>
      <c r="AV108" s="13" t="s">
        <v>2422</v>
      </c>
      <c r="AW108" s="13" t="s">
        <v>2416</v>
      </c>
      <c r="AX108" s="13" t="s">
        <v>2073</v>
      </c>
      <c r="AY108" s="13" t="s">
        <v>2073</v>
      </c>
      <c r="AZ108" s="13" t="s">
        <v>2073</v>
      </c>
      <c r="BA108" s="13" t="s">
        <v>2073</v>
      </c>
      <c r="BB108" s="13" t="s">
        <v>2073</v>
      </c>
      <c r="BC108" s="13" t="s">
        <v>2073</v>
      </c>
    </row>
    <row r="109" spans="1:55" ht="15.75" customHeight="1">
      <c r="A109" s="13">
        <v>2000</v>
      </c>
      <c r="B109" s="7" t="s">
        <v>472</v>
      </c>
      <c r="C109" s="211" t="s">
        <v>2412</v>
      </c>
      <c r="D109" s="13" t="s">
        <v>471</v>
      </c>
      <c r="E109" s="13" t="s">
        <v>464</v>
      </c>
      <c r="F109" s="211" t="s">
        <v>2413</v>
      </c>
      <c r="G109" s="13" t="s">
        <v>2414</v>
      </c>
      <c r="H109" s="13" t="s">
        <v>2077</v>
      </c>
      <c r="I109" s="13" t="s">
        <v>2077</v>
      </c>
      <c r="J109" s="13" t="s">
        <v>2077</v>
      </c>
      <c r="K109" s="13" t="s">
        <v>2077</v>
      </c>
      <c r="L109" s="13" t="s">
        <v>2077</v>
      </c>
      <c r="M109" s="13" t="s">
        <v>2077</v>
      </c>
      <c r="N109" s="211" t="s">
        <v>2415</v>
      </c>
      <c r="O109" s="13" t="s">
        <v>2416</v>
      </c>
      <c r="P109" s="69" t="str">
        <f t="shared" ref="P109:Q109" si="107">D109</f>
        <v>CNC ROUTER SHODA  NC-516-L</v>
      </c>
      <c r="Q109" s="13" t="str">
        <f t="shared" si="107"/>
        <v>2GW</v>
      </c>
      <c r="R109" s="212" t="s">
        <v>23</v>
      </c>
      <c r="S109" s="213">
        <v>0.97916666666666663</v>
      </c>
      <c r="T109" s="13">
        <v>85</v>
      </c>
      <c r="U109" s="211" t="s">
        <v>83</v>
      </c>
      <c r="V109" s="13">
        <v>1</v>
      </c>
      <c r="W109" s="13" t="s">
        <v>2417</v>
      </c>
      <c r="X109" s="13" t="s">
        <v>1924</v>
      </c>
      <c r="Y109" s="13" t="s">
        <v>2073</v>
      </c>
      <c r="Z109" s="13" t="s">
        <v>2073</v>
      </c>
      <c r="AA109" s="13" t="s">
        <v>2073</v>
      </c>
      <c r="AB109" s="13" t="s">
        <v>1924</v>
      </c>
      <c r="AC109" s="211" t="s">
        <v>2415</v>
      </c>
      <c r="AD109" s="13" t="s">
        <v>2416</v>
      </c>
      <c r="AE109" s="69" t="s">
        <v>473</v>
      </c>
      <c r="AF109" s="13" t="s">
        <v>2418</v>
      </c>
      <c r="AG109" s="13" t="s">
        <v>2419</v>
      </c>
      <c r="AH109" s="13" t="s">
        <v>2420</v>
      </c>
      <c r="AI109" s="13" t="s">
        <v>2421</v>
      </c>
      <c r="AJ109" s="13" t="s">
        <v>2422</v>
      </c>
      <c r="AK109" s="13" t="s">
        <v>2416</v>
      </c>
      <c r="AL109" s="13" t="s">
        <v>2077</v>
      </c>
      <c r="AM109" s="13" t="s">
        <v>2077</v>
      </c>
      <c r="AN109" s="13" t="s">
        <v>2077</v>
      </c>
      <c r="AO109" s="13" t="s">
        <v>2077</v>
      </c>
      <c r="AP109" s="13" t="s">
        <v>2077</v>
      </c>
      <c r="AQ109" s="13" t="s">
        <v>2077</v>
      </c>
      <c r="AR109" s="13" t="s">
        <v>2418</v>
      </c>
      <c r="AS109" s="13" t="s">
        <v>2419</v>
      </c>
      <c r="AT109" s="13" t="s">
        <v>2420</v>
      </c>
      <c r="AU109" s="13" t="s">
        <v>2421</v>
      </c>
      <c r="AV109" s="13" t="s">
        <v>2422</v>
      </c>
      <c r="AW109" s="13" t="s">
        <v>2416</v>
      </c>
      <c r="AX109" s="13" t="s">
        <v>2073</v>
      </c>
      <c r="AY109" s="13" t="s">
        <v>2073</v>
      </c>
      <c r="AZ109" s="13" t="s">
        <v>2073</v>
      </c>
      <c r="BA109" s="13" t="s">
        <v>2073</v>
      </c>
      <c r="BB109" s="13" t="s">
        <v>2073</v>
      </c>
      <c r="BC109" s="13" t="s">
        <v>2073</v>
      </c>
    </row>
    <row r="110" spans="1:55" ht="15.75" customHeight="1">
      <c r="A110" s="13">
        <v>2000</v>
      </c>
      <c r="B110" s="7" t="s">
        <v>476</v>
      </c>
      <c r="C110" s="211" t="s">
        <v>2412</v>
      </c>
      <c r="D110" s="13" t="s">
        <v>475</v>
      </c>
      <c r="E110" s="13" t="s">
        <v>464</v>
      </c>
      <c r="F110" s="211" t="s">
        <v>2413</v>
      </c>
      <c r="G110" s="13" t="s">
        <v>2414</v>
      </c>
      <c r="H110" s="13" t="s">
        <v>2077</v>
      </c>
      <c r="I110" s="13" t="s">
        <v>2077</v>
      </c>
      <c r="J110" s="13" t="s">
        <v>2077</v>
      </c>
      <c r="K110" s="13" t="s">
        <v>2077</v>
      </c>
      <c r="L110" s="13" t="s">
        <v>2077</v>
      </c>
      <c r="M110" s="13" t="s">
        <v>2077</v>
      </c>
      <c r="N110" s="211" t="s">
        <v>2415</v>
      </c>
      <c r="O110" s="13" t="s">
        <v>2416</v>
      </c>
      <c r="P110" s="69" t="str">
        <f t="shared" ref="P110:Q110" si="108">D110</f>
        <v>PROSES UV</v>
      </c>
      <c r="Q110" s="13" t="str">
        <f t="shared" si="108"/>
        <v>2GW</v>
      </c>
      <c r="R110" s="212" t="s">
        <v>23</v>
      </c>
      <c r="S110" s="213">
        <v>0.97916666666666663</v>
      </c>
      <c r="T110" s="13">
        <v>85</v>
      </c>
      <c r="U110" s="211" t="s">
        <v>83</v>
      </c>
      <c r="V110" s="13">
        <v>1</v>
      </c>
      <c r="W110" s="13" t="s">
        <v>2417</v>
      </c>
      <c r="X110" s="13" t="s">
        <v>1924</v>
      </c>
      <c r="Y110" s="13" t="s">
        <v>2073</v>
      </c>
      <c r="Z110" s="13" t="s">
        <v>2073</v>
      </c>
      <c r="AA110" s="13" t="s">
        <v>2073</v>
      </c>
      <c r="AB110" s="13" t="s">
        <v>1924</v>
      </c>
      <c r="AC110" s="211" t="s">
        <v>2415</v>
      </c>
      <c r="AD110" s="13" t="s">
        <v>2416</v>
      </c>
      <c r="AE110" s="69" t="s">
        <v>477</v>
      </c>
      <c r="AF110" s="13" t="s">
        <v>2418</v>
      </c>
      <c r="AG110" s="13" t="s">
        <v>2419</v>
      </c>
      <c r="AH110" s="13" t="s">
        <v>2420</v>
      </c>
      <c r="AI110" s="13" t="s">
        <v>2421</v>
      </c>
      <c r="AJ110" s="13" t="s">
        <v>2422</v>
      </c>
      <c r="AK110" s="13" t="s">
        <v>2416</v>
      </c>
      <c r="AL110" s="13" t="s">
        <v>2077</v>
      </c>
      <c r="AM110" s="13" t="s">
        <v>2077</v>
      </c>
      <c r="AN110" s="13" t="s">
        <v>2077</v>
      </c>
      <c r="AO110" s="13" t="s">
        <v>2077</v>
      </c>
      <c r="AP110" s="13" t="s">
        <v>2077</v>
      </c>
      <c r="AQ110" s="13" t="s">
        <v>2077</v>
      </c>
      <c r="AR110" s="13" t="s">
        <v>2418</v>
      </c>
      <c r="AS110" s="13" t="s">
        <v>2419</v>
      </c>
      <c r="AT110" s="13" t="s">
        <v>2420</v>
      </c>
      <c r="AU110" s="13" t="s">
        <v>2421</v>
      </c>
      <c r="AV110" s="13" t="s">
        <v>2422</v>
      </c>
      <c r="AW110" s="13" t="s">
        <v>2416</v>
      </c>
      <c r="AX110" s="13" t="s">
        <v>2073</v>
      </c>
      <c r="AY110" s="13" t="s">
        <v>2073</v>
      </c>
      <c r="AZ110" s="13" t="s">
        <v>2073</v>
      </c>
      <c r="BA110" s="13" t="s">
        <v>2073</v>
      </c>
      <c r="BB110" s="13" t="s">
        <v>2073</v>
      </c>
      <c r="BC110" s="13" t="s">
        <v>2073</v>
      </c>
    </row>
    <row r="111" spans="1:55" ht="15.75" customHeight="1">
      <c r="A111" s="13">
        <v>2000</v>
      </c>
      <c r="B111" s="7" t="s">
        <v>480</v>
      </c>
      <c r="C111" s="211" t="s">
        <v>2412</v>
      </c>
      <c r="D111" s="13" t="s">
        <v>479</v>
      </c>
      <c r="E111" s="13" t="s">
        <v>464</v>
      </c>
      <c r="F111" s="211" t="s">
        <v>2413</v>
      </c>
      <c r="G111" s="13" t="s">
        <v>2414</v>
      </c>
      <c r="H111" s="13" t="s">
        <v>2077</v>
      </c>
      <c r="I111" s="13" t="s">
        <v>2077</v>
      </c>
      <c r="J111" s="13" t="s">
        <v>2077</v>
      </c>
      <c r="K111" s="13" t="s">
        <v>2077</v>
      </c>
      <c r="L111" s="13" t="s">
        <v>2077</v>
      </c>
      <c r="M111" s="13" t="s">
        <v>2077</v>
      </c>
      <c r="N111" s="211" t="s">
        <v>2415</v>
      </c>
      <c r="O111" s="13" t="s">
        <v>2416</v>
      </c>
      <c r="P111" s="69" t="str">
        <f t="shared" ref="P111:Q111" si="109">D111</f>
        <v>FINAL SANDING ASSY DRAWER</v>
      </c>
      <c r="Q111" s="13" t="str">
        <f t="shared" si="109"/>
        <v>2GW</v>
      </c>
      <c r="R111" s="212" t="s">
        <v>23</v>
      </c>
      <c r="S111" s="213">
        <v>0.97916666666666663</v>
      </c>
      <c r="T111" s="13">
        <v>85</v>
      </c>
      <c r="U111" s="211" t="s">
        <v>83</v>
      </c>
      <c r="V111" s="13">
        <v>1</v>
      </c>
      <c r="W111" s="13" t="s">
        <v>2417</v>
      </c>
      <c r="X111" s="13" t="s">
        <v>1924</v>
      </c>
      <c r="Y111" s="13" t="s">
        <v>2073</v>
      </c>
      <c r="Z111" s="13" t="s">
        <v>2073</v>
      </c>
      <c r="AA111" s="13" t="s">
        <v>2073</v>
      </c>
      <c r="AB111" s="13" t="s">
        <v>1924</v>
      </c>
      <c r="AC111" s="211" t="s">
        <v>2415</v>
      </c>
      <c r="AD111" s="13" t="s">
        <v>2416</v>
      </c>
      <c r="AE111" s="69" t="s">
        <v>481</v>
      </c>
      <c r="AF111" s="13" t="s">
        <v>2418</v>
      </c>
      <c r="AG111" s="13" t="s">
        <v>2419</v>
      </c>
      <c r="AH111" s="13" t="s">
        <v>2420</v>
      </c>
      <c r="AI111" s="13" t="s">
        <v>2421</v>
      </c>
      <c r="AJ111" s="13" t="s">
        <v>2422</v>
      </c>
      <c r="AK111" s="13" t="s">
        <v>2416</v>
      </c>
      <c r="AL111" s="13" t="s">
        <v>2077</v>
      </c>
      <c r="AM111" s="13" t="s">
        <v>2077</v>
      </c>
      <c r="AN111" s="13" t="s">
        <v>2077</v>
      </c>
      <c r="AO111" s="13" t="s">
        <v>2077</v>
      </c>
      <c r="AP111" s="13" t="s">
        <v>2077</v>
      </c>
      <c r="AQ111" s="13" t="s">
        <v>2077</v>
      </c>
      <c r="AR111" s="13" t="s">
        <v>2418</v>
      </c>
      <c r="AS111" s="13" t="s">
        <v>2419</v>
      </c>
      <c r="AT111" s="13" t="s">
        <v>2420</v>
      </c>
      <c r="AU111" s="13" t="s">
        <v>2421</v>
      </c>
      <c r="AV111" s="13" t="s">
        <v>2422</v>
      </c>
      <c r="AW111" s="13" t="s">
        <v>2416</v>
      </c>
      <c r="AX111" s="13" t="s">
        <v>2073</v>
      </c>
      <c r="AY111" s="13" t="s">
        <v>2073</v>
      </c>
      <c r="AZ111" s="13" t="s">
        <v>2073</v>
      </c>
      <c r="BA111" s="13" t="s">
        <v>2073</v>
      </c>
      <c r="BB111" s="13" t="s">
        <v>2073</v>
      </c>
      <c r="BC111" s="13" t="s">
        <v>2073</v>
      </c>
    </row>
    <row r="112" spans="1:55" ht="15.75" customHeight="1">
      <c r="A112" s="13">
        <v>2000</v>
      </c>
      <c r="B112" s="7" t="s">
        <v>484</v>
      </c>
      <c r="C112" s="211" t="s">
        <v>2412</v>
      </c>
      <c r="D112" s="13" t="s">
        <v>485</v>
      </c>
      <c r="E112" s="13" t="s">
        <v>464</v>
      </c>
      <c r="F112" s="211" t="s">
        <v>2413</v>
      </c>
      <c r="G112" s="13" t="s">
        <v>2414</v>
      </c>
      <c r="H112" s="13" t="s">
        <v>2077</v>
      </c>
      <c r="I112" s="13" t="s">
        <v>2077</v>
      </c>
      <c r="J112" s="13" t="s">
        <v>2077</v>
      </c>
      <c r="K112" s="13" t="s">
        <v>2077</v>
      </c>
      <c r="L112" s="13" t="s">
        <v>2077</v>
      </c>
      <c r="M112" s="13" t="s">
        <v>2077</v>
      </c>
      <c r="N112" s="211" t="s">
        <v>2415</v>
      </c>
      <c r="O112" s="13" t="s">
        <v>2416</v>
      </c>
      <c r="P112" s="69" t="str">
        <f t="shared" ref="P112:Q112" si="110">D112</f>
        <v>CASE GOOD B ASSEMBLY DRAWER</v>
      </c>
      <c r="Q112" s="13" t="str">
        <f t="shared" si="110"/>
        <v>2GW</v>
      </c>
      <c r="R112" s="212" t="s">
        <v>23</v>
      </c>
      <c r="S112" s="213">
        <v>0.97916666666666663</v>
      </c>
      <c r="T112" s="13">
        <v>85</v>
      </c>
      <c r="U112" s="211" t="s">
        <v>83</v>
      </c>
      <c r="V112" s="13">
        <v>1</v>
      </c>
      <c r="W112" s="13" t="s">
        <v>2417</v>
      </c>
      <c r="X112" s="13" t="s">
        <v>1924</v>
      </c>
      <c r="Y112" s="13" t="s">
        <v>2073</v>
      </c>
      <c r="Z112" s="13" t="s">
        <v>2073</v>
      </c>
      <c r="AA112" s="13" t="s">
        <v>2073</v>
      </c>
      <c r="AB112" s="13" t="s">
        <v>1924</v>
      </c>
      <c r="AC112" s="211" t="s">
        <v>2415</v>
      </c>
      <c r="AD112" s="13" t="s">
        <v>2416</v>
      </c>
      <c r="AE112" s="69" t="s">
        <v>486</v>
      </c>
      <c r="AF112" s="13" t="s">
        <v>2418</v>
      </c>
      <c r="AG112" s="13" t="s">
        <v>2419</v>
      </c>
      <c r="AH112" s="13" t="s">
        <v>2420</v>
      </c>
      <c r="AI112" s="13" t="s">
        <v>2421</v>
      </c>
      <c r="AJ112" s="13" t="s">
        <v>2422</v>
      </c>
      <c r="AK112" s="13" t="s">
        <v>2416</v>
      </c>
      <c r="AL112" s="13" t="s">
        <v>2077</v>
      </c>
      <c r="AM112" s="13" t="s">
        <v>2077</v>
      </c>
      <c r="AN112" s="13" t="s">
        <v>2077</v>
      </c>
      <c r="AO112" s="13" t="s">
        <v>2077</v>
      </c>
      <c r="AP112" s="13" t="s">
        <v>2077</v>
      </c>
      <c r="AQ112" s="13" t="s">
        <v>2077</v>
      </c>
      <c r="AR112" s="13" t="s">
        <v>2418</v>
      </c>
      <c r="AS112" s="13" t="s">
        <v>2419</v>
      </c>
      <c r="AT112" s="13" t="s">
        <v>2420</v>
      </c>
      <c r="AU112" s="13" t="s">
        <v>2421</v>
      </c>
      <c r="AV112" s="13" t="s">
        <v>2422</v>
      </c>
      <c r="AW112" s="13" t="s">
        <v>2416</v>
      </c>
      <c r="AX112" s="13" t="s">
        <v>2073</v>
      </c>
      <c r="AY112" s="13" t="s">
        <v>2073</v>
      </c>
      <c r="AZ112" s="13" t="s">
        <v>2073</v>
      </c>
      <c r="BA112" s="13" t="s">
        <v>2073</v>
      </c>
      <c r="BB112" s="13" t="s">
        <v>2073</v>
      </c>
      <c r="BC112" s="13" t="s">
        <v>2073</v>
      </c>
    </row>
    <row r="113" spans="1:55" ht="15.75" customHeight="1">
      <c r="A113" s="13">
        <v>2000</v>
      </c>
      <c r="B113" s="7" t="s">
        <v>492</v>
      </c>
      <c r="C113" s="211" t="s">
        <v>2412</v>
      </c>
      <c r="D113" s="13" t="s">
        <v>491</v>
      </c>
      <c r="E113" s="13" t="s">
        <v>495</v>
      </c>
      <c r="F113" s="211" t="s">
        <v>2413</v>
      </c>
      <c r="G113" s="13" t="s">
        <v>2414</v>
      </c>
      <c r="H113" s="13" t="s">
        <v>2077</v>
      </c>
      <c r="I113" s="13" t="s">
        <v>2077</v>
      </c>
      <c r="J113" s="13" t="s">
        <v>2077</v>
      </c>
      <c r="K113" s="13" t="s">
        <v>2077</v>
      </c>
      <c r="L113" s="13" t="s">
        <v>2077</v>
      </c>
      <c r="M113" s="13" t="s">
        <v>2077</v>
      </c>
      <c r="N113" s="211" t="s">
        <v>2415</v>
      </c>
      <c r="O113" s="13" t="s">
        <v>2416</v>
      </c>
      <c r="P113" s="69" t="str">
        <f t="shared" ref="P113:Q113" si="111">D113</f>
        <v>MOULDING MP0004</v>
      </c>
      <c r="Q113" s="13" t="str">
        <f t="shared" si="111"/>
        <v>2CH</v>
      </c>
      <c r="R113" s="212" t="s">
        <v>23</v>
      </c>
      <c r="S113" s="213">
        <v>0.64583333333333337</v>
      </c>
      <c r="T113" s="13">
        <v>85</v>
      </c>
      <c r="U113" s="211" t="s">
        <v>24</v>
      </c>
      <c r="V113" s="13">
        <v>1</v>
      </c>
      <c r="W113" s="13" t="s">
        <v>2417</v>
      </c>
      <c r="X113" s="13" t="s">
        <v>1924</v>
      </c>
      <c r="Y113" s="13" t="s">
        <v>2073</v>
      </c>
      <c r="Z113" s="13" t="s">
        <v>2073</v>
      </c>
      <c r="AA113" s="13" t="s">
        <v>2073</v>
      </c>
      <c r="AB113" s="13" t="s">
        <v>1924</v>
      </c>
      <c r="AC113" s="211" t="s">
        <v>2415</v>
      </c>
      <c r="AD113" s="13" t="s">
        <v>2416</v>
      </c>
      <c r="AE113" s="69" t="s">
        <v>493</v>
      </c>
      <c r="AF113" s="13" t="s">
        <v>2418</v>
      </c>
      <c r="AG113" s="13" t="s">
        <v>2419</v>
      </c>
      <c r="AH113" s="13" t="s">
        <v>2420</v>
      </c>
      <c r="AI113" s="13" t="s">
        <v>2421</v>
      </c>
      <c r="AJ113" s="13" t="s">
        <v>2422</v>
      </c>
      <c r="AK113" s="13" t="s">
        <v>2416</v>
      </c>
      <c r="AL113" s="13" t="s">
        <v>2077</v>
      </c>
      <c r="AM113" s="13" t="s">
        <v>2077</v>
      </c>
      <c r="AN113" s="13" t="s">
        <v>2077</v>
      </c>
      <c r="AO113" s="13" t="s">
        <v>2077</v>
      </c>
      <c r="AP113" s="13" t="s">
        <v>2077</v>
      </c>
      <c r="AQ113" s="13" t="s">
        <v>2077</v>
      </c>
      <c r="AR113" s="13" t="s">
        <v>2418</v>
      </c>
      <c r="AS113" s="13" t="s">
        <v>2419</v>
      </c>
      <c r="AT113" s="13" t="s">
        <v>2420</v>
      </c>
      <c r="AU113" s="13" t="s">
        <v>2421</v>
      </c>
      <c r="AV113" s="13" t="s">
        <v>2422</v>
      </c>
      <c r="AW113" s="13" t="s">
        <v>2416</v>
      </c>
      <c r="AX113" s="13" t="s">
        <v>2073</v>
      </c>
      <c r="AY113" s="13" t="s">
        <v>2073</v>
      </c>
      <c r="AZ113" s="13" t="s">
        <v>2073</v>
      </c>
      <c r="BA113" s="13" t="s">
        <v>2073</v>
      </c>
      <c r="BB113" s="13" t="s">
        <v>2073</v>
      </c>
      <c r="BC113" s="13" t="s">
        <v>2073</v>
      </c>
    </row>
    <row r="114" spans="1:55" ht="15.75" customHeight="1">
      <c r="A114" s="13">
        <v>2000</v>
      </c>
      <c r="B114" s="7" t="s">
        <v>498</v>
      </c>
      <c r="C114" s="211" t="s">
        <v>2412</v>
      </c>
      <c r="D114" s="13" t="s">
        <v>497</v>
      </c>
      <c r="E114" s="13" t="s">
        <v>495</v>
      </c>
      <c r="F114" s="211" t="s">
        <v>2413</v>
      </c>
      <c r="G114" s="13" t="s">
        <v>2414</v>
      </c>
      <c r="H114" s="13" t="s">
        <v>2077</v>
      </c>
      <c r="I114" s="13" t="s">
        <v>2077</v>
      </c>
      <c r="J114" s="13" t="s">
        <v>2077</v>
      </c>
      <c r="K114" s="13" t="s">
        <v>2077</v>
      </c>
      <c r="L114" s="13" t="s">
        <v>2077</v>
      </c>
      <c r="M114" s="13" t="s">
        <v>2077</v>
      </c>
      <c r="N114" s="211" t="s">
        <v>2415</v>
      </c>
      <c r="O114" s="13" t="s">
        <v>2416</v>
      </c>
      <c r="P114" s="69" t="str">
        <f t="shared" ref="P114:Q114" si="112">D114</f>
        <v>RIP MP.0569</v>
      </c>
      <c r="Q114" s="13" t="str">
        <f t="shared" si="112"/>
        <v>2CH</v>
      </c>
      <c r="R114" s="212" t="s">
        <v>23</v>
      </c>
      <c r="S114" s="213">
        <v>0.64583333333333337</v>
      </c>
      <c r="T114" s="13">
        <v>85</v>
      </c>
      <c r="U114" s="211" t="s">
        <v>24</v>
      </c>
      <c r="V114" s="13">
        <v>1</v>
      </c>
      <c r="W114" s="13" t="s">
        <v>2417</v>
      </c>
      <c r="X114" s="13" t="s">
        <v>1924</v>
      </c>
      <c r="Y114" s="13" t="s">
        <v>2073</v>
      </c>
      <c r="Z114" s="13" t="s">
        <v>2073</v>
      </c>
      <c r="AA114" s="13" t="s">
        <v>2073</v>
      </c>
      <c r="AB114" s="13" t="s">
        <v>1924</v>
      </c>
      <c r="AC114" s="211" t="s">
        <v>2415</v>
      </c>
      <c r="AD114" s="13" t="s">
        <v>2416</v>
      </c>
      <c r="AE114" s="69" t="s">
        <v>499</v>
      </c>
      <c r="AF114" s="13" t="s">
        <v>2418</v>
      </c>
      <c r="AG114" s="13" t="s">
        <v>2419</v>
      </c>
      <c r="AH114" s="13" t="s">
        <v>2420</v>
      </c>
      <c r="AI114" s="13" t="s">
        <v>2421</v>
      </c>
      <c r="AJ114" s="13" t="s">
        <v>2422</v>
      </c>
      <c r="AK114" s="13" t="s">
        <v>2416</v>
      </c>
      <c r="AL114" s="13" t="s">
        <v>2077</v>
      </c>
      <c r="AM114" s="13" t="s">
        <v>2077</v>
      </c>
      <c r="AN114" s="13" t="s">
        <v>2077</v>
      </c>
      <c r="AO114" s="13" t="s">
        <v>2077</v>
      </c>
      <c r="AP114" s="13" t="s">
        <v>2077</v>
      </c>
      <c r="AQ114" s="13" t="s">
        <v>2077</v>
      </c>
      <c r="AR114" s="13" t="s">
        <v>2418</v>
      </c>
      <c r="AS114" s="13" t="s">
        <v>2419</v>
      </c>
      <c r="AT114" s="13" t="s">
        <v>2420</v>
      </c>
      <c r="AU114" s="13" t="s">
        <v>2421</v>
      </c>
      <c r="AV114" s="13" t="s">
        <v>2422</v>
      </c>
      <c r="AW114" s="13" t="s">
        <v>2416</v>
      </c>
      <c r="AX114" s="13" t="s">
        <v>2073</v>
      </c>
      <c r="AY114" s="13" t="s">
        <v>2073</v>
      </c>
      <c r="AZ114" s="13" t="s">
        <v>2073</v>
      </c>
      <c r="BA114" s="13" t="s">
        <v>2073</v>
      </c>
      <c r="BB114" s="13" t="s">
        <v>2073</v>
      </c>
      <c r="BC114" s="13" t="s">
        <v>2073</v>
      </c>
    </row>
    <row r="115" spans="1:55" ht="15.75" customHeight="1">
      <c r="A115" s="13">
        <v>2000</v>
      </c>
      <c r="B115" s="7" t="s">
        <v>502</v>
      </c>
      <c r="C115" s="211" t="s">
        <v>2412</v>
      </c>
      <c r="D115" s="13" t="s">
        <v>501</v>
      </c>
      <c r="E115" s="13" t="s">
        <v>495</v>
      </c>
      <c r="F115" s="211" t="s">
        <v>2413</v>
      </c>
      <c r="G115" s="13" t="s">
        <v>2414</v>
      </c>
      <c r="H115" s="13" t="s">
        <v>2077</v>
      </c>
      <c r="I115" s="13" t="s">
        <v>2077</v>
      </c>
      <c r="J115" s="13" t="s">
        <v>2077</v>
      </c>
      <c r="K115" s="13" t="s">
        <v>2077</v>
      </c>
      <c r="L115" s="13" t="s">
        <v>2077</v>
      </c>
      <c r="M115" s="13" t="s">
        <v>2077</v>
      </c>
      <c r="N115" s="211" t="s">
        <v>2415</v>
      </c>
      <c r="O115" s="13" t="s">
        <v>2416</v>
      </c>
      <c r="P115" s="69" t="str">
        <f t="shared" ref="P115:Q115" si="113">D115</f>
        <v>MZ 1 MP0494</v>
      </c>
      <c r="Q115" s="13" t="str">
        <f t="shared" si="113"/>
        <v>2CH</v>
      </c>
      <c r="R115" s="212" t="s">
        <v>23</v>
      </c>
      <c r="S115" s="213">
        <v>0.64583333333333337</v>
      </c>
      <c r="T115" s="13">
        <v>85</v>
      </c>
      <c r="U115" s="211" t="s">
        <v>24</v>
      </c>
      <c r="V115" s="13">
        <v>1</v>
      </c>
      <c r="W115" s="13" t="s">
        <v>2417</v>
      </c>
      <c r="X115" s="13" t="s">
        <v>1924</v>
      </c>
      <c r="Y115" s="13" t="s">
        <v>2073</v>
      </c>
      <c r="Z115" s="13" t="s">
        <v>2073</v>
      </c>
      <c r="AA115" s="13" t="s">
        <v>2073</v>
      </c>
      <c r="AB115" s="13" t="s">
        <v>1924</v>
      </c>
      <c r="AC115" s="211" t="s">
        <v>2415</v>
      </c>
      <c r="AD115" s="13" t="s">
        <v>2416</v>
      </c>
      <c r="AE115" s="69" t="s">
        <v>503</v>
      </c>
      <c r="AF115" s="13" t="s">
        <v>2418</v>
      </c>
      <c r="AG115" s="13" t="s">
        <v>2419</v>
      </c>
      <c r="AH115" s="13" t="s">
        <v>2420</v>
      </c>
      <c r="AI115" s="13" t="s">
        <v>2421</v>
      </c>
      <c r="AJ115" s="13" t="s">
        <v>2422</v>
      </c>
      <c r="AK115" s="13" t="s">
        <v>2416</v>
      </c>
      <c r="AL115" s="13" t="s">
        <v>2077</v>
      </c>
      <c r="AM115" s="13" t="s">
        <v>2077</v>
      </c>
      <c r="AN115" s="13" t="s">
        <v>2077</v>
      </c>
      <c r="AO115" s="13" t="s">
        <v>2077</v>
      </c>
      <c r="AP115" s="13" t="s">
        <v>2077</v>
      </c>
      <c r="AQ115" s="13" t="s">
        <v>2077</v>
      </c>
      <c r="AR115" s="13" t="s">
        <v>2418</v>
      </c>
      <c r="AS115" s="13" t="s">
        <v>2419</v>
      </c>
      <c r="AT115" s="13" t="s">
        <v>2420</v>
      </c>
      <c r="AU115" s="13" t="s">
        <v>2421</v>
      </c>
      <c r="AV115" s="13" t="s">
        <v>2422</v>
      </c>
      <c r="AW115" s="13" t="s">
        <v>2416</v>
      </c>
      <c r="AX115" s="13" t="s">
        <v>2073</v>
      </c>
      <c r="AY115" s="13" t="s">
        <v>2073</v>
      </c>
      <c r="AZ115" s="13" t="s">
        <v>2073</v>
      </c>
      <c r="BA115" s="13" t="s">
        <v>2073</v>
      </c>
      <c r="BB115" s="13" t="s">
        <v>2073</v>
      </c>
      <c r="BC115" s="13" t="s">
        <v>2073</v>
      </c>
    </row>
    <row r="116" spans="1:55" ht="15.75" customHeight="1">
      <c r="A116" s="13">
        <v>2000</v>
      </c>
      <c r="B116" s="7" t="s">
        <v>506</v>
      </c>
      <c r="C116" s="211" t="s">
        <v>2412</v>
      </c>
      <c r="D116" s="13" t="s">
        <v>505</v>
      </c>
      <c r="E116" s="13" t="s">
        <v>495</v>
      </c>
      <c r="F116" s="211" t="s">
        <v>2413</v>
      </c>
      <c r="G116" s="13" t="s">
        <v>2414</v>
      </c>
      <c r="H116" s="13" t="s">
        <v>2077</v>
      </c>
      <c r="I116" s="13" t="s">
        <v>2077</v>
      </c>
      <c r="J116" s="13" t="s">
        <v>2077</v>
      </c>
      <c r="K116" s="13" t="s">
        <v>2077</v>
      </c>
      <c r="L116" s="13" t="s">
        <v>2077</v>
      </c>
      <c r="M116" s="13" t="s">
        <v>2077</v>
      </c>
      <c r="N116" s="211" t="s">
        <v>2415</v>
      </c>
      <c r="O116" s="13" t="s">
        <v>2416</v>
      </c>
      <c r="P116" s="69" t="str">
        <f t="shared" ref="P116:Q116" si="114">D116</f>
        <v>MZ 2 MP0559</v>
      </c>
      <c r="Q116" s="13" t="str">
        <f t="shared" si="114"/>
        <v>2CH</v>
      </c>
      <c r="R116" s="212" t="s">
        <v>23</v>
      </c>
      <c r="S116" s="213">
        <v>0.64583333333333337</v>
      </c>
      <c r="T116" s="13">
        <v>85</v>
      </c>
      <c r="U116" s="211" t="s">
        <v>24</v>
      </c>
      <c r="V116" s="13">
        <v>1</v>
      </c>
      <c r="W116" s="13" t="s">
        <v>2417</v>
      </c>
      <c r="X116" s="13" t="s">
        <v>1924</v>
      </c>
      <c r="Y116" s="13" t="s">
        <v>2073</v>
      </c>
      <c r="Z116" s="13" t="s">
        <v>2073</v>
      </c>
      <c r="AA116" s="13" t="s">
        <v>2073</v>
      </c>
      <c r="AB116" s="13" t="s">
        <v>1924</v>
      </c>
      <c r="AC116" s="211" t="s">
        <v>2415</v>
      </c>
      <c r="AD116" s="13" t="s">
        <v>2416</v>
      </c>
      <c r="AE116" s="69" t="s">
        <v>507</v>
      </c>
      <c r="AF116" s="13" t="s">
        <v>2418</v>
      </c>
      <c r="AG116" s="13" t="s">
        <v>2419</v>
      </c>
      <c r="AH116" s="13" t="s">
        <v>2420</v>
      </c>
      <c r="AI116" s="13" t="s">
        <v>2421</v>
      </c>
      <c r="AJ116" s="13" t="s">
        <v>2422</v>
      </c>
      <c r="AK116" s="13" t="s">
        <v>2416</v>
      </c>
      <c r="AL116" s="13" t="s">
        <v>2077</v>
      </c>
      <c r="AM116" s="13" t="s">
        <v>2077</v>
      </c>
      <c r="AN116" s="13" t="s">
        <v>2077</v>
      </c>
      <c r="AO116" s="13" t="s">
        <v>2077</v>
      </c>
      <c r="AP116" s="13" t="s">
        <v>2077</v>
      </c>
      <c r="AQ116" s="13" t="s">
        <v>2077</v>
      </c>
      <c r="AR116" s="13" t="s">
        <v>2418</v>
      </c>
      <c r="AS116" s="13" t="s">
        <v>2419</v>
      </c>
      <c r="AT116" s="13" t="s">
        <v>2420</v>
      </c>
      <c r="AU116" s="13" t="s">
        <v>2421</v>
      </c>
      <c r="AV116" s="13" t="s">
        <v>2422</v>
      </c>
      <c r="AW116" s="13" t="s">
        <v>2416</v>
      </c>
      <c r="AX116" s="13" t="s">
        <v>2073</v>
      </c>
      <c r="AY116" s="13" t="s">
        <v>2073</v>
      </c>
      <c r="AZ116" s="13" t="s">
        <v>2073</v>
      </c>
      <c r="BA116" s="13" t="s">
        <v>2073</v>
      </c>
      <c r="BB116" s="13" t="s">
        <v>2073</v>
      </c>
      <c r="BC116" s="13" t="s">
        <v>2073</v>
      </c>
    </row>
    <row r="117" spans="1:55" ht="15.75" customHeight="1">
      <c r="A117" s="13">
        <v>2000</v>
      </c>
      <c r="B117" s="7" t="s">
        <v>510</v>
      </c>
      <c r="C117" s="211" t="s">
        <v>2412</v>
      </c>
      <c r="D117" s="13" t="s">
        <v>509</v>
      </c>
      <c r="E117" s="13" t="s">
        <v>495</v>
      </c>
      <c r="F117" s="211" t="s">
        <v>2413</v>
      </c>
      <c r="G117" s="13" t="s">
        <v>2414</v>
      </c>
      <c r="H117" s="13" t="s">
        <v>2077</v>
      </c>
      <c r="I117" s="13" t="s">
        <v>2077</v>
      </c>
      <c r="J117" s="13" t="s">
        <v>2077</v>
      </c>
      <c r="K117" s="13" t="s">
        <v>2077</v>
      </c>
      <c r="L117" s="13" t="s">
        <v>2077</v>
      </c>
      <c r="M117" s="13" t="s">
        <v>2077</v>
      </c>
      <c r="N117" s="211" t="s">
        <v>2415</v>
      </c>
      <c r="O117" s="13" t="s">
        <v>2416</v>
      </c>
      <c r="P117" s="69" t="str">
        <f t="shared" ref="P117:Q117" si="115">D117</f>
        <v>BANSAW MP0049</v>
      </c>
      <c r="Q117" s="13" t="str">
        <f t="shared" si="115"/>
        <v>2CH</v>
      </c>
      <c r="R117" s="212" t="s">
        <v>23</v>
      </c>
      <c r="S117" s="213">
        <v>0.64583333333333337</v>
      </c>
      <c r="T117" s="13">
        <v>85</v>
      </c>
      <c r="U117" s="211" t="s">
        <v>24</v>
      </c>
      <c r="V117" s="13">
        <v>1</v>
      </c>
      <c r="W117" s="13" t="s">
        <v>2417</v>
      </c>
      <c r="X117" s="13" t="s">
        <v>1924</v>
      </c>
      <c r="Y117" s="13" t="s">
        <v>2073</v>
      </c>
      <c r="Z117" s="13" t="s">
        <v>2073</v>
      </c>
      <c r="AA117" s="13" t="s">
        <v>2073</v>
      </c>
      <c r="AB117" s="13" t="s">
        <v>1924</v>
      </c>
      <c r="AC117" s="211" t="s">
        <v>2415</v>
      </c>
      <c r="AD117" s="13" t="s">
        <v>2416</v>
      </c>
      <c r="AE117" s="69" t="s">
        <v>511</v>
      </c>
      <c r="AF117" s="13" t="s">
        <v>2418</v>
      </c>
      <c r="AG117" s="13" t="s">
        <v>2419</v>
      </c>
      <c r="AH117" s="13" t="s">
        <v>2420</v>
      </c>
      <c r="AI117" s="13" t="s">
        <v>2421</v>
      </c>
      <c r="AJ117" s="13" t="s">
        <v>2422</v>
      </c>
      <c r="AK117" s="13" t="s">
        <v>2416</v>
      </c>
      <c r="AL117" s="13" t="s">
        <v>2077</v>
      </c>
      <c r="AM117" s="13" t="s">
        <v>2077</v>
      </c>
      <c r="AN117" s="13" t="s">
        <v>2077</v>
      </c>
      <c r="AO117" s="13" t="s">
        <v>2077</v>
      </c>
      <c r="AP117" s="13" t="s">
        <v>2077</v>
      </c>
      <c r="AQ117" s="13" t="s">
        <v>2077</v>
      </c>
      <c r="AR117" s="13" t="s">
        <v>2418</v>
      </c>
      <c r="AS117" s="13" t="s">
        <v>2419</v>
      </c>
      <c r="AT117" s="13" t="s">
        <v>2420</v>
      </c>
      <c r="AU117" s="13" t="s">
        <v>2421</v>
      </c>
      <c r="AV117" s="13" t="s">
        <v>2422</v>
      </c>
      <c r="AW117" s="13" t="s">
        <v>2416</v>
      </c>
      <c r="AX117" s="13" t="s">
        <v>2073</v>
      </c>
      <c r="AY117" s="13" t="s">
        <v>2073</v>
      </c>
      <c r="AZ117" s="13" t="s">
        <v>2073</v>
      </c>
      <c r="BA117" s="13" t="s">
        <v>2073</v>
      </c>
      <c r="BB117" s="13" t="s">
        <v>2073</v>
      </c>
      <c r="BC117" s="13" t="s">
        <v>2073</v>
      </c>
    </row>
    <row r="118" spans="1:55" ht="15.75" customHeight="1">
      <c r="A118" s="13">
        <v>2000</v>
      </c>
      <c r="B118" s="7" t="s">
        <v>514</v>
      </c>
      <c r="C118" s="211" t="s">
        <v>2412</v>
      </c>
      <c r="D118" s="13" t="s">
        <v>513</v>
      </c>
      <c r="E118" s="13" t="s">
        <v>495</v>
      </c>
      <c r="F118" s="211" t="s">
        <v>2413</v>
      </c>
      <c r="G118" s="13" t="s">
        <v>2414</v>
      </c>
      <c r="H118" s="13" t="s">
        <v>2077</v>
      </c>
      <c r="I118" s="13" t="s">
        <v>2077</v>
      </c>
      <c r="J118" s="13" t="s">
        <v>2077</v>
      </c>
      <c r="K118" s="13" t="s">
        <v>2077</v>
      </c>
      <c r="L118" s="13" t="s">
        <v>2077</v>
      </c>
      <c r="M118" s="13" t="s">
        <v>2077</v>
      </c>
      <c r="N118" s="211" t="s">
        <v>2415</v>
      </c>
      <c r="O118" s="13" t="s">
        <v>2416</v>
      </c>
      <c r="P118" s="69" t="str">
        <f t="shared" ref="P118:Q118" si="116">D118</f>
        <v>KYUDO 2CHKYUDO</v>
      </c>
      <c r="Q118" s="13" t="str">
        <f t="shared" si="116"/>
        <v>2CH</v>
      </c>
      <c r="R118" s="212" t="s">
        <v>23</v>
      </c>
      <c r="S118" s="213">
        <v>0.64583333333333337</v>
      </c>
      <c r="T118" s="13">
        <v>85</v>
      </c>
      <c r="U118" s="211" t="s">
        <v>24</v>
      </c>
      <c r="V118" s="13">
        <v>1</v>
      </c>
      <c r="W118" s="13" t="s">
        <v>2417</v>
      </c>
      <c r="X118" s="13" t="s">
        <v>1924</v>
      </c>
      <c r="Y118" s="13" t="s">
        <v>2073</v>
      </c>
      <c r="Z118" s="13" t="s">
        <v>2073</v>
      </c>
      <c r="AA118" s="13" t="s">
        <v>2073</v>
      </c>
      <c r="AB118" s="13" t="s">
        <v>1924</v>
      </c>
      <c r="AC118" s="211" t="s">
        <v>2415</v>
      </c>
      <c r="AD118" s="13" t="s">
        <v>2416</v>
      </c>
      <c r="AE118" s="69" t="s">
        <v>515</v>
      </c>
      <c r="AF118" s="13" t="s">
        <v>2418</v>
      </c>
      <c r="AG118" s="13" t="s">
        <v>2419</v>
      </c>
      <c r="AH118" s="13" t="s">
        <v>2420</v>
      </c>
      <c r="AI118" s="13" t="s">
        <v>2421</v>
      </c>
      <c r="AJ118" s="13" t="s">
        <v>2422</v>
      </c>
      <c r="AK118" s="13" t="s">
        <v>2416</v>
      </c>
      <c r="AL118" s="13" t="s">
        <v>2077</v>
      </c>
      <c r="AM118" s="13" t="s">
        <v>2077</v>
      </c>
      <c r="AN118" s="13" t="s">
        <v>2077</v>
      </c>
      <c r="AO118" s="13" t="s">
        <v>2077</v>
      </c>
      <c r="AP118" s="13" t="s">
        <v>2077</v>
      </c>
      <c r="AQ118" s="13" t="s">
        <v>2077</v>
      </c>
      <c r="AR118" s="13" t="s">
        <v>2418</v>
      </c>
      <c r="AS118" s="13" t="s">
        <v>2419</v>
      </c>
      <c r="AT118" s="13" t="s">
        <v>2420</v>
      </c>
      <c r="AU118" s="13" t="s">
        <v>2421</v>
      </c>
      <c r="AV118" s="13" t="s">
        <v>2422</v>
      </c>
      <c r="AW118" s="13" t="s">
        <v>2416</v>
      </c>
      <c r="AX118" s="13" t="s">
        <v>2073</v>
      </c>
      <c r="AY118" s="13" t="s">
        <v>2073</v>
      </c>
      <c r="AZ118" s="13" t="s">
        <v>2073</v>
      </c>
      <c r="BA118" s="13" t="s">
        <v>2073</v>
      </c>
      <c r="BB118" s="13" t="s">
        <v>2073</v>
      </c>
      <c r="BC118" s="13" t="s">
        <v>2073</v>
      </c>
    </row>
    <row r="119" spans="1:55" ht="15.75" customHeight="1">
      <c r="A119" s="13">
        <v>2000</v>
      </c>
      <c r="B119" s="7" t="s">
        <v>518</v>
      </c>
      <c r="C119" s="211" t="s">
        <v>2412</v>
      </c>
      <c r="D119" s="13" t="s">
        <v>517</v>
      </c>
      <c r="E119" s="13" t="s">
        <v>495</v>
      </c>
      <c r="F119" s="211" t="s">
        <v>2413</v>
      </c>
      <c r="G119" s="13" t="s">
        <v>2414</v>
      </c>
      <c r="H119" s="13" t="s">
        <v>2077</v>
      </c>
      <c r="I119" s="13" t="s">
        <v>2077</v>
      </c>
      <c r="J119" s="13" t="s">
        <v>2077</v>
      </c>
      <c r="K119" s="13" t="s">
        <v>2077</v>
      </c>
      <c r="L119" s="13" t="s">
        <v>2077</v>
      </c>
      <c r="M119" s="13" t="s">
        <v>2077</v>
      </c>
      <c r="N119" s="211" t="s">
        <v>2415</v>
      </c>
      <c r="O119" s="13" t="s">
        <v>2416</v>
      </c>
      <c r="P119" s="69" t="str">
        <f t="shared" ref="P119:Q119" si="117">D119</f>
        <v>CHAIR CLEAT</v>
      </c>
      <c r="Q119" s="13" t="str">
        <f t="shared" si="117"/>
        <v>2CH</v>
      </c>
      <c r="R119" s="212" t="s">
        <v>23</v>
      </c>
      <c r="S119" s="213">
        <v>0.75</v>
      </c>
      <c r="T119" s="13">
        <v>85</v>
      </c>
      <c r="U119" s="211" t="s">
        <v>24</v>
      </c>
      <c r="V119" s="13">
        <v>1</v>
      </c>
      <c r="W119" s="13" t="s">
        <v>2417</v>
      </c>
      <c r="X119" s="13" t="s">
        <v>1924</v>
      </c>
      <c r="Y119" s="13" t="s">
        <v>2073</v>
      </c>
      <c r="Z119" s="13" t="s">
        <v>2073</v>
      </c>
      <c r="AA119" s="13" t="s">
        <v>2073</v>
      </c>
      <c r="AB119" s="13" t="s">
        <v>1924</v>
      </c>
      <c r="AC119" s="211" t="s">
        <v>2415</v>
      </c>
      <c r="AD119" s="13" t="s">
        <v>2416</v>
      </c>
      <c r="AE119" s="69" t="s">
        <v>519</v>
      </c>
      <c r="AF119" s="13" t="s">
        <v>2418</v>
      </c>
      <c r="AG119" s="13" t="s">
        <v>2419</v>
      </c>
      <c r="AH119" s="13" t="s">
        <v>2420</v>
      </c>
      <c r="AI119" s="13" t="s">
        <v>2421</v>
      </c>
      <c r="AJ119" s="13" t="s">
        <v>2422</v>
      </c>
      <c r="AK119" s="13" t="s">
        <v>2416</v>
      </c>
      <c r="AL119" s="13" t="s">
        <v>2077</v>
      </c>
      <c r="AM119" s="13" t="s">
        <v>2077</v>
      </c>
      <c r="AN119" s="13" t="s">
        <v>2077</v>
      </c>
      <c r="AO119" s="13" t="s">
        <v>2077</v>
      </c>
      <c r="AP119" s="13" t="s">
        <v>2077</v>
      </c>
      <c r="AQ119" s="13" t="s">
        <v>2077</v>
      </c>
      <c r="AR119" s="13" t="s">
        <v>2418</v>
      </c>
      <c r="AS119" s="13" t="s">
        <v>2419</v>
      </c>
      <c r="AT119" s="13" t="s">
        <v>2420</v>
      </c>
      <c r="AU119" s="13" t="s">
        <v>2421</v>
      </c>
      <c r="AV119" s="13" t="s">
        <v>2422</v>
      </c>
      <c r="AW119" s="13" t="s">
        <v>2416</v>
      </c>
      <c r="AX119" s="13" t="s">
        <v>2073</v>
      </c>
      <c r="AY119" s="13" t="s">
        <v>2073</v>
      </c>
      <c r="AZ119" s="13" t="s">
        <v>2073</v>
      </c>
      <c r="BA119" s="13" t="s">
        <v>2073</v>
      </c>
      <c r="BB119" s="13" t="s">
        <v>2073</v>
      </c>
      <c r="BC119" s="13" t="s">
        <v>2073</v>
      </c>
    </row>
    <row r="120" spans="1:55" ht="15.75" customHeight="1">
      <c r="A120" s="30">
        <v>2000</v>
      </c>
      <c r="B120" s="7" t="s">
        <v>522</v>
      </c>
      <c r="C120" s="208" t="s">
        <v>2412</v>
      </c>
      <c r="D120" s="30" t="s">
        <v>521</v>
      </c>
      <c r="E120" s="30" t="s">
        <v>495</v>
      </c>
      <c r="F120" s="208" t="s">
        <v>2413</v>
      </c>
      <c r="G120" s="30" t="s">
        <v>2414</v>
      </c>
      <c r="H120" s="30" t="s">
        <v>2077</v>
      </c>
      <c r="I120" s="30" t="s">
        <v>2077</v>
      </c>
      <c r="J120" s="30" t="s">
        <v>2077</v>
      </c>
      <c r="K120" s="30" t="s">
        <v>2077</v>
      </c>
      <c r="L120" s="30" t="s">
        <v>2077</v>
      </c>
      <c r="M120" s="30" t="s">
        <v>2077</v>
      </c>
      <c r="N120" s="208" t="s">
        <v>2415</v>
      </c>
      <c r="O120" s="30" t="s">
        <v>2416</v>
      </c>
      <c r="P120" s="30" t="str">
        <f t="shared" ref="P120:Q120" si="118">D120</f>
        <v>PROSES BUBUT CHAIR 2CHRBBT</v>
      </c>
      <c r="Q120" s="30" t="str">
        <f t="shared" si="118"/>
        <v>2CH</v>
      </c>
      <c r="R120" s="209" t="s">
        <v>23</v>
      </c>
      <c r="S120" s="214">
        <v>0.75</v>
      </c>
      <c r="T120" s="30">
        <v>85</v>
      </c>
      <c r="U120" s="208" t="s">
        <v>24</v>
      </c>
      <c r="V120" s="30">
        <v>1</v>
      </c>
      <c r="W120" s="30" t="s">
        <v>2417</v>
      </c>
      <c r="X120" s="30" t="s">
        <v>1924</v>
      </c>
      <c r="Y120" s="30" t="s">
        <v>2073</v>
      </c>
      <c r="Z120" s="30" t="s">
        <v>2073</v>
      </c>
      <c r="AA120" s="30" t="s">
        <v>2073</v>
      </c>
      <c r="AB120" s="30" t="s">
        <v>1924</v>
      </c>
      <c r="AC120" s="208" t="s">
        <v>2415</v>
      </c>
      <c r="AD120" s="30" t="s">
        <v>2416</v>
      </c>
      <c r="AE120" s="69" t="s">
        <v>523</v>
      </c>
      <c r="AF120" s="30" t="s">
        <v>2418</v>
      </c>
      <c r="AG120" s="30" t="s">
        <v>2419</v>
      </c>
      <c r="AH120" s="30" t="s">
        <v>2420</v>
      </c>
      <c r="AI120" s="30" t="s">
        <v>2421</v>
      </c>
      <c r="AJ120" s="30" t="s">
        <v>2422</v>
      </c>
      <c r="AK120" s="30" t="s">
        <v>2416</v>
      </c>
      <c r="AL120" s="30" t="s">
        <v>2077</v>
      </c>
      <c r="AM120" s="30" t="s">
        <v>2077</v>
      </c>
      <c r="AN120" s="30" t="s">
        <v>2077</v>
      </c>
      <c r="AO120" s="30" t="s">
        <v>2077</v>
      </c>
      <c r="AP120" s="30" t="s">
        <v>2077</v>
      </c>
      <c r="AQ120" s="30" t="s">
        <v>2077</v>
      </c>
      <c r="AR120" s="30" t="s">
        <v>2418</v>
      </c>
      <c r="AS120" s="30" t="s">
        <v>2419</v>
      </c>
      <c r="AT120" s="30" t="s">
        <v>2420</v>
      </c>
      <c r="AU120" s="30" t="s">
        <v>2421</v>
      </c>
      <c r="AV120" s="30" t="s">
        <v>2422</v>
      </c>
      <c r="AW120" s="30" t="s">
        <v>2416</v>
      </c>
      <c r="AX120" s="30" t="s">
        <v>2073</v>
      </c>
      <c r="AY120" s="30" t="s">
        <v>2073</v>
      </c>
      <c r="AZ120" s="30" t="s">
        <v>2073</v>
      </c>
      <c r="BA120" s="30" t="s">
        <v>2073</v>
      </c>
      <c r="BB120" s="30" t="s">
        <v>2073</v>
      </c>
      <c r="BC120" s="30" t="s">
        <v>2073</v>
      </c>
    </row>
    <row r="121" spans="1:55" ht="15.75" customHeight="1">
      <c r="A121" s="13">
        <v>2000</v>
      </c>
      <c r="B121" s="7" t="s">
        <v>527</v>
      </c>
      <c r="C121" s="211" t="s">
        <v>2412</v>
      </c>
      <c r="D121" s="13" t="s">
        <v>526</v>
      </c>
      <c r="E121" s="13" t="s">
        <v>495</v>
      </c>
      <c r="F121" s="211" t="s">
        <v>2413</v>
      </c>
      <c r="G121" s="13" t="s">
        <v>2414</v>
      </c>
      <c r="H121" s="13" t="s">
        <v>2077</v>
      </c>
      <c r="I121" s="13" t="s">
        <v>2077</v>
      </c>
      <c r="J121" s="13" t="s">
        <v>2077</v>
      </c>
      <c r="K121" s="13" t="s">
        <v>2077</v>
      </c>
      <c r="L121" s="13" t="s">
        <v>2077</v>
      </c>
      <c r="M121" s="13" t="s">
        <v>2077</v>
      </c>
      <c r="N121" s="211" t="s">
        <v>2415</v>
      </c>
      <c r="O121" s="13" t="s">
        <v>2416</v>
      </c>
      <c r="P121" s="69" t="str">
        <f t="shared" ref="P121:Q121" si="119">D121</f>
        <v>CNC 5AXIS BALESTRINI POWER MP.0527</v>
      </c>
      <c r="Q121" s="13" t="str">
        <f t="shared" si="119"/>
        <v>2CH</v>
      </c>
      <c r="R121" s="212" t="s">
        <v>23</v>
      </c>
      <c r="S121" s="212" t="s">
        <v>529</v>
      </c>
      <c r="T121" s="13">
        <v>85</v>
      </c>
      <c r="U121" s="211" t="s">
        <v>83</v>
      </c>
      <c r="V121" s="13">
        <v>1</v>
      </c>
      <c r="W121" s="13" t="s">
        <v>2417</v>
      </c>
      <c r="X121" s="13" t="s">
        <v>1924</v>
      </c>
      <c r="Y121" s="13" t="s">
        <v>2073</v>
      </c>
      <c r="Z121" s="13" t="s">
        <v>2073</v>
      </c>
      <c r="AA121" s="13" t="s">
        <v>2073</v>
      </c>
      <c r="AB121" s="13" t="s">
        <v>1924</v>
      </c>
      <c r="AC121" s="211" t="s">
        <v>2415</v>
      </c>
      <c r="AD121" s="13" t="s">
        <v>2416</v>
      </c>
      <c r="AE121" s="69" t="s">
        <v>528</v>
      </c>
      <c r="AF121" s="13" t="s">
        <v>2418</v>
      </c>
      <c r="AG121" s="13" t="s">
        <v>2419</v>
      </c>
      <c r="AH121" s="13" t="s">
        <v>2420</v>
      </c>
      <c r="AI121" s="13" t="s">
        <v>2421</v>
      </c>
      <c r="AJ121" s="13" t="s">
        <v>2422</v>
      </c>
      <c r="AK121" s="13" t="s">
        <v>2416</v>
      </c>
      <c r="AL121" s="13" t="s">
        <v>2077</v>
      </c>
      <c r="AM121" s="13" t="s">
        <v>2077</v>
      </c>
      <c r="AN121" s="13" t="s">
        <v>2077</v>
      </c>
      <c r="AO121" s="13" t="s">
        <v>2077</v>
      </c>
      <c r="AP121" s="13" t="s">
        <v>2077</v>
      </c>
      <c r="AQ121" s="13" t="s">
        <v>2077</v>
      </c>
      <c r="AR121" s="13" t="s">
        <v>2418</v>
      </c>
      <c r="AS121" s="13" t="s">
        <v>2419</v>
      </c>
      <c r="AT121" s="13" t="s">
        <v>2420</v>
      </c>
      <c r="AU121" s="13" t="s">
        <v>2421</v>
      </c>
      <c r="AV121" s="13" t="s">
        <v>2422</v>
      </c>
      <c r="AW121" s="13" t="s">
        <v>2416</v>
      </c>
      <c r="AX121" s="13" t="s">
        <v>2073</v>
      </c>
      <c r="AY121" s="13" t="s">
        <v>2073</v>
      </c>
      <c r="AZ121" s="13" t="s">
        <v>2073</v>
      </c>
      <c r="BA121" s="13" t="s">
        <v>2073</v>
      </c>
      <c r="BB121" s="13" t="s">
        <v>2073</v>
      </c>
      <c r="BC121" s="13" t="s">
        <v>2073</v>
      </c>
    </row>
    <row r="122" spans="1:55" ht="15.75" customHeight="1">
      <c r="A122" s="13">
        <v>2000</v>
      </c>
      <c r="B122" s="7" t="s">
        <v>532</v>
      </c>
      <c r="C122" s="211" t="s">
        <v>2412</v>
      </c>
      <c r="D122" s="13" t="s">
        <v>531</v>
      </c>
      <c r="E122" s="13" t="s">
        <v>495</v>
      </c>
      <c r="F122" s="211" t="s">
        <v>2413</v>
      </c>
      <c r="G122" s="13" t="s">
        <v>2414</v>
      </c>
      <c r="H122" s="13" t="s">
        <v>2077</v>
      </c>
      <c r="I122" s="13" t="s">
        <v>2077</v>
      </c>
      <c r="J122" s="13" t="s">
        <v>2077</v>
      </c>
      <c r="K122" s="13" t="s">
        <v>2077</v>
      </c>
      <c r="L122" s="13" t="s">
        <v>2077</v>
      </c>
      <c r="M122" s="13" t="s">
        <v>2077</v>
      </c>
      <c r="N122" s="211" t="s">
        <v>2415</v>
      </c>
      <c r="O122" s="13" t="s">
        <v>2416</v>
      </c>
      <c r="P122" s="69" t="str">
        <f t="shared" ref="P122:Q122" si="120">D122</f>
        <v>CNC 5AXIS BACCI MP.0519</v>
      </c>
      <c r="Q122" s="13" t="str">
        <f t="shared" si="120"/>
        <v>2CH</v>
      </c>
      <c r="R122" s="212" t="s">
        <v>23</v>
      </c>
      <c r="S122" s="212" t="s">
        <v>529</v>
      </c>
      <c r="T122" s="13">
        <v>85</v>
      </c>
      <c r="U122" s="211" t="s">
        <v>83</v>
      </c>
      <c r="V122" s="13">
        <v>1</v>
      </c>
      <c r="W122" s="13" t="s">
        <v>2417</v>
      </c>
      <c r="X122" s="13" t="s">
        <v>1924</v>
      </c>
      <c r="Y122" s="13" t="s">
        <v>2073</v>
      </c>
      <c r="Z122" s="13" t="s">
        <v>2073</v>
      </c>
      <c r="AA122" s="13" t="s">
        <v>2073</v>
      </c>
      <c r="AB122" s="13" t="s">
        <v>1924</v>
      </c>
      <c r="AC122" s="211" t="s">
        <v>2415</v>
      </c>
      <c r="AD122" s="13" t="s">
        <v>2416</v>
      </c>
      <c r="AE122" s="69" t="s">
        <v>533</v>
      </c>
      <c r="AF122" s="13" t="s">
        <v>2418</v>
      </c>
      <c r="AG122" s="13" t="s">
        <v>2419</v>
      </c>
      <c r="AH122" s="13" t="s">
        <v>2420</v>
      </c>
      <c r="AI122" s="13" t="s">
        <v>2421</v>
      </c>
      <c r="AJ122" s="13" t="s">
        <v>2422</v>
      </c>
      <c r="AK122" s="13" t="s">
        <v>2416</v>
      </c>
      <c r="AL122" s="13" t="s">
        <v>2077</v>
      </c>
      <c r="AM122" s="13" t="s">
        <v>2077</v>
      </c>
      <c r="AN122" s="13" t="s">
        <v>2077</v>
      </c>
      <c r="AO122" s="13" t="s">
        <v>2077</v>
      </c>
      <c r="AP122" s="13" t="s">
        <v>2077</v>
      </c>
      <c r="AQ122" s="13" t="s">
        <v>2077</v>
      </c>
      <c r="AR122" s="13" t="s">
        <v>2418</v>
      </c>
      <c r="AS122" s="13" t="s">
        <v>2419</v>
      </c>
      <c r="AT122" s="13" t="s">
        <v>2420</v>
      </c>
      <c r="AU122" s="13" t="s">
        <v>2421</v>
      </c>
      <c r="AV122" s="13" t="s">
        <v>2422</v>
      </c>
      <c r="AW122" s="13" t="s">
        <v>2416</v>
      </c>
      <c r="AX122" s="13" t="s">
        <v>2073</v>
      </c>
      <c r="AY122" s="13" t="s">
        <v>2073</v>
      </c>
      <c r="AZ122" s="13" t="s">
        <v>2073</v>
      </c>
      <c r="BA122" s="13" t="s">
        <v>2073</v>
      </c>
      <c r="BB122" s="13" t="s">
        <v>2073</v>
      </c>
      <c r="BC122" s="13" t="s">
        <v>2073</v>
      </c>
    </row>
    <row r="123" spans="1:55" ht="15.75" customHeight="1">
      <c r="A123" s="13">
        <v>2000</v>
      </c>
      <c r="B123" s="7" t="s">
        <v>536</v>
      </c>
      <c r="C123" s="211" t="s">
        <v>2412</v>
      </c>
      <c r="D123" s="13" t="s">
        <v>535</v>
      </c>
      <c r="E123" s="13" t="s">
        <v>495</v>
      </c>
      <c r="F123" s="211" t="s">
        <v>2413</v>
      </c>
      <c r="G123" s="13" t="s">
        <v>2414</v>
      </c>
      <c r="H123" s="13" t="s">
        <v>2077</v>
      </c>
      <c r="I123" s="13" t="s">
        <v>2077</v>
      </c>
      <c r="J123" s="13" t="s">
        <v>2077</v>
      </c>
      <c r="K123" s="13" t="s">
        <v>2077</v>
      </c>
      <c r="L123" s="13" t="s">
        <v>2077</v>
      </c>
      <c r="M123" s="13" t="s">
        <v>2077</v>
      </c>
      <c r="N123" s="211" t="s">
        <v>2415</v>
      </c>
      <c r="O123" s="13" t="s">
        <v>2416</v>
      </c>
      <c r="P123" s="69" t="str">
        <f t="shared" ref="P123:Q123" si="121">D123</f>
        <v>CNC COPY SHAPER BALESTRINI MP.0452</v>
      </c>
      <c r="Q123" s="13" t="str">
        <f t="shared" si="121"/>
        <v>2CH</v>
      </c>
      <c r="R123" s="212" t="s">
        <v>23</v>
      </c>
      <c r="S123" s="213">
        <v>0.75</v>
      </c>
      <c r="T123" s="13">
        <v>85</v>
      </c>
      <c r="U123" s="211" t="s">
        <v>24</v>
      </c>
      <c r="V123" s="13">
        <v>1</v>
      </c>
      <c r="W123" s="13" t="s">
        <v>2417</v>
      </c>
      <c r="X123" s="13" t="s">
        <v>1924</v>
      </c>
      <c r="Y123" s="13" t="s">
        <v>2073</v>
      </c>
      <c r="Z123" s="13" t="s">
        <v>2073</v>
      </c>
      <c r="AA123" s="13" t="s">
        <v>2073</v>
      </c>
      <c r="AB123" s="13" t="s">
        <v>1924</v>
      </c>
      <c r="AC123" s="211" t="s">
        <v>2415</v>
      </c>
      <c r="AD123" s="13" t="s">
        <v>2416</v>
      </c>
      <c r="AE123" s="69" t="s">
        <v>537</v>
      </c>
      <c r="AF123" s="13" t="s">
        <v>2418</v>
      </c>
      <c r="AG123" s="13" t="s">
        <v>2419</v>
      </c>
      <c r="AH123" s="13" t="s">
        <v>2420</v>
      </c>
      <c r="AI123" s="13" t="s">
        <v>2421</v>
      </c>
      <c r="AJ123" s="13" t="s">
        <v>2422</v>
      </c>
      <c r="AK123" s="13" t="s">
        <v>2416</v>
      </c>
      <c r="AL123" s="13" t="s">
        <v>2077</v>
      </c>
      <c r="AM123" s="13" t="s">
        <v>2077</v>
      </c>
      <c r="AN123" s="13" t="s">
        <v>2077</v>
      </c>
      <c r="AO123" s="13" t="s">
        <v>2077</v>
      </c>
      <c r="AP123" s="13" t="s">
        <v>2077</v>
      </c>
      <c r="AQ123" s="13" t="s">
        <v>2077</v>
      </c>
      <c r="AR123" s="13" t="s">
        <v>2418</v>
      </c>
      <c r="AS123" s="13" t="s">
        <v>2419</v>
      </c>
      <c r="AT123" s="13" t="s">
        <v>2420</v>
      </c>
      <c r="AU123" s="13" t="s">
        <v>2421</v>
      </c>
      <c r="AV123" s="13" t="s">
        <v>2422</v>
      </c>
      <c r="AW123" s="13" t="s">
        <v>2416</v>
      </c>
      <c r="AX123" s="13" t="s">
        <v>2073</v>
      </c>
      <c r="AY123" s="13" t="s">
        <v>2073</v>
      </c>
      <c r="AZ123" s="13" t="s">
        <v>2073</v>
      </c>
      <c r="BA123" s="13" t="s">
        <v>2073</v>
      </c>
      <c r="BB123" s="13" t="s">
        <v>2073</v>
      </c>
      <c r="BC123" s="13" t="s">
        <v>2073</v>
      </c>
    </row>
    <row r="124" spans="1:55" ht="15.75" customHeight="1">
      <c r="A124" s="13">
        <v>2000</v>
      </c>
      <c r="B124" s="7" t="s">
        <v>540</v>
      </c>
      <c r="C124" s="211" t="s">
        <v>2412</v>
      </c>
      <c r="D124" s="13" t="s">
        <v>539</v>
      </c>
      <c r="E124" s="13" t="s">
        <v>495</v>
      </c>
      <c r="F124" s="211" t="s">
        <v>2413</v>
      </c>
      <c r="G124" s="13" t="s">
        <v>2414</v>
      </c>
      <c r="H124" s="13" t="s">
        <v>2077</v>
      </c>
      <c r="I124" s="13" t="s">
        <v>2077</v>
      </c>
      <c r="J124" s="13" t="s">
        <v>2077</v>
      </c>
      <c r="K124" s="13" t="s">
        <v>2077</v>
      </c>
      <c r="L124" s="13" t="s">
        <v>2077</v>
      </c>
      <c r="M124" s="13" t="s">
        <v>2077</v>
      </c>
      <c r="N124" s="211" t="s">
        <v>2415</v>
      </c>
      <c r="O124" s="13" t="s">
        <v>2416</v>
      </c>
      <c r="P124" s="69" t="str">
        <f t="shared" ref="P124:Q124" si="122">D124</f>
        <v>CNC CARVING KITAKO HS-10 MP.0507</v>
      </c>
      <c r="Q124" s="13" t="str">
        <f t="shared" si="122"/>
        <v>2CH</v>
      </c>
      <c r="R124" s="212" t="s">
        <v>23</v>
      </c>
      <c r="S124" s="213">
        <v>0.75</v>
      </c>
      <c r="T124" s="13">
        <v>85</v>
      </c>
      <c r="U124" s="211" t="s">
        <v>24</v>
      </c>
      <c r="V124" s="13">
        <v>1</v>
      </c>
      <c r="W124" s="13" t="s">
        <v>2417</v>
      </c>
      <c r="X124" s="13" t="s">
        <v>1924</v>
      </c>
      <c r="Y124" s="13" t="s">
        <v>2073</v>
      </c>
      <c r="Z124" s="13" t="s">
        <v>2073</v>
      </c>
      <c r="AA124" s="13" t="s">
        <v>2073</v>
      </c>
      <c r="AB124" s="13" t="s">
        <v>1924</v>
      </c>
      <c r="AC124" s="211" t="s">
        <v>2415</v>
      </c>
      <c r="AD124" s="13" t="s">
        <v>2416</v>
      </c>
      <c r="AE124" s="69" t="s">
        <v>541</v>
      </c>
      <c r="AF124" s="13" t="s">
        <v>2418</v>
      </c>
      <c r="AG124" s="13" t="s">
        <v>2419</v>
      </c>
      <c r="AH124" s="13" t="s">
        <v>2420</v>
      </c>
      <c r="AI124" s="13" t="s">
        <v>2421</v>
      </c>
      <c r="AJ124" s="13" t="s">
        <v>2422</v>
      </c>
      <c r="AK124" s="13" t="s">
        <v>2416</v>
      </c>
      <c r="AL124" s="13" t="s">
        <v>2077</v>
      </c>
      <c r="AM124" s="13" t="s">
        <v>2077</v>
      </c>
      <c r="AN124" s="13" t="s">
        <v>2077</v>
      </c>
      <c r="AO124" s="13" t="s">
        <v>2077</v>
      </c>
      <c r="AP124" s="13" t="s">
        <v>2077</v>
      </c>
      <c r="AQ124" s="13" t="s">
        <v>2077</v>
      </c>
      <c r="AR124" s="13" t="s">
        <v>2418</v>
      </c>
      <c r="AS124" s="13" t="s">
        <v>2419</v>
      </c>
      <c r="AT124" s="13" t="s">
        <v>2420</v>
      </c>
      <c r="AU124" s="13" t="s">
        <v>2421</v>
      </c>
      <c r="AV124" s="13" t="s">
        <v>2422</v>
      </c>
      <c r="AW124" s="13" t="s">
        <v>2416</v>
      </c>
      <c r="AX124" s="13" t="s">
        <v>2073</v>
      </c>
      <c r="AY124" s="13" t="s">
        <v>2073</v>
      </c>
      <c r="AZ124" s="13" t="s">
        <v>2073</v>
      </c>
      <c r="BA124" s="13" t="s">
        <v>2073</v>
      </c>
      <c r="BB124" s="13" t="s">
        <v>2073</v>
      </c>
      <c r="BC124" s="13" t="s">
        <v>2073</v>
      </c>
    </row>
    <row r="125" spans="1:55" ht="15.75" customHeight="1">
      <c r="A125" s="13">
        <v>2000</v>
      </c>
      <c r="B125" s="7" t="s">
        <v>544</v>
      </c>
      <c r="C125" s="211" t="s">
        <v>2412</v>
      </c>
      <c r="D125" s="13" t="s">
        <v>543</v>
      </c>
      <c r="E125" s="13" t="s">
        <v>495</v>
      </c>
      <c r="F125" s="211" t="s">
        <v>2413</v>
      </c>
      <c r="G125" s="13" t="s">
        <v>2414</v>
      </c>
      <c r="H125" s="13" t="s">
        <v>2077</v>
      </c>
      <c r="I125" s="13" t="s">
        <v>2077</v>
      </c>
      <c r="J125" s="13" t="s">
        <v>2077</v>
      </c>
      <c r="K125" s="13" t="s">
        <v>2077</v>
      </c>
      <c r="L125" s="13" t="s">
        <v>2077</v>
      </c>
      <c r="M125" s="13" t="s">
        <v>2077</v>
      </c>
      <c r="N125" s="211" t="s">
        <v>2415</v>
      </c>
      <c r="O125" s="13" t="s">
        <v>2416</v>
      </c>
      <c r="P125" s="69" t="str">
        <f t="shared" ref="P125:Q125" si="123">D125</f>
        <v>CNC 3 AXIS HEIAN MP.0592</v>
      </c>
      <c r="Q125" s="13" t="str">
        <f t="shared" si="123"/>
        <v>2CH</v>
      </c>
      <c r="R125" s="212" t="s">
        <v>23</v>
      </c>
      <c r="S125" s="213">
        <v>0.75</v>
      </c>
      <c r="T125" s="13">
        <v>85</v>
      </c>
      <c r="U125" s="211" t="s">
        <v>24</v>
      </c>
      <c r="V125" s="13">
        <v>1</v>
      </c>
      <c r="W125" s="13" t="s">
        <v>2417</v>
      </c>
      <c r="X125" s="13" t="s">
        <v>1924</v>
      </c>
      <c r="Y125" s="13" t="s">
        <v>2073</v>
      </c>
      <c r="Z125" s="13" t="s">
        <v>2073</v>
      </c>
      <c r="AA125" s="13" t="s">
        <v>2073</v>
      </c>
      <c r="AB125" s="13" t="s">
        <v>1924</v>
      </c>
      <c r="AC125" s="211" t="s">
        <v>2415</v>
      </c>
      <c r="AD125" s="13" t="s">
        <v>2416</v>
      </c>
      <c r="AE125" s="69" t="s">
        <v>545</v>
      </c>
      <c r="AF125" s="13" t="s">
        <v>2418</v>
      </c>
      <c r="AG125" s="13" t="s">
        <v>2419</v>
      </c>
      <c r="AH125" s="13" t="s">
        <v>2420</v>
      </c>
      <c r="AI125" s="13" t="s">
        <v>2421</v>
      </c>
      <c r="AJ125" s="13" t="s">
        <v>2422</v>
      </c>
      <c r="AK125" s="13" t="s">
        <v>2416</v>
      </c>
      <c r="AL125" s="13" t="s">
        <v>2077</v>
      </c>
      <c r="AM125" s="13" t="s">
        <v>2077</v>
      </c>
      <c r="AN125" s="13" t="s">
        <v>2077</v>
      </c>
      <c r="AO125" s="13" t="s">
        <v>2077</v>
      </c>
      <c r="AP125" s="13" t="s">
        <v>2077</v>
      </c>
      <c r="AQ125" s="13" t="s">
        <v>2077</v>
      </c>
      <c r="AR125" s="13" t="s">
        <v>2418</v>
      </c>
      <c r="AS125" s="13" t="s">
        <v>2419</v>
      </c>
      <c r="AT125" s="13" t="s">
        <v>2420</v>
      </c>
      <c r="AU125" s="13" t="s">
        <v>2421</v>
      </c>
      <c r="AV125" s="13" t="s">
        <v>2422</v>
      </c>
      <c r="AW125" s="13" t="s">
        <v>2416</v>
      </c>
      <c r="AX125" s="13" t="s">
        <v>2073</v>
      </c>
      <c r="AY125" s="13" t="s">
        <v>2073</v>
      </c>
      <c r="AZ125" s="13" t="s">
        <v>2073</v>
      </c>
      <c r="BA125" s="13" t="s">
        <v>2073</v>
      </c>
      <c r="BB125" s="13" t="s">
        <v>2073</v>
      </c>
      <c r="BC125" s="13" t="s">
        <v>2073</v>
      </c>
    </row>
    <row r="126" spans="1:55" ht="15.75" customHeight="1">
      <c r="A126" s="13">
        <v>2000</v>
      </c>
      <c r="B126" s="7" t="s">
        <v>548</v>
      </c>
      <c r="C126" s="211" t="s">
        <v>2412</v>
      </c>
      <c r="D126" s="13" t="s">
        <v>547</v>
      </c>
      <c r="E126" s="13" t="s">
        <v>495</v>
      </c>
      <c r="F126" s="211" t="s">
        <v>2413</v>
      </c>
      <c r="G126" s="13" t="s">
        <v>2414</v>
      </c>
      <c r="H126" s="13" t="s">
        <v>2077</v>
      </c>
      <c r="I126" s="13" t="s">
        <v>2077</v>
      </c>
      <c r="J126" s="13" t="s">
        <v>2077</v>
      </c>
      <c r="K126" s="13" t="s">
        <v>2077</v>
      </c>
      <c r="L126" s="13" t="s">
        <v>2077</v>
      </c>
      <c r="M126" s="13" t="s">
        <v>2077</v>
      </c>
      <c r="N126" s="211" t="s">
        <v>2415</v>
      </c>
      <c r="O126" s="13" t="s">
        <v>2416</v>
      </c>
      <c r="P126" s="69" t="str">
        <f t="shared" ref="P126:Q126" si="124">D126</f>
        <v>CNC CARVING LOW HEADKITAKO MP.0459</v>
      </c>
      <c r="Q126" s="13" t="str">
        <f t="shared" si="124"/>
        <v>2CH</v>
      </c>
      <c r="R126" s="212" t="s">
        <v>23</v>
      </c>
      <c r="S126" s="212" t="s">
        <v>529</v>
      </c>
      <c r="T126" s="13">
        <v>85</v>
      </c>
      <c r="U126" s="211" t="s">
        <v>83</v>
      </c>
      <c r="V126" s="13">
        <v>1</v>
      </c>
      <c r="W126" s="13" t="s">
        <v>2417</v>
      </c>
      <c r="X126" s="13" t="s">
        <v>1924</v>
      </c>
      <c r="Y126" s="13" t="s">
        <v>2073</v>
      </c>
      <c r="Z126" s="13" t="s">
        <v>2073</v>
      </c>
      <c r="AA126" s="13" t="s">
        <v>2073</v>
      </c>
      <c r="AB126" s="13" t="s">
        <v>1924</v>
      </c>
      <c r="AC126" s="211" t="s">
        <v>2415</v>
      </c>
      <c r="AD126" s="13" t="s">
        <v>2416</v>
      </c>
      <c r="AE126" s="69" t="s">
        <v>549</v>
      </c>
      <c r="AF126" s="13" t="s">
        <v>2418</v>
      </c>
      <c r="AG126" s="13" t="s">
        <v>2419</v>
      </c>
      <c r="AH126" s="13" t="s">
        <v>2420</v>
      </c>
      <c r="AI126" s="13" t="s">
        <v>2421</v>
      </c>
      <c r="AJ126" s="13" t="s">
        <v>2422</v>
      </c>
      <c r="AK126" s="13" t="s">
        <v>2416</v>
      </c>
      <c r="AL126" s="13" t="s">
        <v>2077</v>
      </c>
      <c r="AM126" s="13" t="s">
        <v>2077</v>
      </c>
      <c r="AN126" s="13" t="s">
        <v>2077</v>
      </c>
      <c r="AO126" s="13" t="s">
        <v>2077</v>
      </c>
      <c r="AP126" s="13" t="s">
        <v>2077</v>
      </c>
      <c r="AQ126" s="13" t="s">
        <v>2077</v>
      </c>
      <c r="AR126" s="13" t="s">
        <v>2418</v>
      </c>
      <c r="AS126" s="13" t="s">
        <v>2419</v>
      </c>
      <c r="AT126" s="13" t="s">
        <v>2420</v>
      </c>
      <c r="AU126" s="13" t="s">
        <v>2421</v>
      </c>
      <c r="AV126" s="13" t="s">
        <v>2422</v>
      </c>
      <c r="AW126" s="13" t="s">
        <v>2416</v>
      </c>
      <c r="AX126" s="13" t="s">
        <v>2073</v>
      </c>
      <c r="AY126" s="13" t="s">
        <v>2073</v>
      </c>
      <c r="AZ126" s="13" t="s">
        <v>2073</v>
      </c>
      <c r="BA126" s="13" t="s">
        <v>2073</v>
      </c>
      <c r="BB126" s="13" t="s">
        <v>2073</v>
      </c>
      <c r="BC126" s="13" t="s">
        <v>2073</v>
      </c>
    </row>
    <row r="127" spans="1:55" ht="15.75" customHeight="1">
      <c r="A127" s="13">
        <v>2000</v>
      </c>
      <c r="B127" s="7" t="s">
        <v>552</v>
      </c>
      <c r="C127" s="211" t="s">
        <v>2412</v>
      </c>
      <c r="D127" s="13" t="s">
        <v>551</v>
      </c>
      <c r="E127" s="13" t="s">
        <v>495</v>
      </c>
      <c r="F127" s="211" t="s">
        <v>2413</v>
      </c>
      <c r="G127" s="13" t="s">
        <v>2414</v>
      </c>
      <c r="H127" s="13" t="s">
        <v>2077</v>
      </c>
      <c r="I127" s="13" t="s">
        <v>2077</v>
      </c>
      <c r="J127" s="13" t="s">
        <v>2077</v>
      </c>
      <c r="K127" s="13" t="s">
        <v>2077</v>
      </c>
      <c r="L127" s="13" t="s">
        <v>2077</v>
      </c>
      <c r="M127" s="13" t="s">
        <v>2077</v>
      </c>
      <c r="N127" s="211" t="s">
        <v>2415</v>
      </c>
      <c r="O127" s="13" t="s">
        <v>2416</v>
      </c>
      <c r="P127" s="69" t="str">
        <f t="shared" ref="P127:Q127" si="125">D127</f>
        <v>CNC 3 AXIS HEIAN MP.0600</v>
      </c>
      <c r="Q127" s="13" t="str">
        <f t="shared" si="125"/>
        <v>2CH</v>
      </c>
      <c r="R127" s="212" t="s">
        <v>23</v>
      </c>
      <c r="S127" s="213">
        <v>0.75</v>
      </c>
      <c r="T127" s="13">
        <v>85</v>
      </c>
      <c r="U127" s="211" t="s">
        <v>24</v>
      </c>
      <c r="V127" s="13">
        <v>1</v>
      </c>
      <c r="W127" s="13" t="s">
        <v>2417</v>
      </c>
      <c r="X127" s="13" t="s">
        <v>1924</v>
      </c>
      <c r="Y127" s="13" t="s">
        <v>2073</v>
      </c>
      <c r="Z127" s="13" t="s">
        <v>2073</v>
      </c>
      <c r="AA127" s="13" t="s">
        <v>2073</v>
      </c>
      <c r="AB127" s="13" t="s">
        <v>1924</v>
      </c>
      <c r="AC127" s="211" t="s">
        <v>2415</v>
      </c>
      <c r="AD127" s="13" t="s">
        <v>2416</v>
      </c>
      <c r="AE127" s="69" t="s">
        <v>553</v>
      </c>
      <c r="AF127" s="13" t="s">
        <v>2418</v>
      </c>
      <c r="AG127" s="13" t="s">
        <v>2419</v>
      </c>
      <c r="AH127" s="13" t="s">
        <v>2420</v>
      </c>
      <c r="AI127" s="13" t="s">
        <v>2421</v>
      </c>
      <c r="AJ127" s="13" t="s">
        <v>2422</v>
      </c>
      <c r="AK127" s="13" t="s">
        <v>2416</v>
      </c>
      <c r="AL127" s="13" t="s">
        <v>2077</v>
      </c>
      <c r="AM127" s="13" t="s">
        <v>2077</v>
      </c>
      <c r="AN127" s="13" t="s">
        <v>2077</v>
      </c>
      <c r="AO127" s="13" t="s">
        <v>2077</v>
      </c>
      <c r="AP127" s="13" t="s">
        <v>2077</v>
      </c>
      <c r="AQ127" s="13" t="s">
        <v>2077</v>
      </c>
      <c r="AR127" s="13" t="s">
        <v>2418</v>
      </c>
      <c r="AS127" s="13" t="s">
        <v>2419</v>
      </c>
      <c r="AT127" s="13" t="s">
        <v>2420</v>
      </c>
      <c r="AU127" s="13" t="s">
        <v>2421</v>
      </c>
      <c r="AV127" s="13" t="s">
        <v>2422</v>
      </c>
      <c r="AW127" s="13" t="s">
        <v>2416</v>
      </c>
      <c r="AX127" s="13" t="s">
        <v>2073</v>
      </c>
      <c r="AY127" s="13" t="s">
        <v>2073</v>
      </c>
      <c r="AZ127" s="13" t="s">
        <v>2073</v>
      </c>
      <c r="BA127" s="13" t="s">
        <v>2073</v>
      </c>
      <c r="BB127" s="13" t="s">
        <v>2073</v>
      </c>
      <c r="BC127" s="13" t="s">
        <v>2073</v>
      </c>
    </row>
    <row r="128" spans="1:55" ht="15.75" customHeight="1">
      <c r="A128" s="13">
        <v>2000</v>
      </c>
      <c r="B128" s="7" t="s">
        <v>556</v>
      </c>
      <c r="C128" s="211" t="s">
        <v>2412</v>
      </c>
      <c r="D128" s="13" t="s">
        <v>555</v>
      </c>
      <c r="E128" s="13" t="s">
        <v>495</v>
      </c>
      <c r="F128" s="211" t="s">
        <v>2413</v>
      </c>
      <c r="G128" s="13" t="s">
        <v>2414</v>
      </c>
      <c r="H128" s="13" t="s">
        <v>2077</v>
      </c>
      <c r="I128" s="13" t="s">
        <v>2077</v>
      </c>
      <c r="J128" s="13" t="s">
        <v>2077</v>
      </c>
      <c r="K128" s="13" t="s">
        <v>2077</v>
      </c>
      <c r="L128" s="13" t="s">
        <v>2077</v>
      </c>
      <c r="M128" s="13" t="s">
        <v>2077</v>
      </c>
      <c r="N128" s="211" t="s">
        <v>2415</v>
      </c>
      <c r="O128" s="13" t="s">
        <v>2416</v>
      </c>
      <c r="P128" s="69" t="str">
        <f t="shared" ref="P128:Q128" si="126">D128</f>
        <v>CNC TWISTER 200 MK.0009</v>
      </c>
      <c r="Q128" s="13" t="str">
        <f t="shared" si="126"/>
        <v>2CH</v>
      </c>
      <c r="R128" s="212" t="s">
        <v>23</v>
      </c>
      <c r="S128" s="212" t="s">
        <v>529</v>
      </c>
      <c r="T128" s="13">
        <v>85</v>
      </c>
      <c r="U128" s="211" t="s">
        <v>83</v>
      </c>
      <c r="V128" s="13">
        <v>1</v>
      </c>
      <c r="W128" s="13" t="s">
        <v>2417</v>
      </c>
      <c r="X128" s="13" t="s">
        <v>1924</v>
      </c>
      <c r="Y128" s="13" t="s">
        <v>2073</v>
      </c>
      <c r="Z128" s="13" t="s">
        <v>2073</v>
      </c>
      <c r="AA128" s="13" t="s">
        <v>2073</v>
      </c>
      <c r="AB128" s="13" t="s">
        <v>1924</v>
      </c>
      <c r="AC128" s="211" t="s">
        <v>2415</v>
      </c>
      <c r="AD128" s="13" t="s">
        <v>2416</v>
      </c>
      <c r="AE128" s="69" t="s">
        <v>557</v>
      </c>
      <c r="AF128" s="13" t="s">
        <v>2418</v>
      </c>
      <c r="AG128" s="13" t="s">
        <v>2419</v>
      </c>
      <c r="AH128" s="13" t="s">
        <v>2420</v>
      </c>
      <c r="AI128" s="13" t="s">
        <v>2421</v>
      </c>
      <c r="AJ128" s="13" t="s">
        <v>2422</v>
      </c>
      <c r="AK128" s="13" t="s">
        <v>2416</v>
      </c>
      <c r="AL128" s="13" t="s">
        <v>2077</v>
      </c>
      <c r="AM128" s="13" t="s">
        <v>2077</v>
      </c>
      <c r="AN128" s="13" t="s">
        <v>2077</v>
      </c>
      <c r="AO128" s="13" t="s">
        <v>2077</v>
      </c>
      <c r="AP128" s="13" t="s">
        <v>2077</v>
      </c>
      <c r="AQ128" s="13" t="s">
        <v>2077</v>
      </c>
      <c r="AR128" s="13" t="s">
        <v>2418</v>
      </c>
      <c r="AS128" s="13" t="s">
        <v>2419</v>
      </c>
      <c r="AT128" s="13" t="s">
        <v>2420</v>
      </c>
      <c r="AU128" s="13" t="s">
        <v>2421</v>
      </c>
      <c r="AV128" s="13" t="s">
        <v>2422</v>
      </c>
      <c r="AW128" s="13" t="s">
        <v>2416</v>
      </c>
      <c r="AX128" s="13" t="s">
        <v>2073</v>
      </c>
      <c r="AY128" s="13" t="s">
        <v>2073</v>
      </c>
      <c r="AZ128" s="13" t="s">
        <v>2073</v>
      </c>
      <c r="BA128" s="13" t="s">
        <v>2073</v>
      </c>
      <c r="BB128" s="13" t="s">
        <v>2073</v>
      </c>
      <c r="BC128" s="13" t="s">
        <v>2073</v>
      </c>
    </row>
    <row r="129" spans="1:55" ht="15.75" customHeight="1">
      <c r="A129" s="13">
        <v>2000</v>
      </c>
      <c r="B129" s="7" t="s">
        <v>560</v>
      </c>
      <c r="C129" s="211" t="s">
        <v>2412</v>
      </c>
      <c r="D129" s="13" t="s">
        <v>559</v>
      </c>
      <c r="E129" s="13" t="s">
        <v>495</v>
      </c>
      <c r="F129" s="211" t="s">
        <v>2413</v>
      </c>
      <c r="G129" s="13" t="s">
        <v>2414</v>
      </c>
      <c r="H129" s="13" t="s">
        <v>2077</v>
      </c>
      <c r="I129" s="13" t="s">
        <v>2077</v>
      </c>
      <c r="J129" s="13" t="s">
        <v>2077</v>
      </c>
      <c r="K129" s="13" t="s">
        <v>2077</v>
      </c>
      <c r="L129" s="13" t="s">
        <v>2077</v>
      </c>
      <c r="M129" s="13" t="s">
        <v>2077</v>
      </c>
      <c r="N129" s="211" t="s">
        <v>2415</v>
      </c>
      <c r="O129" s="13" t="s">
        <v>2416</v>
      </c>
      <c r="P129" s="69" t="str">
        <f t="shared" ref="P129:Q129" si="127">D129</f>
        <v>CNC 5AXIS BALESTRINI IDEA</v>
      </c>
      <c r="Q129" s="13" t="str">
        <f t="shared" si="127"/>
        <v>2CH</v>
      </c>
      <c r="R129" s="212" t="s">
        <v>23</v>
      </c>
      <c r="S129" s="212" t="s">
        <v>529</v>
      </c>
      <c r="T129" s="13">
        <v>85</v>
      </c>
      <c r="U129" s="211" t="s">
        <v>83</v>
      </c>
      <c r="V129" s="13">
        <v>1</v>
      </c>
      <c r="W129" s="13" t="s">
        <v>2417</v>
      </c>
      <c r="X129" s="13" t="s">
        <v>1924</v>
      </c>
      <c r="Y129" s="13" t="s">
        <v>2073</v>
      </c>
      <c r="Z129" s="13" t="s">
        <v>2073</v>
      </c>
      <c r="AA129" s="13" t="s">
        <v>2073</v>
      </c>
      <c r="AB129" s="13" t="s">
        <v>1924</v>
      </c>
      <c r="AC129" s="211" t="s">
        <v>2415</v>
      </c>
      <c r="AD129" s="13" t="s">
        <v>2416</v>
      </c>
      <c r="AE129" s="69" t="s">
        <v>561</v>
      </c>
      <c r="AF129" s="13" t="s">
        <v>2418</v>
      </c>
      <c r="AG129" s="13" t="s">
        <v>2419</v>
      </c>
      <c r="AH129" s="13" t="s">
        <v>2420</v>
      </c>
      <c r="AI129" s="13" t="s">
        <v>2421</v>
      </c>
      <c r="AJ129" s="13" t="s">
        <v>2422</v>
      </c>
      <c r="AK129" s="13" t="s">
        <v>2416</v>
      </c>
      <c r="AL129" s="13" t="s">
        <v>2077</v>
      </c>
      <c r="AM129" s="13" t="s">
        <v>2077</v>
      </c>
      <c r="AN129" s="13" t="s">
        <v>2077</v>
      </c>
      <c r="AO129" s="13" t="s">
        <v>2077</v>
      </c>
      <c r="AP129" s="13" t="s">
        <v>2077</v>
      </c>
      <c r="AQ129" s="13" t="s">
        <v>2077</v>
      </c>
      <c r="AR129" s="13" t="s">
        <v>2418</v>
      </c>
      <c r="AS129" s="13" t="s">
        <v>2419</v>
      </c>
      <c r="AT129" s="13" t="s">
        <v>2420</v>
      </c>
      <c r="AU129" s="13" t="s">
        <v>2421</v>
      </c>
      <c r="AV129" s="13" t="s">
        <v>2422</v>
      </c>
      <c r="AW129" s="13" t="s">
        <v>2416</v>
      </c>
      <c r="AX129" s="13" t="s">
        <v>2073</v>
      </c>
      <c r="AY129" s="13" t="s">
        <v>2073</v>
      </c>
      <c r="AZ129" s="13" t="s">
        <v>2073</v>
      </c>
      <c r="BA129" s="13" t="s">
        <v>2073</v>
      </c>
      <c r="BB129" s="13" t="s">
        <v>2073</v>
      </c>
      <c r="BC129" s="13" t="s">
        <v>2073</v>
      </c>
    </row>
    <row r="130" spans="1:55" ht="15.75" customHeight="1">
      <c r="A130" s="13">
        <v>2000</v>
      </c>
      <c r="B130" s="7" t="s">
        <v>564</v>
      </c>
      <c r="C130" s="211" t="s">
        <v>2412</v>
      </c>
      <c r="D130" s="13" t="s">
        <v>563</v>
      </c>
      <c r="E130" s="13" t="s">
        <v>495</v>
      </c>
      <c r="F130" s="211" t="s">
        <v>2413</v>
      </c>
      <c r="G130" s="13" t="s">
        <v>2414</v>
      </c>
      <c r="H130" s="13" t="s">
        <v>2077</v>
      </c>
      <c r="I130" s="13" t="s">
        <v>2077</v>
      </c>
      <c r="J130" s="13" t="s">
        <v>2077</v>
      </c>
      <c r="K130" s="13" t="s">
        <v>2077</v>
      </c>
      <c r="L130" s="13" t="s">
        <v>2077</v>
      </c>
      <c r="M130" s="13" t="s">
        <v>2077</v>
      </c>
      <c r="N130" s="211" t="s">
        <v>2415</v>
      </c>
      <c r="O130" s="13" t="s">
        <v>2416</v>
      </c>
      <c r="P130" s="69" t="str">
        <f t="shared" ref="P130:Q130" si="128">D130</f>
        <v>CHAIR PROSES SANDING KOMPONENT PLANT E</v>
      </c>
      <c r="Q130" s="13" t="str">
        <f t="shared" si="128"/>
        <v>2CH</v>
      </c>
      <c r="R130" s="212" t="s">
        <v>23</v>
      </c>
      <c r="S130" s="213">
        <v>0.97916666666666663</v>
      </c>
      <c r="T130" s="13">
        <v>85</v>
      </c>
      <c r="U130" s="211" t="s">
        <v>83</v>
      </c>
      <c r="V130" s="13">
        <v>1</v>
      </c>
      <c r="W130" s="13" t="s">
        <v>2417</v>
      </c>
      <c r="X130" s="13" t="s">
        <v>1924</v>
      </c>
      <c r="Y130" s="13" t="s">
        <v>2073</v>
      </c>
      <c r="Z130" s="13" t="s">
        <v>2073</v>
      </c>
      <c r="AA130" s="13" t="s">
        <v>2073</v>
      </c>
      <c r="AB130" s="13" t="s">
        <v>1924</v>
      </c>
      <c r="AC130" s="211" t="s">
        <v>2415</v>
      </c>
      <c r="AD130" s="13" t="s">
        <v>2416</v>
      </c>
      <c r="AE130" s="69" t="s">
        <v>2251</v>
      </c>
      <c r="AF130" s="13" t="s">
        <v>2418</v>
      </c>
      <c r="AG130" s="13" t="s">
        <v>2419</v>
      </c>
      <c r="AH130" s="13" t="s">
        <v>2420</v>
      </c>
      <c r="AI130" s="13" t="s">
        <v>2421</v>
      </c>
      <c r="AJ130" s="13" t="s">
        <v>2422</v>
      </c>
      <c r="AK130" s="13" t="s">
        <v>2416</v>
      </c>
      <c r="AL130" s="13" t="s">
        <v>2077</v>
      </c>
      <c r="AM130" s="13" t="s">
        <v>2077</v>
      </c>
      <c r="AN130" s="13" t="s">
        <v>2077</v>
      </c>
      <c r="AO130" s="13" t="s">
        <v>2077</v>
      </c>
      <c r="AP130" s="13" t="s">
        <v>2077</v>
      </c>
      <c r="AQ130" s="13" t="s">
        <v>2077</v>
      </c>
      <c r="AR130" s="13" t="s">
        <v>2418</v>
      </c>
      <c r="AS130" s="13" t="s">
        <v>2419</v>
      </c>
      <c r="AT130" s="13" t="s">
        <v>2420</v>
      </c>
      <c r="AU130" s="13" t="s">
        <v>2421</v>
      </c>
      <c r="AV130" s="13" t="s">
        <v>2422</v>
      </c>
      <c r="AW130" s="13" t="s">
        <v>2416</v>
      </c>
      <c r="AX130" s="13" t="s">
        <v>2073</v>
      </c>
      <c r="AY130" s="13" t="s">
        <v>2073</v>
      </c>
      <c r="AZ130" s="13" t="s">
        <v>2073</v>
      </c>
      <c r="BA130" s="13" t="s">
        <v>2073</v>
      </c>
      <c r="BB130" s="13" t="s">
        <v>2073</v>
      </c>
      <c r="BC130" s="13" t="s">
        <v>2073</v>
      </c>
    </row>
    <row r="131" spans="1:55" ht="15.75" customHeight="1">
      <c r="A131" s="13">
        <v>2000</v>
      </c>
      <c r="B131" s="7" t="s">
        <v>569</v>
      </c>
      <c r="C131" s="211" t="s">
        <v>2412</v>
      </c>
      <c r="D131" s="13" t="s">
        <v>568</v>
      </c>
      <c r="E131" s="13" t="s">
        <v>495</v>
      </c>
      <c r="F131" s="211" t="s">
        <v>2413</v>
      </c>
      <c r="G131" s="13" t="s">
        <v>2414</v>
      </c>
      <c r="H131" s="13" t="s">
        <v>2077</v>
      </c>
      <c r="I131" s="13" t="s">
        <v>2077</v>
      </c>
      <c r="J131" s="13" t="s">
        <v>2077</v>
      </c>
      <c r="K131" s="13" t="s">
        <v>2077</v>
      </c>
      <c r="L131" s="13" t="s">
        <v>2077</v>
      </c>
      <c r="M131" s="13" t="s">
        <v>2077</v>
      </c>
      <c r="N131" s="211" t="s">
        <v>2415</v>
      </c>
      <c r="O131" s="13" t="s">
        <v>2416</v>
      </c>
      <c r="P131" s="69" t="str">
        <f t="shared" ref="P131:Q131" si="129">D131</f>
        <v xml:space="preserve">CHAIR SUB ASSY </v>
      </c>
      <c r="Q131" s="13" t="str">
        <f t="shared" si="129"/>
        <v>2CH</v>
      </c>
      <c r="R131" s="213">
        <v>0.64583333333333337</v>
      </c>
      <c r="S131" s="213">
        <v>0.97916666666666663</v>
      </c>
      <c r="T131" s="13">
        <v>85</v>
      </c>
      <c r="U131" s="211" t="s">
        <v>24</v>
      </c>
      <c r="V131" s="13">
        <v>1</v>
      </c>
      <c r="W131" s="13" t="s">
        <v>2417</v>
      </c>
      <c r="X131" s="13" t="s">
        <v>1924</v>
      </c>
      <c r="Y131" s="13" t="s">
        <v>2073</v>
      </c>
      <c r="Z131" s="13" t="s">
        <v>2073</v>
      </c>
      <c r="AA131" s="13" t="s">
        <v>2073</v>
      </c>
      <c r="AB131" s="13" t="s">
        <v>1924</v>
      </c>
      <c r="AC131" s="211" t="s">
        <v>2415</v>
      </c>
      <c r="AD131" s="13" t="s">
        <v>2416</v>
      </c>
      <c r="AE131" s="69" t="s">
        <v>571</v>
      </c>
      <c r="AF131" s="13" t="s">
        <v>2418</v>
      </c>
      <c r="AG131" s="13" t="s">
        <v>2419</v>
      </c>
      <c r="AH131" s="13" t="s">
        <v>2420</v>
      </c>
      <c r="AI131" s="13" t="s">
        <v>2421</v>
      </c>
      <c r="AJ131" s="13" t="s">
        <v>2422</v>
      </c>
      <c r="AK131" s="13" t="s">
        <v>2416</v>
      </c>
      <c r="AL131" s="13" t="s">
        <v>2077</v>
      </c>
      <c r="AM131" s="13" t="s">
        <v>2077</v>
      </c>
      <c r="AN131" s="13" t="s">
        <v>2077</v>
      </c>
      <c r="AO131" s="13" t="s">
        <v>2077</v>
      </c>
      <c r="AP131" s="13" t="s">
        <v>2077</v>
      </c>
      <c r="AQ131" s="13" t="s">
        <v>2077</v>
      </c>
      <c r="AR131" s="13" t="s">
        <v>2418</v>
      </c>
      <c r="AS131" s="13" t="s">
        <v>2419</v>
      </c>
      <c r="AT131" s="13" t="s">
        <v>2420</v>
      </c>
      <c r="AU131" s="13" t="s">
        <v>2421</v>
      </c>
      <c r="AV131" s="13" t="s">
        <v>2422</v>
      </c>
      <c r="AW131" s="13" t="s">
        <v>2416</v>
      </c>
      <c r="AX131" s="13" t="s">
        <v>2073</v>
      </c>
      <c r="AY131" s="13" t="s">
        <v>2073</v>
      </c>
      <c r="AZ131" s="13" t="s">
        <v>2073</v>
      </c>
      <c r="BA131" s="13" t="s">
        <v>2073</v>
      </c>
      <c r="BB131" s="13" t="s">
        <v>2073</v>
      </c>
      <c r="BC131" s="13" t="s">
        <v>2073</v>
      </c>
    </row>
    <row r="132" spans="1:55" ht="15.75" customHeight="1">
      <c r="A132" s="13">
        <v>2000</v>
      </c>
      <c r="B132" s="7" t="s">
        <v>574</v>
      </c>
      <c r="C132" s="211" t="s">
        <v>2412</v>
      </c>
      <c r="D132" s="13" t="s">
        <v>575</v>
      </c>
      <c r="E132" s="13" t="s">
        <v>495</v>
      </c>
      <c r="F132" s="211" t="s">
        <v>2413</v>
      </c>
      <c r="G132" s="13" t="s">
        <v>2414</v>
      </c>
      <c r="H132" s="13" t="s">
        <v>2077</v>
      </c>
      <c r="I132" s="13" t="s">
        <v>2077</v>
      </c>
      <c r="J132" s="13" t="s">
        <v>2077</v>
      </c>
      <c r="K132" s="13" t="s">
        <v>2077</v>
      </c>
      <c r="L132" s="13" t="s">
        <v>2077</v>
      </c>
      <c r="M132" s="13" t="s">
        <v>2077</v>
      </c>
      <c r="N132" s="211" t="s">
        <v>2415</v>
      </c>
      <c r="O132" s="13" t="s">
        <v>2416</v>
      </c>
      <c r="P132" s="69" t="str">
        <f t="shared" ref="P132:Q132" si="130">D132</f>
        <v>CHAIR ASSEMBLY BODY</v>
      </c>
      <c r="Q132" s="13" t="str">
        <f t="shared" si="130"/>
        <v>2CH</v>
      </c>
      <c r="R132" s="212" t="s">
        <v>23</v>
      </c>
      <c r="S132" s="213">
        <v>0.64583333333333337</v>
      </c>
      <c r="T132" s="13">
        <v>85</v>
      </c>
      <c r="U132" s="211" t="s">
        <v>24</v>
      </c>
      <c r="V132" s="13">
        <v>1</v>
      </c>
      <c r="W132" s="13" t="s">
        <v>2417</v>
      </c>
      <c r="X132" s="13" t="s">
        <v>1924</v>
      </c>
      <c r="Y132" s="13" t="s">
        <v>2073</v>
      </c>
      <c r="Z132" s="13" t="s">
        <v>2073</v>
      </c>
      <c r="AA132" s="13" t="s">
        <v>2073</v>
      </c>
      <c r="AB132" s="13" t="s">
        <v>1924</v>
      </c>
      <c r="AC132" s="211" t="s">
        <v>2415</v>
      </c>
      <c r="AD132" s="13" t="s">
        <v>2416</v>
      </c>
      <c r="AE132" s="69" t="s">
        <v>576</v>
      </c>
      <c r="AF132" s="13" t="s">
        <v>2418</v>
      </c>
      <c r="AG132" s="13" t="s">
        <v>2419</v>
      </c>
      <c r="AH132" s="13" t="s">
        <v>2420</v>
      </c>
      <c r="AI132" s="13" t="s">
        <v>2421</v>
      </c>
      <c r="AJ132" s="13" t="s">
        <v>2422</v>
      </c>
      <c r="AK132" s="13" t="s">
        <v>2416</v>
      </c>
      <c r="AL132" s="13" t="s">
        <v>2077</v>
      </c>
      <c r="AM132" s="13" t="s">
        <v>2077</v>
      </c>
      <c r="AN132" s="13" t="s">
        <v>2077</v>
      </c>
      <c r="AO132" s="13" t="s">
        <v>2077</v>
      </c>
      <c r="AP132" s="13" t="s">
        <v>2077</v>
      </c>
      <c r="AQ132" s="13" t="s">
        <v>2077</v>
      </c>
      <c r="AR132" s="13" t="s">
        <v>2418</v>
      </c>
      <c r="AS132" s="13" t="s">
        <v>2419</v>
      </c>
      <c r="AT132" s="13" t="s">
        <v>2420</v>
      </c>
      <c r="AU132" s="13" t="s">
        <v>2421</v>
      </c>
      <c r="AV132" s="13" t="s">
        <v>2422</v>
      </c>
      <c r="AW132" s="13" t="s">
        <v>2416</v>
      </c>
      <c r="AX132" s="13" t="s">
        <v>2073</v>
      </c>
      <c r="AY132" s="13" t="s">
        <v>2073</v>
      </c>
      <c r="AZ132" s="13" t="s">
        <v>2073</v>
      </c>
      <c r="BA132" s="13" t="s">
        <v>2073</v>
      </c>
      <c r="BB132" s="13" t="s">
        <v>2073</v>
      </c>
      <c r="BC132" s="13" t="s">
        <v>2073</v>
      </c>
    </row>
    <row r="133" spans="1:55" ht="15.75" customHeight="1">
      <c r="A133" s="13">
        <v>2000</v>
      </c>
      <c r="B133" s="7" t="s">
        <v>579</v>
      </c>
      <c r="C133" s="211" t="s">
        <v>2412</v>
      </c>
      <c r="D133" s="13" t="s">
        <v>2273</v>
      </c>
      <c r="E133" s="13" t="s">
        <v>495</v>
      </c>
      <c r="F133" s="211" t="s">
        <v>2413</v>
      </c>
      <c r="G133" s="13" t="s">
        <v>2414</v>
      </c>
      <c r="H133" s="13" t="s">
        <v>2077</v>
      </c>
      <c r="I133" s="13" t="s">
        <v>2077</v>
      </c>
      <c r="J133" s="13" t="s">
        <v>2077</v>
      </c>
      <c r="K133" s="13" t="s">
        <v>2077</v>
      </c>
      <c r="L133" s="13" t="s">
        <v>2077</v>
      </c>
      <c r="M133" s="13" t="s">
        <v>2077</v>
      </c>
      <c r="N133" s="211" t="s">
        <v>2415</v>
      </c>
      <c r="O133" s="13" t="s">
        <v>2416</v>
      </c>
      <c r="P133" s="69" t="str">
        <f t="shared" ref="P133:Q133" si="131">D133</f>
        <v>CHAIR FITTING</v>
      </c>
      <c r="Q133" s="13" t="str">
        <f t="shared" si="131"/>
        <v>2CH</v>
      </c>
      <c r="R133" s="212" t="s">
        <v>23</v>
      </c>
      <c r="S133" s="213">
        <v>0.64583333333333337</v>
      </c>
      <c r="T133" s="13">
        <v>85</v>
      </c>
      <c r="U133" s="211" t="s">
        <v>24</v>
      </c>
      <c r="V133" s="13">
        <v>1</v>
      </c>
      <c r="W133" s="13" t="s">
        <v>2417</v>
      </c>
      <c r="X133" s="13" t="s">
        <v>1924</v>
      </c>
      <c r="Y133" s="13" t="s">
        <v>2073</v>
      </c>
      <c r="Z133" s="13" t="s">
        <v>2073</v>
      </c>
      <c r="AA133" s="13" t="s">
        <v>2073</v>
      </c>
      <c r="AB133" s="13" t="s">
        <v>1924</v>
      </c>
      <c r="AC133" s="211" t="s">
        <v>2415</v>
      </c>
      <c r="AD133" s="13" t="s">
        <v>2416</v>
      </c>
      <c r="AE133" s="69" t="s">
        <v>2274</v>
      </c>
      <c r="AF133" s="13" t="s">
        <v>2418</v>
      </c>
      <c r="AG133" s="13" t="s">
        <v>2419</v>
      </c>
      <c r="AH133" s="13" t="s">
        <v>2420</v>
      </c>
      <c r="AI133" s="13" t="s">
        <v>2421</v>
      </c>
      <c r="AJ133" s="13" t="s">
        <v>2422</v>
      </c>
      <c r="AK133" s="13" t="s">
        <v>2416</v>
      </c>
      <c r="AL133" s="13" t="s">
        <v>2077</v>
      </c>
      <c r="AM133" s="13" t="s">
        <v>2077</v>
      </c>
      <c r="AN133" s="13" t="s">
        <v>2077</v>
      </c>
      <c r="AO133" s="13" t="s">
        <v>2077</v>
      </c>
      <c r="AP133" s="13" t="s">
        <v>2077</v>
      </c>
      <c r="AQ133" s="13" t="s">
        <v>2077</v>
      </c>
      <c r="AR133" s="13" t="s">
        <v>2418</v>
      </c>
      <c r="AS133" s="13" t="s">
        <v>2419</v>
      </c>
      <c r="AT133" s="13" t="s">
        <v>2420</v>
      </c>
      <c r="AU133" s="13" t="s">
        <v>2421</v>
      </c>
      <c r="AV133" s="13" t="s">
        <v>2422</v>
      </c>
      <c r="AW133" s="13" t="s">
        <v>2416</v>
      </c>
      <c r="AX133" s="13" t="s">
        <v>2073</v>
      </c>
      <c r="AY133" s="13" t="s">
        <v>2073</v>
      </c>
      <c r="AZ133" s="13" t="s">
        <v>2073</v>
      </c>
      <c r="BA133" s="13" t="s">
        <v>2073</v>
      </c>
      <c r="BB133" s="13" t="s">
        <v>2073</v>
      </c>
      <c r="BC133" s="13" t="s">
        <v>2073</v>
      </c>
    </row>
    <row r="134" spans="1:55" ht="15.75" customHeight="1">
      <c r="A134" s="13">
        <v>2000</v>
      </c>
      <c r="B134" s="7" t="s">
        <v>588</v>
      </c>
      <c r="C134" s="211" t="s">
        <v>2412</v>
      </c>
      <c r="D134" s="13" t="s">
        <v>587</v>
      </c>
      <c r="E134" s="13" t="s">
        <v>495</v>
      </c>
      <c r="F134" s="211" t="s">
        <v>2413</v>
      </c>
      <c r="G134" s="13" t="s">
        <v>2414</v>
      </c>
      <c r="H134" s="13" t="s">
        <v>2077</v>
      </c>
      <c r="I134" s="13" t="s">
        <v>2077</v>
      </c>
      <c r="J134" s="13" t="s">
        <v>2077</v>
      </c>
      <c r="K134" s="13" t="s">
        <v>2077</v>
      </c>
      <c r="L134" s="13" t="s">
        <v>2077</v>
      </c>
      <c r="M134" s="13" t="s">
        <v>2077</v>
      </c>
      <c r="N134" s="211" t="s">
        <v>2415</v>
      </c>
      <c r="O134" s="13" t="s">
        <v>2416</v>
      </c>
      <c r="P134" s="69" t="str">
        <f t="shared" ref="P134:Q134" si="132">D134</f>
        <v>PAINTING  CHAIR LINE 1</v>
      </c>
      <c r="Q134" s="13" t="str">
        <f t="shared" si="132"/>
        <v>2CH</v>
      </c>
      <c r="R134" s="212" t="s">
        <v>23</v>
      </c>
      <c r="S134" s="213">
        <v>0.64583333333333337</v>
      </c>
      <c r="T134" s="13">
        <v>85</v>
      </c>
      <c r="U134" s="211" t="s">
        <v>24</v>
      </c>
      <c r="V134" s="13">
        <v>1</v>
      </c>
      <c r="W134" s="13" t="s">
        <v>2417</v>
      </c>
      <c r="X134" s="13" t="s">
        <v>1924</v>
      </c>
      <c r="Y134" s="13" t="s">
        <v>2073</v>
      </c>
      <c r="Z134" s="13" t="s">
        <v>2073</v>
      </c>
      <c r="AA134" s="13" t="s">
        <v>2073</v>
      </c>
      <c r="AB134" s="13" t="s">
        <v>1924</v>
      </c>
      <c r="AC134" s="211" t="s">
        <v>2415</v>
      </c>
      <c r="AD134" s="13" t="s">
        <v>2416</v>
      </c>
      <c r="AE134" s="69" t="s">
        <v>2275</v>
      </c>
      <c r="AF134" s="13" t="s">
        <v>2418</v>
      </c>
      <c r="AG134" s="13" t="s">
        <v>2419</v>
      </c>
      <c r="AH134" s="13" t="s">
        <v>2420</v>
      </c>
      <c r="AI134" s="13" t="s">
        <v>2421</v>
      </c>
      <c r="AJ134" s="13" t="s">
        <v>2422</v>
      </c>
      <c r="AK134" s="13" t="s">
        <v>2416</v>
      </c>
      <c r="AL134" s="13" t="s">
        <v>2077</v>
      </c>
      <c r="AM134" s="13" t="s">
        <v>2077</v>
      </c>
      <c r="AN134" s="13" t="s">
        <v>2077</v>
      </c>
      <c r="AO134" s="13" t="s">
        <v>2077</v>
      </c>
      <c r="AP134" s="13" t="s">
        <v>2077</v>
      </c>
      <c r="AQ134" s="13" t="s">
        <v>2077</v>
      </c>
      <c r="AR134" s="13" t="s">
        <v>2418</v>
      </c>
      <c r="AS134" s="13" t="s">
        <v>2419</v>
      </c>
      <c r="AT134" s="13" t="s">
        <v>2420</v>
      </c>
      <c r="AU134" s="13" t="s">
        <v>2421</v>
      </c>
      <c r="AV134" s="13" t="s">
        <v>2422</v>
      </c>
      <c r="AW134" s="13" t="s">
        <v>2416</v>
      </c>
      <c r="AX134" s="13" t="s">
        <v>2073</v>
      </c>
      <c r="AY134" s="13" t="s">
        <v>2073</v>
      </c>
      <c r="AZ134" s="13" t="s">
        <v>2073</v>
      </c>
      <c r="BA134" s="13" t="s">
        <v>2073</v>
      </c>
      <c r="BB134" s="13" t="s">
        <v>2073</v>
      </c>
      <c r="BC134" s="13" t="s">
        <v>2073</v>
      </c>
    </row>
    <row r="135" spans="1:55" ht="15.75" customHeight="1">
      <c r="A135" s="13">
        <v>2000</v>
      </c>
      <c r="B135" s="7" t="s">
        <v>592</v>
      </c>
      <c r="C135" s="211" t="s">
        <v>2412</v>
      </c>
      <c r="D135" s="13" t="s">
        <v>591</v>
      </c>
      <c r="E135" s="13" t="s">
        <v>495</v>
      </c>
      <c r="F135" s="211" t="s">
        <v>2413</v>
      </c>
      <c r="G135" s="13" t="s">
        <v>2414</v>
      </c>
      <c r="H135" s="13" t="s">
        <v>2077</v>
      </c>
      <c r="I135" s="13" t="s">
        <v>2077</v>
      </c>
      <c r="J135" s="13" t="s">
        <v>2077</v>
      </c>
      <c r="K135" s="13" t="s">
        <v>2077</v>
      </c>
      <c r="L135" s="13" t="s">
        <v>2077</v>
      </c>
      <c r="M135" s="13" t="s">
        <v>2077</v>
      </c>
      <c r="N135" s="211" t="s">
        <v>2415</v>
      </c>
      <c r="O135" s="13" t="s">
        <v>2416</v>
      </c>
      <c r="P135" s="69" t="str">
        <f t="shared" ref="P135:Q135" si="133">D135</f>
        <v>PAINTING CHAIR LINE 2</v>
      </c>
      <c r="Q135" s="13" t="str">
        <f t="shared" si="133"/>
        <v>2CH</v>
      </c>
      <c r="R135" s="212" t="s">
        <v>23</v>
      </c>
      <c r="S135" s="213">
        <v>0.64583333333333337</v>
      </c>
      <c r="T135" s="13">
        <v>85</v>
      </c>
      <c r="U135" s="211" t="s">
        <v>24</v>
      </c>
      <c r="V135" s="13">
        <v>1</v>
      </c>
      <c r="W135" s="13" t="s">
        <v>2417</v>
      </c>
      <c r="X135" s="13" t="s">
        <v>1924</v>
      </c>
      <c r="Y135" s="13" t="s">
        <v>2073</v>
      </c>
      <c r="Z135" s="13" t="s">
        <v>2073</v>
      </c>
      <c r="AA135" s="13" t="s">
        <v>2073</v>
      </c>
      <c r="AB135" s="13" t="s">
        <v>1924</v>
      </c>
      <c r="AC135" s="211" t="s">
        <v>2415</v>
      </c>
      <c r="AD135" s="13" t="s">
        <v>2416</v>
      </c>
      <c r="AE135" s="69" t="s">
        <v>2275</v>
      </c>
      <c r="AF135" s="13" t="s">
        <v>2418</v>
      </c>
      <c r="AG135" s="13" t="s">
        <v>2419</v>
      </c>
      <c r="AH135" s="13" t="s">
        <v>2420</v>
      </c>
      <c r="AI135" s="13" t="s">
        <v>2421</v>
      </c>
      <c r="AJ135" s="13" t="s">
        <v>2422</v>
      </c>
      <c r="AK135" s="13" t="s">
        <v>2416</v>
      </c>
      <c r="AL135" s="13" t="s">
        <v>2077</v>
      </c>
      <c r="AM135" s="13" t="s">
        <v>2077</v>
      </c>
      <c r="AN135" s="13" t="s">
        <v>2077</v>
      </c>
      <c r="AO135" s="13" t="s">
        <v>2077</v>
      </c>
      <c r="AP135" s="13" t="s">
        <v>2077</v>
      </c>
      <c r="AQ135" s="13" t="s">
        <v>2077</v>
      </c>
      <c r="AR135" s="13" t="s">
        <v>2418</v>
      </c>
      <c r="AS135" s="13" t="s">
        <v>2419</v>
      </c>
      <c r="AT135" s="13" t="s">
        <v>2420</v>
      </c>
      <c r="AU135" s="13" t="s">
        <v>2421</v>
      </c>
      <c r="AV135" s="13" t="s">
        <v>2422</v>
      </c>
      <c r="AW135" s="13" t="s">
        <v>2416</v>
      </c>
      <c r="AX135" s="13" t="s">
        <v>2073</v>
      </c>
      <c r="AY135" s="13" t="s">
        <v>2073</v>
      </c>
      <c r="AZ135" s="13" t="s">
        <v>2073</v>
      </c>
      <c r="BA135" s="13" t="s">
        <v>2073</v>
      </c>
      <c r="BB135" s="13" t="s">
        <v>2073</v>
      </c>
      <c r="BC135" s="13" t="s">
        <v>2073</v>
      </c>
    </row>
    <row r="136" spans="1:55" ht="15.75" customHeight="1">
      <c r="A136" s="13">
        <v>2000</v>
      </c>
      <c r="B136" s="7" t="s">
        <v>596</v>
      </c>
      <c r="C136" s="211" t="s">
        <v>2412</v>
      </c>
      <c r="D136" s="13" t="s">
        <v>595</v>
      </c>
      <c r="E136" s="13" t="s">
        <v>495</v>
      </c>
      <c r="F136" s="211" t="s">
        <v>2413</v>
      </c>
      <c r="G136" s="13" t="s">
        <v>2414</v>
      </c>
      <c r="H136" s="13" t="s">
        <v>2077</v>
      </c>
      <c r="I136" s="13" t="s">
        <v>2077</v>
      </c>
      <c r="J136" s="13" t="s">
        <v>2077</v>
      </c>
      <c r="K136" s="13" t="s">
        <v>2077</v>
      </c>
      <c r="L136" s="13" t="s">
        <v>2077</v>
      </c>
      <c r="M136" s="13" t="s">
        <v>2077</v>
      </c>
      <c r="N136" s="211" t="s">
        <v>2415</v>
      </c>
      <c r="O136" s="13" t="s">
        <v>2416</v>
      </c>
      <c r="P136" s="69" t="str">
        <f t="shared" ref="P136:Q136" si="134">D136</f>
        <v>PACKING CHAIR</v>
      </c>
      <c r="Q136" s="13" t="str">
        <f t="shared" si="134"/>
        <v>2CH</v>
      </c>
      <c r="R136" s="212" t="s">
        <v>23</v>
      </c>
      <c r="S136" s="213">
        <v>0.64583333333333337</v>
      </c>
      <c r="T136" s="13">
        <v>85</v>
      </c>
      <c r="U136" s="211" t="s">
        <v>24</v>
      </c>
      <c r="V136" s="13">
        <v>1</v>
      </c>
      <c r="W136" s="13" t="s">
        <v>2417</v>
      </c>
      <c r="X136" s="13" t="s">
        <v>1924</v>
      </c>
      <c r="Y136" s="13" t="s">
        <v>2073</v>
      </c>
      <c r="Z136" s="13" t="s">
        <v>2073</v>
      </c>
      <c r="AA136" s="13" t="s">
        <v>2073</v>
      </c>
      <c r="AB136" s="13" t="s">
        <v>1924</v>
      </c>
      <c r="AC136" s="211" t="s">
        <v>2415</v>
      </c>
      <c r="AD136" s="13" t="s">
        <v>2416</v>
      </c>
      <c r="AE136" s="69" t="s">
        <v>2276</v>
      </c>
      <c r="AF136" s="13" t="s">
        <v>2418</v>
      </c>
      <c r="AG136" s="13" t="s">
        <v>2419</v>
      </c>
      <c r="AH136" s="13" t="s">
        <v>2420</v>
      </c>
      <c r="AI136" s="13" t="s">
        <v>2421</v>
      </c>
      <c r="AJ136" s="13" t="s">
        <v>2422</v>
      </c>
      <c r="AK136" s="13" t="s">
        <v>2416</v>
      </c>
      <c r="AL136" s="13" t="s">
        <v>2077</v>
      </c>
      <c r="AM136" s="13" t="s">
        <v>2077</v>
      </c>
      <c r="AN136" s="13" t="s">
        <v>2077</v>
      </c>
      <c r="AO136" s="13" t="s">
        <v>2077</v>
      </c>
      <c r="AP136" s="13" t="s">
        <v>2077</v>
      </c>
      <c r="AQ136" s="13" t="s">
        <v>2077</v>
      </c>
      <c r="AR136" s="13" t="s">
        <v>2418</v>
      </c>
      <c r="AS136" s="13" t="s">
        <v>2419</v>
      </c>
      <c r="AT136" s="13" t="s">
        <v>2420</v>
      </c>
      <c r="AU136" s="13" t="s">
        <v>2421</v>
      </c>
      <c r="AV136" s="13" t="s">
        <v>2422</v>
      </c>
      <c r="AW136" s="13" t="s">
        <v>2416</v>
      </c>
      <c r="AX136" s="13" t="s">
        <v>2073</v>
      </c>
      <c r="AY136" s="13" t="s">
        <v>2073</v>
      </c>
      <c r="AZ136" s="13" t="s">
        <v>2073</v>
      </c>
      <c r="BA136" s="13" t="s">
        <v>2073</v>
      </c>
      <c r="BB136" s="13" t="s">
        <v>2073</v>
      </c>
      <c r="BC136" s="13" t="s">
        <v>2073</v>
      </c>
    </row>
    <row r="137" spans="1:55" ht="15.75" customHeight="1">
      <c r="A137" s="13">
        <v>2000</v>
      </c>
      <c r="B137" s="7" t="s">
        <v>600</v>
      </c>
      <c r="C137" s="211" t="s">
        <v>2412</v>
      </c>
      <c r="D137" s="13" t="s">
        <v>599</v>
      </c>
      <c r="E137" s="13" t="s">
        <v>495</v>
      </c>
      <c r="F137" s="211" t="s">
        <v>2413</v>
      </c>
      <c r="G137" s="13" t="s">
        <v>2414</v>
      </c>
      <c r="H137" s="13" t="s">
        <v>2077</v>
      </c>
      <c r="I137" s="13" t="s">
        <v>2077</v>
      </c>
      <c r="J137" s="13" t="s">
        <v>2077</v>
      </c>
      <c r="K137" s="13" t="s">
        <v>2077</v>
      </c>
      <c r="L137" s="13" t="s">
        <v>2077</v>
      </c>
      <c r="M137" s="13" t="s">
        <v>2077</v>
      </c>
      <c r="N137" s="211" t="s">
        <v>2415</v>
      </c>
      <c r="O137" s="13" t="s">
        <v>2416</v>
      </c>
      <c r="P137" s="69" t="str">
        <f t="shared" ref="P137:Q137" si="135">D137</f>
        <v>PROSES PACKAGING BOX SET CHAIR</v>
      </c>
      <c r="Q137" s="13" t="str">
        <f t="shared" si="135"/>
        <v>2CH</v>
      </c>
      <c r="R137" s="212" t="s">
        <v>23</v>
      </c>
      <c r="S137" s="213">
        <v>0.64583333333333337</v>
      </c>
      <c r="T137" s="13">
        <v>85</v>
      </c>
      <c r="U137" s="211" t="s">
        <v>24</v>
      </c>
      <c r="V137" s="13">
        <v>1</v>
      </c>
      <c r="W137" s="13" t="s">
        <v>2417</v>
      </c>
      <c r="X137" s="13" t="s">
        <v>1924</v>
      </c>
      <c r="Y137" s="13" t="s">
        <v>2073</v>
      </c>
      <c r="Z137" s="13" t="s">
        <v>2073</v>
      </c>
      <c r="AA137" s="13" t="s">
        <v>2073</v>
      </c>
      <c r="AB137" s="13" t="s">
        <v>1924</v>
      </c>
      <c r="AC137" s="211" t="s">
        <v>2415</v>
      </c>
      <c r="AD137" s="13" t="s">
        <v>2416</v>
      </c>
      <c r="AE137" s="69">
        <v>1111055002</v>
      </c>
      <c r="AF137" s="13" t="s">
        <v>2418</v>
      </c>
      <c r="AG137" s="13" t="s">
        <v>2419</v>
      </c>
      <c r="AH137" s="13" t="s">
        <v>2420</v>
      </c>
      <c r="AI137" s="13" t="s">
        <v>2421</v>
      </c>
      <c r="AJ137" s="13" t="s">
        <v>2422</v>
      </c>
      <c r="AK137" s="13" t="s">
        <v>2416</v>
      </c>
      <c r="AL137" s="13" t="s">
        <v>2077</v>
      </c>
      <c r="AM137" s="13" t="s">
        <v>2077</v>
      </c>
      <c r="AN137" s="13" t="s">
        <v>2077</v>
      </c>
      <c r="AO137" s="13" t="s">
        <v>2077</v>
      </c>
      <c r="AP137" s="13" t="s">
        <v>2077</v>
      </c>
      <c r="AQ137" s="13" t="s">
        <v>2077</v>
      </c>
      <c r="AR137" s="13" t="s">
        <v>2418</v>
      </c>
      <c r="AS137" s="13" t="s">
        <v>2419</v>
      </c>
      <c r="AT137" s="13" t="s">
        <v>2420</v>
      </c>
      <c r="AU137" s="13" t="s">
        <v>2421</v>
      </c>
      <c r="AV137" s="13" t="s">
        <v>2422</v>
      </c>
      <c r="AW137" s="13" t="s">
        <v>2416</v>
      </c>
      <c r="AX137" s="13" t="s">
        <v>2073</v>
      </c>
      <c r="AY137" s="13" t="s">
        <v>2073</v>
      </c>
      <c r="AZ137" s="13" t="s">
        <v>2073</v>
      </c>
      <c r="BA137" s="13" t="s">
        <v>2073</v>
      </c>
      <c r="BB137" s="13" t="s">
        <v>2073</v>
      </c>
      <c r="BC137" s="13" t="s">
        <v>2073</v>
      </c>
    </row>
    <row r="138" spans="1:55" ht="15.75" customHeight="1">
      <c r="A138" s="13">
        <v>2000</v>
      </c>
      <c r="B138" s="7" t="s">
        <v>617</v>
      </c>
      <c r="C138" s="211" t="s">
        <v>2412</v>
      </c>
      <c r="D138" s="13" t="s">
        <v>616</v>
      </c>
      <c r="E138" s="13" t="s">
        <v>620</v>
      </c>
      <c r="F138" s="211" t="s">
        <v>2413</v>
      </c>
      <c r="G138" s="13" t="s">
        <v>2414</v>
      </c>
      <c r="H138" s="13" t="s">
        <v>2077</v>
      </c>
      <c r="I138" s="13" t="s">
        <v>2077</v>
      </c>
      <c r="J138" s="13" t="s">
        <v>2077</v>
      </c>
      <c r="K138" s="13" t="s">
        <v>2077</v>
      </c>
      <c r="L138" s="13" t="s">
        <v>2077</v>
      </c>
      <c r="M138" s="13" t="s">
        <v>2077</v>
      </c>
      <c r="N138" s="211" t="s">
        <v>2415</v>
      </c>
      <c r="O138" s="13" t="s">
        <v>2416</v>
      </c>
      <c r="P138" s="69" t="str">
        <f t="shared" ref="P138:Q138" si="136">D138</f>
        <v>Proses Cutting Carton</v>
      </c>
      <c r="Q138" s="13" t="str">
        <f t="shared" si="136"/>
        <v>2CP</v>
      </c>
      <c r="R138" s="212" t="s">
        <v>23</v>
      </c>
      <c r="S138" s="212" t="s">
        <v>252</v>
      </c>
      <c r="T138" s="13">
        <v>85</v>
      </c>
      <c r="U138" s="211" t="s">
        <v>24</v>
      </c>
      <c r="V138" s="13">
        <v>1</v>
      </c>
      <c r="W138" s="13" t="s">
        <v>2417</v>
      </c>
      <c r="X138" s="13" t="s">
        <v>1924</v>
      </c>
      <c r="Y138" s="13" t="s">
        <v>2073</v>
      </c>
      <c r="Z138" s="13" t="s">
        <v>2073</v>
      </c>
      <c r="AA138" s="13" t="s">
        <v>2073</v>
      </c>
      <c r="AB138" s="13" t="s">
        <v>1924</v>
      </c>
      <c r="AC138" s="211" t="s">
        <v>2415</v>
      </c>
      <c r="AD138" s="13" t="s">
        <v>2416</v>
      </c>
      <c r="AE138" s="69" t="s">
        <v>618</v>
      </c>
      <c r="AF138" s="13" t="s">
        <v>2418</v>
      </c>
      <c r="AG138" s="13" t="s">
        <v>2419</v>
      </c>
      <c r="AH138" s="13" t="s">
        <v>2420</v>
      </c>
      <c r="AI138" s="13" t="s">
        <v>2421</v>
      </c>
      <c r="AJ138" s="13" t="s">
        <v>2422</v>
      </c>
      <c r="AK138" s="13" t="s">
        <v>2416</v>
      </c>
      <c r="AL138" s="13" t="s">
        <v>2077</v>
      </c>
      <c r="AM138" s="13" t="s">
        <v>2077</v>
      </c>
      <c r="AN138" s="13" t="s">
        <v>2077</v>
      </c>
      <c r="AO138" s="13" t="s">
        <v>2077</v>
      </c>
      <c r="AP138" s="13" t="s">
        <v>2077</v>
      </c>
      <c r="AQ138" s="13" t="s">
        <v>2077</v>
      </c>
      <c r="AR138" s="13" t="s">
        <v>2418</v>
      </c>
      <c r="AS138" s="13" t="s">
        <v>2419</v>
      </c>
      <c r="AT138" s="13" t="s">
        <v>2420</v>
      </c>
      <c r="AU138" s="13" t="s">
        <v>2421</v>
      </c>
      <c r="AV138" s="13" t="s">
        <v>2422</v>
      </c>
      <c r="AW138" s="13" t="s">
        <v>2416</v>
      </c>
      <c r="AX138" s="13" t="s">
        <v>2073</v>
      </c>
      <c r="AY138" s="13" t="s">
        <v>2073</v>
      </c>
      <c r="AZ138" s="13" t="s">
        <v>2073</v>
      </c>
      <c r="BA138" s="13" t="s">
        <v>2073</v>
      </c>
      <c r="BB138" s="13" t="s">
        <v>2073</v>
      </c>
      <c r="BC138" s="13" t="s">
        <v>2073</v>
      </c>
    </row>
    <row r="139" spans="1:55" ht="15.75" customHeight="1">
      <c r="A139" s="13">
        <v>2000</v>
      </c>
      <c r="B139" s="7" t="s">
        <v>623</v>
      </c>
      <c r="C139" s="211" t="s">
        <v>2412</v>
      </c>
      <c r="D139" s="13" t="s">
        <v>622</v>
      </c>
      <c r="E139" s="13" t="s">
        <v>620</v>
      </c>
      <c r="F139" s="211" t="s">
        <v>2413</v>
      </c>
      <c r="G139" s="13" t="s">
        <v>2414</v>
      </c>
      <c r="H139" s="13" t="s">
        <v>2077</v>
      </c>
      <c r="I139" s="13" t="s">
        <v>2077</v>
      </c>
      <c r="J139" s="13" t="s">
        <v>2077</v>
      </c>
      <c r="K139" s="13" t="s">
        <v>2077</v>
      </c>
      <c r="L139" s="13" t="s">
        <v>2077</v>
      </c>
      <c r="M139" s="13" t="s">
        <v>2077</v>
      </c>
      <c r="N139" s="211" t="s">
        <v>2415</v>
      </c>
      <c r="O139" s="13" t="s">
        <v>2416</v>
      </c>
      <c r="P139" s="69" t="str">
        <f t="shared" ref="P139:Q139" si="137">D139</f>
        <v>PROSES SUPORT ( SKID &amp; FOAM )</v>
      </c>
      <c r="Q139" s="13" t="str">
        <f t="shared" si="137"/>
        <v>2CP</v>
      </c>
      <c r="R139" s="212" t="s">
        <v>23</v>
      </c>
      <c r="S139" s="212" t="s">
        <v>252</v>
      </c>
      <c r="T139" s="13">
        <v>85</v>
      </c>
      <c r="U139" s="211" t="s">
        <v>24</v>
      </c>
      <c r="V139" s="13">
        <v>1</v>
      </c>
      <c r="W139" s="13" t="s">
        <v>2417</v>
      </c>
      <c r="X139" s="13" t="s">
        <v>1924</v>
      </c>
      <c r="Y139" s="13" t="s">
        <v>2073</v>
      </c>
      <c r="Z139" s="13" t="s">
        <v>2073</v>
      </c>
      <c r="AA139" s="13" t="s">
        <v>2073</v>
      </c>
      <c r="AB139" s="13" t="s">
        <v>1924</v>
      </c>
      <c r="AC139" s="211" t="s">
        <v>2415</v>
      </c>
      <c r="AD139" s="13" t="s">
        <v>2416</v>
      </c>
      <c r="AE139" s="69" t="s">
        <v>624</v>
      </c>
      <c r="AF139" s="13" t="s">
        <v>2418</v>
      </c>
      <c r="AG139" s="13" t="s">
        <v>2419</v>
      </c>
      <c r="AH139" s="13" t="s">
        <v>2420</v>
      </c>
      <c r="AI139" s="13" t="s">
        <v>2421</v>
      </c>
      <c r="AJ139" s="13" t="s">
        <v>2422</v>
      </c>
      <c r="AK139" s="13" t="s">
        <v>2416</v>
      </c>
      <c r="AL139" s="13" t="s">
        <v>2077</v>
      </c>
      <c r="AM139" s="13" t="s">
        <v>2077</v>
      </c>
      <c r="AN139" s="13" t="s">
        <v>2077</v>
      </c>
      <c r="AO139" s="13" t="s">
        <v>2077</v>
      </c>
      <c r="AP139" s="13" t="s">
        <v>2077</v>
      </c>
      <c r="AQ139" s="13" t="s">
        <v>2077</v>
      </c>
      <c r="AR139" s="13" t="s">
        <v>2418</v>
      </c>
      <c r="AS139" s="13" t="s">
        <v>2419</v>
      </c>
      <c r="AT139" s="13" t="s">
        <v>2420</v>
      </c>
      <c r="AU139" s="13" t="s">
        <v>2421</v>
      </c>
      <c r="AV139" s="13" t="s">
        <v>2422</v>
      </c>
      <c r="AW139" s="13" t="s">
        <v>2416</v>
      </c>
      <c r="AX139" s="13" t="s">
        <v>2073</v>
      </c>
      <c r="AY139" s="13" t="s">
        <v>2073</v>
      </c>
      <c r="AZ139" s="13" t="s">
        <v>2073</v>
      </c>
      <c r="BA139" s="13" t="s">
        <v>2073</v>
      </c>
      <c r="BB139" s="13" t="s">
        <v>2073</v>
      </c>
      <c r="BC139" s="13" t="s">
        <v>2073</v>
      </c>
    </row>
    <row r="140" spans="1:55" ht="15.75" customHeight="1">
      <c r="A140" s="30">
        <v>2000</v>
      </c>
      <c r="B140" s="7" t="s">
        <v>628</v>
      </c>
      <c r="C140" s="208" t="s">
        <v>2412</v>
      </c>
      <c r="D140" s="30" t="s">
        <v>627</v>
      </c>
      <c r="E140" s="30" t="s">
        <v>620</v>
      </c>
      <c r="F140" s="208" t="s">
        <v>2413</v>
      </c>
      <c r="G140" s="30" t="s">
        <v>2414</v>
      </c>
      <c r="H140" s="30" t="s">
        <v>2077</v>
      </c>
      <c r="I140" s="30" t="s">
        <v>2077</v>
      </c>
      <c r="J140" s="30" t="s">
        <v>2077</v>
      </c>
      <c r="K140" s="30" t="s">
        <v>2077</v>
      </c>
      <c r="L140" s="30" t="s">
        <v>2077</v>
      </c>
      <c r="M140" s="30" t="s">
        <v>2077</v>
      </c>
      <c r="N140" s="208" t="s">
        <v>2415</v>
      </c>
      <c r="O140" s="30" t="s">
        <v>2416</v>
      </c>
      <c r="P140" s="30" t="str">
        <f t="shared" ref="P140:Q140" si="138">D140</f>
        <v>Packaging Cnc Router HeianNC-442P ( CNC)</v>
      </c>
      <c r="Q140" s="30" t="str">
        <f t="shared" si="138"/>
        <v>2CP</v>
      </c>
      <c r="R140" s="209" t="s">
        <v>23</v>
      </c>
      <c r="S140" s="209" t="s">
        <v>252</v>
      </c>
      <c r="T140" s="30">
        <v>85</v>
      </c>
      <c r="U140" s="208" t="s">
        <v>24</v>
      </c>
      <c r="V140" s="30">
        <v>1</v>
      </c>
      <c r="W140" s="30" t="s">
        <v>2417</v>
      </c>
      <c r="X140" s="30" t="s">
        <v>1924</v>
      </c>
      <c r="Y140" s="30" t="s">
        <v>2073</v>
      </c>
      <c r="Z140" s="30" t="s">
        <v>2073</v>
      </c>
      <c r="AA140" s="30" t="s">
        <v>2073</v>
      </c>
      <c r="AB140" s="30" t="s">
        <v>1924</v>
      </c>
      <c r="AC140" s="208" t="s">
        <v>2415</v>
      </c>
      <c r="AD140" s="30" t="s">
        <v>2416</v>
      </c>
      <c r="AE140" s="69" t="s">
        <v>629</v>
      </c>
      <c r="AF140" s="30" t="s">
        <v>2418</v>
      </c>
      <c r="AG140" s="30" t="s">
        <v>2419</v>
      </c>
      <c r="AH140" s="30" t="s">
        <v>2420</v>
      </c>
      <c r="AI140" s="30" t="s">
        <v>2421</v>
      </c>
      <c r="AJ140" s="30" t="s">
        <v>2422</v>
      </c>
      <c r="AK140" s="30" t="s">
        <v>2416</v>
      </c>
      <c r="AL140" s="30" t="s">
        <v>2077</v>
      </c>
      <c r="AM140" s="30" t="s">
        <v>2077</v>
      </c>
      <c r="AN140" s="30" t="s">
        <v>2077</v>
      </c>
      <c r="AO140" s="30" t="s">
        <v>2077</v>
      </c>
      <c r="AP140" s="30" t="s">
        <v>2077</v>
      </c>
      <c r="AQ140" s="30" t="s">
        <v>2077</v>
      </c>
      <c r="AR140" s="30" t="s">
        <v>2418</v>
      </c>
      <c r="AS140" s="30" t="s">
        <v>2419</v>
      </c>
      <c r="AT140" s="30" t="s">
        <v>2420</v>
      </c>
      <c r="AU140" s="30" t="s">
        <v>2421</v>
      </c>
      <c r="AV140" s="30" t="s">
        <v>2422</v>
      </c>
      <c r="AW140" s="30" t="s">
        <v>2416</v>
      </c>
      <c r="AX140" s="30" t="s">
        <v>2073</v>
      </c>
      <c r="AY140" s="30" t="s">
        <v>2073</v>
      </c>
      <c r="AZ140" s="30" t="s">
        <v>2073</v>
      </c>
      <c r="BA140" s="30" t="s">
        <v>2073</v>
      </c>
      <c r="BB140" s="30" t="s">
        <v>2073</v>
      </c>
      <c r="BC140" s="30" t="s">
        <v>2073</v>
      </c>
    </row>
    <row r="141" spans="1:55" ht="15.75" customHeight="1">
      <c r="A141" s="13">
        <v>2000</v>
      </c>
      <c r="B141" s="7" t="s">
        <v>632</v>
      </c>
      <c r="C141" s="211" t="s">
        <v>2412</v>
      </c>
      <c r="D141" s="13" t="s">
        <v>631</v>
      </c>
      <c r="E141" s="13" t="s">
        <v>620</v>
      </c>
      <c r="F141" s="211" t="s">
        <v>2413</v>
      </c>
      <c r="G141" s="13" t="s">
        <v>2414</v>
      </c>
      <c r="H141" s="13" t="s">
        <v>2077</v>
      </c>
      <c r="I141" s="13" t="s">
        <v>2077</v>
      </c>
      <c r="J141" s="13" t="s">
        <v>2077</v>
      </c>
      <c r="K141" s="13" t="s">
        <v>2077</v>
      </c>
      <c r="L141" s="13" t="s">
        <v>2077</v>
      </c>
      <c r="M141" s="13" t="s">
        <v>2077</v>
      </c>
      <c r="N141" s="211" t="s">
        <v>2415</v>
      </c>
      <c r="O141" s="13" t="s">
        <v>2416</v>
      </c>
      <c r="P141" s="69" t="str">
        <f t="shared" ref="P141:Q141" si="139">D141</f>
        <v>Packaging Cnc Shoda NCB-615 ( CNC 4 )</v>
      </c>
      <c r="Q141" s="13" t="str">
        <f t="shared" si="139"/>
        <v>2CP</v>
      </c>
      <c r="R141" s="212" t="s">
        <v>23</v>
      </c>
      <c r="S141" s="212" t="s">
        <v>252</v>
      </c>
      <c r="T141" s="13">
        <v>85</v>
      </c>
      <c r="U141" s="211" t="s">
        <v>24</v>
      </c>
      <c r="V141" s="13">
        <v>1</v>
      </c>
      <c r="W141" s="13" t="s">
        <v>2417</v>
      </c>
      <c r="X141" s="13" t="s">
        <v>1924</v>
      </c>
      <c r="Y141" s="13" t="s">
        <v>2073</v>
      </c>
      <c r="Z141" s="13" t="s">
        <v>2073</v>
      </c>
      <c r="AA141" s="13" t="s">
        <v>2073</v>
      </c>
      <c r="AB141" s="13" t="s">
        <v>1924</v>
      </c>
      <c r="AC141" s="211" t="s">
        <v>2415</v>
      </c>
      <c r="AD141" s="13" t="s">
        <v>2416</v>
      </c>
      <c r="AE141" s="69" t="s">
        <v>633</v>
      </c>
      <c r="AF141" s="13" t="s">
        <v>2418</v>
      </c>
      <c r="AG141" s="13" t="s">
        <v>2419</v>
      </c>
      <c r="AH141" s="13" t="s">
        <v>2420</v>
      </c>
      <c r="AI141" s="13" t="s">
        <v>2421</v>
      </c>
      <c r="AJ141" s="13" t="s">
        <v>2422</v>
      </c>
      <c r="AK141" s="13" t="s">
        <v>2416</v>
      </c>
      <c r="AL141" s="13" t="s">
        <v>2077</v>
      </c>
      <c r="AM141" s="13" t="s">
        <v>2077</v>
      </c>
      <c r="AN141" s="13" t="s">
        <v>2077</v>
      </c>
      <c r="AO141" s="13" t="s">
        <v>2077</v>
      </c>
      <c r="AP141" s="13" t="s">
        <v>2077</v>
      </c>
      <c r="AQ141" s="13" t="s">
        <v>2077</v>
      </c>
      <c r="AR141" s="13" t="s">
        <v>2418</v>
      </c>
      <c r="AS141" s="13" t="s">
        <v>2419</v>
      </c>
      <c r="AT141" s="13" t="s">
        <v>2420</v>
      </c>
      <c r="AU141" s="13" t="s">
        <v>2421</v>
      </c>
      <c r="AV141" s="13" t="s">
        <v>2422</v>
      </c>
      <c r="AW141" s="13" t="s">
        <v>2416</v>
      </c>
      <c r="AX141" s="13" t="s">
        <v>2073</v>
      </c>
      <c r="AY141" s="13" t="s">
        <v>2073</v>
      </c>
      <c r="AZ141" s="13" t="s">
        <v>2073</v>
      </c>
      <c r="BA141" s="13" t="s">
        <v>2073</v>
      </c>
      <c r="BB141" s="13" t="s">
        <v>2073</v>
      </c>
      <c r="BC141" s="13" t="s">
        <v>2073</v>
      </c>
    </row>
    <row r="142" spans="1:55" ht="15.75" customHeight="1">
      <c r="A142" s="13">
        <v>2000</v>
      </c>
      <c r="B142" s="7" t="s">
        <v>636</v>
      </c>
      <c r="C142" s="211" t="s">
        <v>2412</v>
      </c>
      <c r="D142" s="13" t="s">
        <v>635</v>
      </c>
      <c r="E142" s="13" t="s">
        <v>620</v>
      </c>
      <c r="F142" s="211" t="s">
        <v>2413</v>
      </c>
      <c r="G142" s="13" t="s">
        <v>2414</v>
      </c>
      <c r="H142" s="13" t="s">
        <v>2077</v>
      </c>
      <c r="I142" s="13" t="s">
        <v>2077</v>
      </c>
      <c r="J142" s="13" t="s">
        <v>2077</v>
      </c>
      <c r="K142" s="13" t="s">
        <v>2077</v>
      </c>
      <c r="L142" s="13" t="s">
        <v>2077</v>
      </c>
      <c r="M142" s="13" t="s">
        <v>2077</v>
      </c>
      <c r="N142" s="211" t="s">
        <v>2415</v>
      </c>
      <c r="O142" s="13" t="s">
        <v>2416</v>
      </c>
      <c r="P142" s="69" t="str">
        <f t="shared" ref="P142:Q142" si="140">D142</f>
        <v>PROSES Machining CnC ER431P</v>
      </c>
      <c r="Q142" s="13" t="str">
        <f t="shared" si="140"/>
        <v>2CP</v>
      </c>
      <c r="R142" s="212" t="s">
        <v>23</v>
      </c>
      <c r="S142" s="212" t="s">
        <v>252</v>
      </c>
      <c r="T142" s="13">
        <v>85</v>
      </c>
      <c r="U142" s="211" t="s">
        <v>24</v>
      </c>
      <c r="V142" s="13">
        <v>1</v>
      </c>
      <c r="W142" s="13" t="s">
        <v>2417</v>
      </c>
      <c r="X142" s="13" t="s">
        <v>1924</v>
      </c>
      <c r="Y142" s="13" t="s">
        <v>2073</v>
      </c>
      <c r="Z142" s="13" t="s">
        <v>2073</v>
      </c>
      <c r="AA142" s="13" t="s">
        <v>2073</v>
      </c>
      <c r="AB142" s="13" t="s">
        <v>1924</v>
      </c>
      <c r="AC142" s="211" t="s">
        <v>2415</v>
      </c>
      <c r="AD142" s="13" t="s">
        <v>2416</v>
      </c>
      <c r="AE142" s="69" t="s">
        <v>637</v>
      </c>
      <c r="AF142" s="13" t="s">
        <v>2418</v>
      </c>
      <c r="AG142" s="13" t="s">
        <v>2419</v>
      </c>
      <c r="AH142" s="13" t="s">
        <v>2420</v>
      </c>
      <c r="AI142" s="13" t="s">
        <v>2421</v>
      </c>
      <c r="AJ142" s="13" t="s">
        <v>2422</v>
      </c>
      <c r="AK142" s="13" t="s">
        <v>2416</v>
      </c>
      <c r="AL142" s="13" t="s">
        <v>2077</v>
      </c>
      <c r="AM142" s="13" t="s">
        <v>2077</v>
      </c>
      <c r="AN142" s="13" t="s">
        <v>2077</v>
      </c>
      <c r="AO142" s="13" t="s">
        <v>2077</v>
      </c>
      <c r="AP142" s="13" t="s">
        <v>2077</v>
      </c>
      <c r="AQ142" s="13" t="s">
        <v>2077</v>
      </c>
      <c r="AR142" s="13" t="s">
        <v>2418</v>
      </c>
      <c r="AS142" s="13" t="s">
        <v>2419</v>
      </c>
      <c r="AT142" s="13" t="s">
        <v>2420</v>
      </c>
      <c r="AU142" s="13" t="s">
        <v>2421</v>
      </c>
      <c r="AV142" s="13" t="s">
        <v>2422</v>
      </c>
      <c r="AW142" s="13" t="s">
        <v>2416</v>
      </c>
      <c r="AX142" s="13" t="s">
        <v>2073</v>
      </c>
      <c r="AY142" s="13" t="s">
        <v>2073</v>
      </c>
      <c r="AZ142" s="13" t="s">
        <v>2073</v>
      </c>
      <c r="BA142" s="13" t="s">
        <v>2073</v>
      </c>
      <c r="BB142" s="13" t="s">
        <v>2073</v>
      </c>
      <c r="BC142" s="13" t="s">
        <v>2073</v>
      </c>
    </row>
    <row r="143" spans="1:55" ht="15.75" customHeight="1">
      <c r="A143" s="13">
        <v>2000</v>
      </c>
      <c r="B143" s="7" t="s">
        <v>640</v>
      </c>
      <c r="C143" s="211" t="s">
        <v>2412</v>
      </c>
      <c r="D143" s="13" t="s">
        <v>639</v>
      </c>
      <c r="E143" s="13" t="s">
        <v>620</v>
      </c>
      <c r="F143" s="211" t="s">
        <v>2413</v>
      </c>
      <c r="G143" s="13" t="s">
        <v>2414</v>
      </c>
      <c r="H143" s="13" t="s">
        <v>2077</v>
      </c>
      <c r="I143" s="13" t="s">
        <v>2077</v>
      </c>
      <c r="J143" s="13" t="s">
        <v>2077</v>
      </c>
      <c r="K143" s="13" t="s">
        <v>2077</v>
      </c>
      <c r="L143" s="13" t="s">
        <v>2077</v>
      </c>
      <c r="M143" s="13" t="s">
        <v>2077</v>
      </c>
      <c r="N143" s="211" t="s">
        <v>2415</v>
      </c>
      <c r="O143" s="13" t="s">
        <v>2416</v>
      </c>
      <c r="P143" s="69" t="str">
        <f t="shared" ref="P143:Q143" si="141">D143</f>
        <v>CNC BIESSE MT0051</v>
      </c>
      <c r="Q143" s="13" t="str">
        <f t="shared" si="141"/>
        <v>2CP</v>
      </c>
      <c r="R143" s="212" t="s">
        <v>23</v>
      </c>
      <c r="S143" s="212" t="s">
        <v>252</v>
      </c>
      <c r="T143" s="13">
        <v>85</v>
      </c>
      <c r="U143" s="211" t="s">
        <v>24</v>
      </c>
      <c r="V143" s="13">
        <v>1</v>
      </c>
      <c r="W143" s="13" t="s">
        <v>2417</v>
      </c>
      <c r="X143" s="13" t="s">
        <v>1924</v>
      </c>
      <c r="Y143" s="13" t="s">
        <v>2073</v>
      </c>
      <c r="Z143" s="13" t="s">
        <v>2073</v>
      </c>
      <c r="AA143" s="13" t="s">
        <v>2073</v>
      </c>
      <c r="AB143" s="13" t="s">
        <v>1924</v>
      </c>
      <c r="AC143" s="211" t="s">
        <v>2415</v>
      </c>
      <c r="AD143" s="13" t="s">
        <v>2416</v>
      </c>
      <c r="AE143" s="69" t="s">
        <v>641</v>
      </c>
      <c r="AF143" s="13" t="s">
        <v>2418</v>
      </c>
      <c r="AG143" s="13" t="s">
        <v>2419</v>
      </c>
      <c r="AH143" s="13" t="s">
        <v>2420</v>
      </c>
      <c r="AI143" s="13" t="s">
        <v>2421</v>
      </c>
      <c r="AJ143" s="13" t="s">
        <v>2422</v>
      </c>
      <c r="AK143" s="13" t="s">
        <v>2416</v>
      </c>
      <c r="AL143" s="13" t="s">
        <v>2077</v>
      </c>
      <c r="AM143" s="13" t="s">
        <v>2077</v>
      </c>
      <c r="AN143" s="13" t="s">
        <v>2077</v>
      </c>
      <c r="AO143" s="13" t="s">
        <v>2077</v>
      </c>
      <c r="AP143" s="13" t="s">
        <v>2077</v>
      </c>
      <c r="AQ143" s="13" t="s">
        <v>2077</v>
      </c>
      <c r="AR143" s="13" t="s">
        <v>2418</v>
      </c>
      <c r="AS143" s="13" t="s">
        <v>2419</v>
      </c>
      <c r="AT143" s="13" t="s">
        <v>2420</v>
      </c>
      <c r="AU143" s="13" t="s">
        <v>2421</v>
      </c>
      <c r="AV143" s="13" t="s">
        <v>2422</v>
      </c>
      <c r="AW143" s="13" t="s">
        <v>2416</v>
      </c>
      <c r="AX143" s="13" t="s">
        <v>2073</v>
      </c>
      <c r="AY143" s="13" t="s">
        <v>2073</v>
      </c>
      <c r="AZ143" s="13" t="s">
        <v>2073</v>
      </c>
      <c r="BA143" s="13" t="s">
        <v>2073</v>
      </c>
      <c r="BB143" s="13" t="s">
        <v>2073</v>
      </c>
      <c r="BC143" s="13" t="s">
        <v>2073</v>
      </c>
    </row>
    <row r="144" spans="1:55" ht="15.75" customHeight="1">
      <c r="A144" s="30">
        <v>2000</v>
      </c>
      <c r="B144" s="7" t="s">
        <v>645</v>
      </c>
      <c r="C144" s="208" t="s">
        <v>2412</v>
      </c>
      <c r="D144" s="30" t="s">
        <v>644</v>
      </c>
      <c r="E144" s="30" t="s">
        <v>620</v>
      </c>
      <c r="F144" s="208" t="s">
        <v>2413</v>
      </c>
      <c r="G144" s="30" t="s">
        <v>2414</v>
      </c>
      <c r="H144" s="30" t="s">
        <v>2077</v>
      </c>
      <c r="I144" s="30" t="s">
        <v>2077</v>
      </c>
      <c r="J144" s="30" t="s">
        <v>2077</v>
      </c>
      <c r="K144" s="30" t="s">
        <v>2077</v>
      </c>
      <c r="L144" s="30" t="s">
        <v>2077</v>
      </c>
      <c r="M144" s="30" t="s">
        <v>2077</v>
      </c>
      <c r="N144" s="208" t="s">
        <v>2415</v>
      </c>
      <c r="O144" s="30" t="s">
        <v>2416</v>
      </c>
      <c r="P144" s="30" t="str">
        <f t="shared" ref="P144:Q144" si="142">D144</f>
        <v xml:space="preserve">PROSES LEM ASSEMBLY </v>
      </c>
      <c r="Q144" s="30" t="str">
        <f t="shared" si="142"/>
        <v>2CP</v>
      </c>
      <c r="R144" s="209" t="s">
        <v>23</v>
      </c>
      <c r="S144" s="209" t="s">
        <v>252</v>
      </c>
      <c r="T144" s="30">
        <v>85</v>
      </c>
      <c r="U144" s="208" t="s">
        <v>24</v>
      </c>
      <c r="V144" s="30">
        <v>1</v>
      </c>
      <c r="W144" s="30" t="s">
        <v>2417</v>
      </c>
      <c r="X144" s="30" t="s">
        <v>1924</v>
      </c>
      <c r="Y144" s="30" t="s">
        <v>2073</v>
      </c>
      <c r="Z144" s="30" t="s">
        <v>2073</v>
      </c>
      <c r="AA144" s="30" t="s">
        <v>2073</v>
      </c>
      <c r="AB144" s="30" t="s">
        <v>1924</v>
      </c>
      <c r="AC144" s="208" t="s">
        <v>2415</v>
      </c>
      <c r="AD144" s="30" t="s">
        <v>2416</v>
      </c>
      <c r="AE144" s="69" t="s">
        <v>646</v>
      </c>
      <c r="AF144" s="30" t="s">
        <v>2418</v>
      </c>
      <c r="AG144" s="30" t="s">
        <v>2419</v>
      </c>
      <c r="AH144" s="30" t="s">
        <v>2420</v>
      </c>
      <c r="AI144" s="30" t="s">
        <v>2421</v>
      </c>
      <c r="AJ144" s="30" t="s">
        <v>2422</v>
      </c>
      <c r="AK144" s="30" t="s">
        <v>2416</v>
      </c>
      <c r="AL144" s="30" t="s">
        <v>2077</v>
      </c>
      <c r="AM144" s="30" t="s">
        <v>2077</v>
      </c>
      <c r="AN144" s="30" t="s">
        <v>2077</v>
      </c>
      <c r="AO144" s="30" t="s">
        <v>2077</v>
      </c>
      <c r="AP144" s="30" t="s">
        <v>2077</v>
      </c>
      <c r="AQ144" s="30" t="s">
        <v>2077</v>
      </c>
      <c r="AR144" s="30" t="s">
        <v>2418</v>
      </c>
      <c r="AS144" s="30" t="s">
        <v>2419</v>
      </c>
      <c r="AT144" s="30" t="s">
        <v>2420</v>
      </c>
      <c r="AU144" s="30" t="s">
        <v>2421</v>
      </c>
      <c r="AV144" s="30" t="s">
        <v>2422</v>
      </c>
      <c r="AW144" s="30" t="s">
        <v>2416</v>
      </c>
      <c r="AX144" s="30" t="s">
        <v>2073</v>
      </c>
      <c r="AY144" s="30" t="s">
        <v>2073</v>
      </c>
      <c r="AZ144" s="30" t="s">
        <v>2073</v>
      </c>
      <c r="BA144" s="30" t="s">
        <v>2073</v>
      </c>
      <c r="BB144" s="30" t="s">
        <v>2073</v>
      </c>
      <c r="BC144" s="30" t="s">
        <v>2073</v>
      </c>
    </row>
    <row r="145" spans="1:55" ht="15.75" customHeight="1">
      <c r="A145" s="30">
        <v>2000</v>
      </c>
      <c r="B145" s="7" t="s">
        <v>649</v>
      </c>
      <c r="C145" s="208" t="s">
        <v>2412</v>
      </c>
      <c r="D145" s="30" t="s">
        <v>648</v>
      </c>
      <c r="E145" s="30" t="s">
        <v>620</v>
      </c>
      <c r="F145" s="208" t="s">
        <v>2413</v>
      </c>
      <c r="G145" s="30" t="s">
        <v>2414</v>
      </c>
      <c r="H145" s="30" t="s">
        <v>2077</v>
      </c>
      <c r="I145" s="30" t="s">
        <v>2077</v>
      </c>
      <c r="J145" s="30" t="s">
        <v>2077</v>
      </c>
      <c r="K145" s="30" t="s">
        <v>2077</v>
      </c>
      <c r="L145" s="30" t="s">
        <v>2077</v>
      </c>
      <c r="M145" s="30" t="s">
        <v>2077</v>
      </c>
      <c r="N145" s="208" t="s">
        <v>2415</v>
      </c>
      <c r="O145" s="30" t="s">
        <v>2416</v>
      </c>
      <c r="P145" s="30" t="str">
        <f t="shared" ref="P145:Q145" si="143">D145</f>
        <v>PROSES PACKAGING BOX SET CASE GOODS</v>
      </c>
      <c r="Q145" s="30" t="str">
        <f t="shared" si="143"/>
        <v>2CP</v>
      </c>
      <c r="R145" s="209" t="s">
        <v>23</v>
      </c>
      <c r="S145" s="209" t="s">
        <v>252</v>
      </c>
      <c r="T145" s="30">
        <v>85</v>
      </c>
      <c r="U145" s="208" t="s">
        <v>24</v>
      </c>
      <c r="V145" s="30">
        <v>1</v>
      </c>
      <c r="W145" s="30" t="s">
        <v>2417</v>
      </c>
      <c r="X145" s="30" t="s">
        <v>1924</v>
      </c>
      <c r="Y145" s="30" t="s">
        <v>2073</v>
      </c>
      <c r="Z145" s="30" t="s">
        <v>2073</v>
      </c>
      <c r="AA145" s="30" t="s">
        <v>2073</v>
      </c>
      <c r="AB145" s="30" t="s">
        <v>1924</v>
      </c>
      <c r="AC145" s="208" t="s">
        <v>2415</v>
      </c>
      <c r="AD145" s="30" t="s">
        <v>2416</v>
      </c>
      <c r="AE145" s="69" t="s">
        <v>650</v>
      </c>
      <c r="AF145" s="30" t="s">
        <v>2418</v>
      </c>
      <c r="AG145" s="30" t="s">
        <v>2419</v>
      </c>
      <c r="AH145" s="30" t="s">
        <v>2420</v>
      </c>
      <c r="AI145" s="30" t="s">
        <v>2421</v>
      </c>
      <c r="AJ145" s="30" t="s">
        <v>2422</v>
      </c>
      <c r="AK145" s="30" t="s">
        <v>2416</v>
      </c>
      <c r="AL145" s="30" t="s">
        <v>2077</v>
      </c>
      <c r="AM145" s="30" t="s">
        <v>2077</v>
      </c>
      <c r="AN145" s="30" t="s">
        <v>2077</v>
      </c>
      <c r="AO145" s="30" t="s">
        <v>2077</v>
      </c>
      <c r="AP145" s="30" t="s">
        <v>2077</v>
      </c>
      <c r="AQ145" s="30" t="s">
        <v>2077</v>
      </c>
      <c r="AR145" s="30" t="s">
        <v>2418</v>
      </c>
      <c r="AS145" s="30" t="s">
        <v>2419</v>
      </c>
      <c r="AT145" s="30" t="s">
        <v>2420</v>
      </c>
      <c r="AU145" s="30" t="s">
        <v>2421</v>
      </c>
      <c r="AV145" s="30" t="s">
        <v>2422</v>
      </c>
      <c r="AW145" s="30" t="s">
        <v>2416</v>
      </c>
      <c r="AX145" s="30" t="s">
        <v>2073</v>
      </c>
      <c r="AY145" s="30" t="s">
        <v>2073</v>
      </c>
      <c r="AZ145" s="30" t="s">
        <v>2073</v>
      </c>
      <c r="BA145" s="30" t="s">
        <v>2073</v>
      </c>
      <c r="BB145" s="30" t="s">
        <v>2073</v>
      </c>
      <c r="BC145" s="30" t="s">
        <v>2073</v>
      </c>
    </row>
    <row r="146" spans="1:55" ht="15.75" customHeight="1">
      <c r="A146" s="13">
        <v>2000</v>
      </c>
      <c r="B146" s="7" t="s">
        <v>654</v>
      </c>
      <c r="C146" s="211" t="s">
        <v>2412</v>
      </c>
      <c r="D146" s="13" t="s">
        <v>653</v>
      </c>
      <c r="E146" s="13" t="s">
        <v>657</v>
      </c>
      <c r="F146" s="211" t="s">
        <v>2413</v>
      </c>
      <c r="G146" s="13" t="s">
        <v>2414</v>
      </c>
      <c r="H146" s="13" t="s">
        <v>2077</v>
      </c>
      <c r="I146" s="13" t="s">
        <v>2077</v>
      </c>
      <c r="J146" s="13" t="s">
        <v>2077</v>
      </c>
      <c r="K146" s="13" t="s">
        <v>2077</v>
      </c>
      <c r="L146" s="13" t="s">
        <v>2077</v>
      </c>
      <c r="M146" s="13" t="s">
        <v>2077</v>
      </c>
      <c r="N146" s="211" t="s">
        <v>2415</v>
      </c>
      <c r="O146" s="13" t="s">
        <v>2416</v>
      </c>
      <c r="P146" s="69" t="str">
        <f t="shared" ref="P146:Q146" si="144">D146</f>
        <v>MANUAL  SOLID</v>
      </c>
      <c r="Q146" s="13" t="str">
        <f t="shared" si="144"/>
        <v>2GA</v>
      </c>
      <c r="R146" s="212" t="s">
        <v>23</v>
      </c>
      <c r="S146" s="212" t="s">
        <v>23</v>
      </c>
      <c r="T146" s="13">
        <v>85</v>
      </c>
      <c r="U146" s="211" t="s">
        <v>134</v>
      </c>
      <c r="V146" s="13">
        <v>1</v>
      </c>
      <c r="W146" s="13" t="s">
        <v>2417</v>
      </c>
      <c r="X146" s="13" t="s">
        <v>1924</v>
      </c>
      <c r="Y146" s="13" t="s">
        <v>2073</v>
      </c>
      <c r="Z146" s="13" t="s">
        <v>2073</v>
      </c>
      <c r="AA146" s="13" t="s">
        <v>2073</v>
      </c>
      <c r="AB146" s="13" t="s">
        <v>1924</v>
      </c>
      <c r="AC146" s="211" t="s">
        <v>2415</v>
      </c>
      <c r="AD146" s="13" t="s">
        <v>2416</v>
      </c>
      <c r="AE146" s="69" t="s">
        <v>655</v>
      </c>
      <c r="AF146" s="13" t="s">
        <v>2418</v>
      </c>
      <c r="AG146" s="13" t="s">
        <v>2419</v>
      </c>
      <c r="AH146" s="13" t="s">
        <v>2420</v>
      </c>
      <c r="AI146" s="13" t="s">
        <v>2421</v>
      </c>
      <c r="AJ146" s="13" t="s">
        <v>2422</v>
      </c>
      <c r="AK146" s="13" t="s">
        <v>2416</v>
      </c>
      <c r="AL146" s="13" t="s">
        <v>2077</v>
      </c>
      <c r="AM146" s="13" t="s">
        <v>2077</v>
      </c>
      <c r="AN146" s="13" t="s">
        <v>2077</v>
      </c>
      <c r="AO146" s="13" t="s">
        <v>2077</v>
      </c>
      <c r="AP146" s="13" t="s">
        <v>2077</v>
      </c>
      <c r="AQ146" s="13" t="s">
        <v>2077</v>
      </c>
      <c r="AR146" s="13" t="s">
        <v>2418</v>
      </c>
      <c r="AS146" s="13" t="s">
        <v>2419</v>
      </c>
      <c r="AT146" s="13" t="s">
        <v>2420</v>
      </c>
      <c r="AU146" s="13" t="s">
        <v>2421</v>
      </c>
      <c r="AV146" s="13" t="s">
        <v>2422</v>
      </c>
      <c r="AW146" s="13" t="s">
        <v>2416</v>
      </c>
      <c r="AX146" s="13" t="s">
        <v>2073</v>
      </c>
      <c r="AY146" s="13" t="s">
        <v>2073</v>
      </c>
      <c r="AZ146" s="13" t="s">
        <v>2073</v>
      </c>
      <c r="BA146" s="13" t="s">
        <v>2073</v>
      </c>
      <c r="BB146" s="13" t="s">
        <v>2073</v>
      </c>
      <c r="BC146" s="13" t="s">
        <v>2073</v>
      </c>
    </row>
    <row r="147" spans="1:55" ht="15.75" customHeight="1">
      <c r="A147" s="30">
        <v>2000</v>
      </c>
      <c r="B147" s="7" t="s">
        <v>660</v>
      </c>
      <c r="C147" s="208" t="s">
        <v>2412</v>
      </c>
      <c r="D147" s="30" t="s">
        <v>659</v>
      </c>
      <c r="E147" s="30" t="s">
        <v>657</v>
      </c>
      <c r="F147" s="208" t="s">
        <v>2413</v>
      </c>
      <c r="G147" s="30" t="s">
        <v>2414</v>
      </c>
      <c r="H147" s="30" t="s">
        <v>2077</v>
      </c>
      <c r="I147" s="30" t="s">
        <v>2077</v>
      </c>
      <c r="J147" s="30" t="s">
        <v>2077</v>
      </c>
      <c r="K147" s="30" t="s">
        <v>2077</v>
      </c>
      <c r="L147" s="30" t="s">
        <v>2077</v>
      </c>
      <c r="M147" s="30" t="s">
        <v>2077</v>
      </c>
      <c r="N147" s="208" t="s">
        <v>2415</v>
      </c>
      <c r="O147" s="30" t="s">
        <v>2416</v>
      </c>
      <c r="P147" s="30" t="str">
        <f t="shared" ref="P147:Q147" si="145">D147</f>
        <v>CNC BALESTRINI IDEA POWER 300 ( IDEA 1 )</v>
      </c>
      <c r="Q147" s="30" t="str">
        <f t="shared" si="145"/>
        <v>2GA</v>
      </c>
      <c r="R147" s="209" t="s">
        <v>23</v>
      </c>
      <c r="S147" s="209" t="s">
        <v>23</v>
      </c>
      <c r="T147" s="30">
        <v>85</v>
      </c>
      <c r="U147" s="208" t="s">
        <v>134</v>
      </c>
      <c r="V147" s="30">
        <v>1</v>
      </c>
      <c r="W147" s="30" t="s">
        <v>2417</v>
      </c>
      <c r="X147" s="30" t="s">
        <v>1924</v>
      </c>
      <c r="Y147" s="30" t="s">
        <v>2073</v>
      </c>
      <c r="Z147" s="30" t="s">
        <v>2073</v>
      </c>
      <c r="AA147" s="30" t="s">
        <v>2073</v>
      </c>
      <c r="AB147" s="30" t="s">
        <v>1924</v>
      </c>
      <c r="AC147" s="208" t="s">
        <v>2415</v>
      </c>
      <c r="AD147" s="30" t="s">
        <v>2416</v>
      </c>
      <c r="AE147" s="69" t="s">
        <v>661</v>
      </c>
      <c r="AF147" s="30" t="s">
        <v>2418</v>
      </c>
      <c r="AG147" s="30" t="s">
        <v>2419</v>
      </c>
      <c r="AH147" s="30" t="s">
        <v>2420</v>
      </c>
      <c r="AI147" s="30" t="s">
        <v>2421</v>
      </c>
      <c r="AJ147" s="30" t="s">
        <v>2422</v>
      </c>
      <c r="AK147" s="30" t="s">
        <v>2416</v>
      </c>
      <c r="AL147" s="30" t="s">
        <v>2077</v>
      </c>
      <c r="AM147" s="30" t="s">
        <v>2077</v>
      </c>
      <c r="AN147" s="30" t="s">
        <v>2077</v>
      </c>
      <c r="AO147" s="30" t="s">
        <v>2077</v>
      </c>
      <c r="AP147" s="30" t="s">
        <v>2077</v>
      </c>
      <c r="AQ147" s="30" t="s">
        <v>2077</v>
      </c>
      <c r="AR147" s="30" t="s">
        <v>2418</v>
      </c>
      <c r="AS147" s="30" t="s">
        <v>2419</v>
      </c>
      <c r="AT147" s="30" t="s">
        <v>2420</v>
      </c>
      <c r="AU147" s="30" t="s">
        <v>2421</v>
      </c>
      <c r="AV147" s="30" t="s">
        <v>2422</v>
      </c>
      <c r="AW147" s="30" t="s">
        <v>2416</v>
      </c>
      <c r="AX147" s="30" t="s">
        <v>2073</v>
      </c>
      <c r="AY147" s="30" t="s">
        <v>2073</v>
      </c>
      <c r="AZ147" s="30" t="s">
        <v>2073</v>
      </c>
      <c r="BA147" s="30" t="s">
        <v>2073</v>
      </c>
      <c r="BB147" s="30" t="s">
        <v>2073</v>
      </c>
      <c r="BC147" s="30" t="s">
        <v>2073</v>
      </c>
    </row>
    <row r="148" spans="1:55" ht="15.75" customHeight="1">
      <c r="A148" s="30">
        <v>2000</v>
      </c>
      <c r="B148" s="7" t="s">
        <v>664</v>
      </c>
      <c r="C148" s="208" t="s">
        <v>2412</v>
      </c>
      <c r="D148" s="30" t="s">
        <v>663</v>
      </c>
      <c r="E148" s="30" t="s">
        <v>657</v>
      </c>
      <c r="F148" s="208" t="s">
        <v>2413</v>
      </c>
      <c r="G148" s="30" t="s">
        <v>2414</v>
      </c>
      <c r="H148" s="30" t="s">
        <v>2077</v>
      </c>
      <c r="I148" s="30" t="s">
        <v>2077</v>
      </c>
      <c r="J148" s="30" t="s">
        <v>2077</v>
      </c>
      <c r="K148" s="30" t="s">
        <v>2077</v>
      </c>
      <c r="L148" s="30" t="s">
        <v>2077</v>
      </c>
      <c r="M148" s="30" t="s">
        <v>2077</v>
      </c>
      <c r="N148" s="208" t="s">
        <v>2415</v>
      </c>
      <c r="O148" s="30" t="s">
        <v>2416</v>
      </c>
      <c r="P148" s="30" t="str">
        <f t="shared" ref="P148:Q148" si="146">D148</f>
        <v>CNC KITAKO MFG 1152 ( CNC KITAKO )</v>
      </c>
      <c r="Q148" s="30" t="str">
        <f t="shared" si="146"/>
        <v>2GA</v>
      </c>
      <c r="R148" s="209" t="s">
        <v>23</v>
      </c>
      <c r="S148" s="209" t="s">
        <v>23</v>
      </c>
      <c r="T148" s="30">
        <v>85</v>
      </c>
      <c r="U148" s="208" t="s">
        <v>134</v>
      </c>
      <c r="V148" s="30">
        <v>1</v>
      </c>
      <c r="W148" s="30" t="s">
        <v>2417</v>
      </c>
      <c r="X148" s="30" t="s">
        <v>1924</v>
      </c>
      <c r="Y148" s="30" t="s">
        <v>2073</v>
      </c>
      <c r="Z148" s="30" t="s">
        <v>2073</v>
      </c>
      <c r="AA148" s="30" t="s">
        <v>2073</v>
      </c>
      <c r="AB148" s="30" t="s">
        <v>1924</v>
      </c>
      <c r="AC148" s="208" t="s">
        <v>2415</v>
      </c>
      <c r="AD148" s="30" t="s">
        <v>2416</v>
      </c>
      <c r="AE148" s="69" t="s">
        <v>665</v>
      </c>
      <c r="AF148" s="30" t="s">
        <v>2418</v>
      </c>
      <c r="AG148" s="30" t="s">
        <v>2419</v>
      </c>
      <c r="AH148" s="30" t="s">
        <v>2420</v>
      </c>
      <c r="AI148" s="30" t="s">
        <v>2421</v>
      </c>
      <c r="AJ148" s="30" t="s">
        <v>2422</v>
      </c>
      <c r="AK148" s="30" t="s">
        <v>2416</v>
      </c>
      <c r="AL148" s="30" t="s">
        <v>2077</v>
      </c>
      <c r="AM148" s="30" t="s">
        <v>2077</v>
      </c>
      <c r="AN148" s="30" t="s">
        <v>2077</v>
      </c>
      <c r="AO148" s="30" t="s">
        <v>2077</v>
      </c>
      <c r="AP148" s="30" t="s">
        <v>2077</v>
      </c>
      <c r="AQ148" s="30" t="s">
        <v>2077</v>
      </c>
      <c r="AR148" s="30" t="s">
        <v>2418</v>
      </c>
      <c r="AS148" s="30" t="s">
        <v>2419</v>
      </c>
      <c r="AT148" s="30" t="s">
        <v>2420</v>
      </c>
      <c r="AU148" s="30" t="s">
        <v>2421</v>
      </c>
      <c r="AV148" s="30" t="s">
        <v>2422</v>
      </c>
      <c r="AW148" s="30" t="s">
        <v>2416</v>
      </c>
      <c r="AX148" s="30" t="s">
        <v>2073</v>
      </c>
      <c r="AY148" s="30" t="s">
        <v>2073</v>
      </c>
      <c r="AZ148" s="30" t="s">
        <v>2073</v>
      </c>
      <c r="BA148" s="30" t="s">
        <v>2073</v>
      </c>
      <c r="BB148" s="30" t="s">
        <v>2073</v>
      </c>
      <c r="BC148" s="30" t="s">
        <v>2073</v>
      </c>
    </row>
    <row r="149" spans="1:55" ht="15.75" customHeight="1">
      <c r="A149" s="30">
        <v>2000</v>
      </c>
      <c r="B149" s="7" t="s">
        <v>668</v>
      </c>
      <c r="C149" s="208" t="s">
        <v>2412</v>
      </c>
      <c r="D149" s="30" t="s">
        <v>667</v>
      </c>
      <c r="E149" s="30" t="s">
        <v>657</v>
      </c>
      <c r="F149" s="208" t="s">
        <v>2413</v>
      </c>
      <c r="G149" s="30" t="s">
        <v>2414</v>
      </c>
      <c r="H149" s="30" t="s">
        <v>2077</v>
      </c>
      <c r="I149" s="30" t="s">
        <v>2077</v>
      </c>
      <c r="J149" s="30" t="s">
        <v>2077</v>
      </c>
      <c r="K149" s="30" t="s">
        <v>2077</v>
      </c>
      <c r="L149" s="30" t="s">
        <v>2077</v>
      </c>
      <c r="M149" s="30" t="s">
        <v>2077</v>
      </c>
      <c r="N149" s="208" t="s">
        <v>2415</v>
      </c>
      <c r="O149" s="30" t="s">
        <v>2416</v>
      </c>
      <c r="P149" s="30" t="str">
        <f t="shared" ref="P149:Q149" si="147">D149</f>
        <v>CNC KITAKO VF-05065 MP.0567 ( KITAKO 2 )</v>
      </c>
      <c r="Q149" s="30" t="str">
        <f t="shared" si="147"/>
        <v>2GA</v>
      </c>
      <c r="R149" s="209" t="s">
        <v>23</v>
      </c>
      <c r="S149" s="209" t="s">
        <v>23</v>
      </c>
      <c r="T149" s="30">
        <v>85</v>
      </c>
      <c r="U149" s="208" t="s">
        <v>134</v>
      </c>
      <c r="V149" s="30">
        <v>1</v>
      </c>
      <c r="W149" s="30" t="s">
        <v>2417</v>
      </c>
      <c r="X149" s="30" t="s">
        <v>1924</v>
      </c>
      <c r="Y149" s="30" t="s">
        <v>2073</v>
      </c>
      <c r="Z149" s="30" t="s">
        <v>2073</v>
      </c>
      <c r="AA149" s="30" t="s">
        <v>2073</v>
      </c>
      <c r="AB149" s="30" t="s">
        <v>1924</v>
      </c>
      <c r="AC149" s="208" t="s">
        <v>2415</v>
      </c>
      <c r="AD149" s="30" t="s">
        <v>2416</v>
      </c>
      <c r="AE149" s="69" t="s">
        <v>669</v>
      </c>
      <c r="AF149" s="30" t="s">
        <v>2418</v>
      </c>
      <c r="AG149" s="30" t="s">
        <v>2419</v>
      </c>
      <c r="AH149" s="30" t="s">
        <v>2420</v>
      </c>
      <c r="AI149" s="30" t="s">
        <v>2421</v>
      </c>
      <c r="AJ149" s="30" t="s">
        <v>2422</v>
      </c>
      <c r="AK149" s="30" t="s">
        <v>2416</v>
      </c>
      <c r="AL149" s="30" t="s">
        <v>2077</v>
      </c>
      <c r="AM149" s="30" t="s">
        <v>2077</v>
      </c>
      <c r="AN149" s="30" t="s">
        <v>2077</v>
      </c>
      <c r="AO149" s="30" t="s">
        <v>2077</v>
      </c>
      <c r="AP149" s="30" t="s">
        <v>2077</v>
      </c>
      <c r="AQ149" s="30" t="s">
        <v>2077</v>
      </c>
      <c r="AR149" s="30" t="s">
        <v>2418</v>
      </c>
      <c r="AS149" s="30" t="s">
        <v>2419</v>
      </c>
      <c r="AT149" s="30" t="s">
        <v>2420</v>
      </c>
      <c r="AU149" s="30" t="s">
        <v>2421</v>
      </c>
      <c r="AV149" s="30" t="s">
        <v>2422</v>
      </c>
      <c r="AW149" s="30" t="s">
        <v>2416</v>
      </c>
      <c r="AX149" s="30" t="s">
        <v>2073</v>
      </c>
      <c r="AY149" s="30" t="s">
        <v>2073</v>
      </c>
      <c r="AZ149" s="30" t="s">
        <v>2073</v>
      </c>
      <c r="BA149" s="30" t="s">
        <v>2073</v>
      </c>
      <c r="BB149" s="30" t="s">
        <v>2073</v>
      </c>
      <c r="BC149" s="30" t="s">
        <v>2073</v>
      </c>
    </row>
    <row r="150" spans="1:55" ht="15.75" customHeight="1">
      <c r="A150" s="30">
        <v>2000</v>
      </c>
      <c r="B150" s="7" t="s">
        <v>672</v>
      </c>
      <c r="C150" s="208" t="s">
        <v>2412</v>
      </c>
      <c r="D150" s="30" t="s">
        <v>671</v>
      </c>
      <c r="E150" s="30" t="s">
        <v>657</v>
      </c>
      <c r="F150" s="208" t="s">
        <v>2413</v>
      </c>
      <c r="G150" s="30" t="s">
        <v>2414</v>
      </c>
      <c r="H150" s="30" t="s">
        <v>2077</v>
      </c>
      <c r="I150" s="30" t="s">
        <v>2077</v>
      </c>
      <c r="J150" s="30" t="s">
        <v>2077</v>
      </c>
      <c r="K150" s="30" t="s">
        <v>2077</v>
      </c>
      <c r="L150" s="30" t="s">
        <v>2077</v>
      </c>
      <c r="M150" s="30" t="s">
        <v>2077</v>
      </c>
      <c r="N150" s="208" t="s">
        <v>2415</v>
      </c>
      <c r="O150" s="30" t="s">
        <v>2416</v>
      </c>
      <c r="P150" s="30" t="str">
        <f t="shared" ref="P150:Q150" si="148">D150</f>
        <v>CNC ROUTER HEIAN ER 431P ( CNC ER431 )</v>
      </c>
      <c r="Q150" s="30" t="str">
        <f t="shared" si="148"/>
        <v>2GA</v>
      </c>
      <c r="R150" s="209" t="s">
        <v>23</v>
      </c>
      <c r="S150" s="209" t="s">
        <v>23</v>
      </c>
      <c r="T150" s="30">
        <v>85</v>
      </c>
      <c r="U150" s="208" t="s">
        <v>134</v>
      </c>
      <c r="V150" s="30">
        <v>1</v>
      </c>
      <c r="W150" s="30" t="s">
        <v>2417</v>
      </c>
      <c r="X150" s="30" t="s">
        <v>1924</v>
      </c>
      <c r="Y150" s="30" t="s">
        <v>2073</v>
      </c>
      <c r="Z150" s="30" t="s">
        <v>2073</v>
      </c>
      <c r="AA150" s="30" t="s">
        <v>2073</v>
      </c>
      <c r="AB150" s="30" t="s">
        <v>1924</v>
      </c>
      <c r="AC150" s="208" t="s">
        <v>2415</v>
      </c>
      <c r="AD150" s="30" t="s">
        <v>2416</v>
      </c>
      <c r="AE150" s="69" t="s">
        <v>673</v>
      </c>
      <c r="AF150" s="30" t="s">
        <v>2418</v>
      </c>
      <c r="AG150" s="30" t="s">
        <v>2419</v>
      </c>
      <c r="AH150" s="30" t="s">
        <v>2420</v>
      </c>
      <c r="AI150" s="30" t="s">
        <v>2421</v>
      </c>
      <c r="AJ150" s="30" t="s">
        <v>2422</v>
      </c>
      <c r="AK150" s="30" t="s">
        <v>2416</v>
      </c>
      <c r="AL150" s="30" t="s">
        <v>2077</v>
      </c>
      <c r="AM150" s="30" t="s">
        <v>2077</v>
      </c>
      <c r="AN150" s="30" t="s">
        <v>2077</v>
      </c>
      <c r="AO150" s="30" t="s">
        <v>2077</v>
      </c>
      <c r="AP150" s="30" t="s">
        <v>2077</v>
      </c>
      <c r="AQ150" s="30" t="s">
        <v>2077</v>
      </c>
      <c r="AR150" s="30" t="s">
        <v>2418</v>
      </c>
      <c r="AS150" s="30" t="s">
        <v>2419</v>
      </c>
      <c r="AT150" s="30" t="s">
        <v>2420</v>
      </c>
      <c r="AU150" s="30" t="s">
        <v>2421</v>
      </c>
      <c r="AV150" s="30" t="s">
        <v>2422</v>
      </c>
      <c r="AW150" s="30" t="s">
        <v>2416</v>
      </c>
      <c r="AX150" s="30" t="s">
        <v>2073</v>
      </c>
      <c r="AY150" s="30" t="s">
        <v>2073</v>
      </c>
      <c r="AZ150" s="30" t="s">
        <v>2073</v>
      </c>
      <c r="BA150" s="30" t="s">
        <v>2073</v>
      </c>
      <c r="BB150" s="30" t="s">
        <v>2073</v>
      </c>
      <c r="BC150" s="30" t="s">
        <v>2073</v>
      </c>
    </row>
    <row r="151" spans="1:55" ht="15.75" customHeight="1">
      <c r="A151" s="30">
        <v>2000</v>
      </c>
      <c r="B151" s="7" t="s">
        <v>676</v>
      </c>
      <c r="C151" s="208" t="s">
        <v>2412</v>
      </c>
      <c r="D151" s="30" t="s">
        <v>675</v>
      </c>
      <c r="E151" s="30" t="s">
        <v>657</v>
      </c>
      <c r="F151" s="208" t="s">
        <v>2413</v>
      </c>
      <c r="G151" s="30" t="s">
        <v>2414</v>
      </c>
      <c r="H151" s="30" t="s">
        <v>2077</v>
      </c>
      <c r="I151" s="30" t="s">
        <v>2077</v>
      </c>
      <c r="J151" s="30" t="s">
        <v>2077</v>
      </c>
      <c r="K151" s="30" t="s">
        <v>2077</v>
      </c>
      <c r="L151" s="30" t="s">
        <v>2077</v>
      </c>
      <c r="M151" s="30" t="s">
        <v>2077</v>
      </c>
      <c r="N151" s="208" t="s">
        <v>2415</v>
      </c>
      <c r="O151" s="30" t="s">
        <v>2416</v>
      </c>
      <c r="P151" s="30" t="str">
        <f t="shared" ref="P151:Q151" si="149">D151</f>
        <v>CNC ROUTER HEIAN ER-331P-D3 ( CNC 6 )</v>
      </c>
      <c r="Q151" s="30" t="str">
        <f t="shared" si="149"/>
        <v>2GA</v>
      </c>
      <c r="R151" s="209" t="s">
        <v>23</v>
      </c>
      <c r="S151" s="209" t="s">
        <v>23</v>
      </c>
      <c r="T151" s="30">
        <v>85</v>
      </c>
      <c r="U151" s="208" t="s">
        <v>134</v>
      </c>
      <c r="V151" s="30">
        <v>1</v>
      </c>
      <c r="W151" s="30" t="s">
        <v>2417</v>
      </c>
      <c r="X151" s="30" t="s">
        <v>1924</v>
      </c>
      <c r="Y151" s="30" t="s">
        <v>2073</v>
      </c>
      <c r="Z151" s="30" t="s">
        <v>2073</v>
      </c>
      <c r="AA151" s="30" t="s">
        <v>2073</v>
      </c>
      <c r="AB151" s="30" t="s">
        <v>1924</v>
      </c>
      <c r="AC151" s="208" t="s">
        <v>2415</v>
      </c>
      <c r="AD151" s="30" t="s">
        <v>2416</v>
      </c>
      <c r="AE151" s="69" t="s">
        <v>677</v>
      </c>
      <c r="AF151" s="30" t="s">
        <v>2418</v>
      </c>
      <c r="AG151" s="30" t="s">
        <v>2419</v>
      </c>
      <c r="AH151" s="30" t="s">
        <v>2420</v>
      </c>
      <c r="AI151" s="30" t="s">
        <v>2421</v>
      </c>
      <c r="AJ151" s="30" t="s">
        <v>2422</v>
      </c>
      <c r="AK151" s="30" t="s">
        <v>2416</v>
      </c>
      <c r="AL151" s="30" t="s">
        <v>2077</v>
      </c>
      <c r="AM151" s="30" t="s">
        <v>2077</v>
      </c>
      <c r="AN151" s="30" t="s">
        <v>2077</v>
      </c>
      <c r="AO151" s="30" t="s">
        <v>2077</v>
      </c>
      <c r="AP151" s="30" t="s">
        <v>2077</v>
      </c>
      <c r="AQ151" s="30" t="s">
        <v>2077</v>
      </c>
      <c r="AR151" s="30" t="s">
        <v>2418</v>
      </c>
      <c r="AS151" s="30" t="s">
        <v>2419</v>
      </c>
      <c r="AT151" s="30" t="s">
        <v>2420</v>
      </c>
      <c r="AU151" s="30" t="s">
        <v>2421</v>
      </c>
      <c r="AV151" s="30" t="s">
        <v>2422</v>
      </c>
      <c r="AW151" s="30" t="s">
        <v>2416</v>
      </c>
      <c r="AX151" s="30" t="s">
        <v>2073</v>
      </c>
      <c r="AY151" s="30" t="s">
        <v>2073</v>
      </c>
      <c r="AZ151" s="30" t="s">
        <v>2073</v>
      </c>
      <c r="BA151" s="30" t="s">
        <v>2073</v>
      </c>
      <c r="BB151" s="30" t="s">
        <v>2073</v>
      </c>
      <c r="BC151" s="30" t="s">
        <v>2073</v>
      </c>
    </row>
    <row r="152" spans="1:55" ht="15.75" customHeight="1">
      <c r="A152" s="30">
        <v>2000</v>
      </c>
      <c r="B152" s="7" t="s">
        <v>680</v>
      </c>
      <c r="C152" s="208" t="s">
        <v>2412</v>
      </c>
      <c r="D152" s="30" t="s">
        <v>679</v>
      </c>
      <c r="E152" s="30" t="s">
        <v>657</v>
      </c>
      <c r="F152" s="208" t="s">
        <v>2413</v>
      </c>
      <c r="G152" s="30" t="s">
        <v>2414</v>
      </c>
      <c r="H152" s="30" t="s">
        <v>2077</v>
      </c>
      <c r="I152" s="30" t="s">
        <v>2077</v>
      </c>
      <c r="J152" s="30" t="s">
        <v>2077</v>
      </c>
      <c r="K152" s="30" t="s">
        <v>2077</v>
      </c>
      <c r="L152" s="30" t="s">
        <v>2077</v>
      </c>
      <c r="M152" s="30" t="s">
        <v>2077</v>
      </c>
      <c r="N152" s="208" t="s">
        <v>2415</v>
      </c>
      <c r="O152" s="30" t="s">
        <v>2416</v>
      </c>
      <c r="P152" s="30" t="str">
        <f t="shared" ref="P152:Q152" si="150">D152</f>
        <v>CNC ROUTER HEIAN NC-431PF  MP.0601 ( CNC NC-431P )</v>
      </c>
      <c r="Q152" s="30" t="str">
        <f t="shared" si="150"/>
        <v>2GA</v>
      </c>
      <c r="R152" s="209" t="s">
        <v>23</v>
      </c>
      <c r="S152" s="209" t="s">
        <v>23</v>
      </c>
      <c r="T152" s="30">
        <v>85</v>
      </c>
      <c r="U152" s="208" t="s">
        <v>134</v>
      </c>
      <c r="V152" s="30">
        <v>1</v>
      </c>
      <c r="W152" s="30" t="s">
        <v>2417</v>
      </c>
      <c r="X152" s="30" t="s">
        <v>1924</v>
      </c>
      <c r="Y152" s="30" t="s">
        <v>2073</v>
      </c>
      <c r="Z152" s="30" t="s">
        <v>2073</v>
      </c>
      <c r="AA152" s="30" t="s">
        <v>2073</v>
      </c>
      <c r="AB152" s="30" t="s">
        <v>1924</v>
      </c>
      <c r="AC152" s="208" t="s">
        <v>2415</v>
      </c>
      <c r="AD152" s="30" t="s">
        <v>2416</v>
      </c>
      <c r="AE152" s="69" t="s">
        <v>681</v>
      </c>
      <c r="AF152" s="30" t="s">
        <v>2418</v>
      </c>
      <c r="AG152" s="30" t="s">
        <v>2419</v>
      </c>
      <c r="AH152" s="30" t="s">
        <v>2420</v>
      </c>
      <c r="AI152" s="30" t="s">
        <v>2421</v>
      </c>
      <c r="AJ152" s="30" t="s">
        <v>2422</v>
      </c>
      <c r="AK152" s="30" t="s">
        <v>2416</v>
      </c>
      <c r="AL152" s="30" t="s">
        <v>2077</v>
      </c>
      <c r="AM152" s="30" t="s">
        <v>2077</v>
      </c>
      <c r="AN152" s="30" t="s">
        <v>2077</v>
      </c>
      <c r="AO152" s="30" t="s">
        <v>2077</v>
      </c>
      <c r="AP152" s="30" t="s">
        <v>2077</v>
      </c>
      <c r="AQ152" s="30" t="s">
        <v>2077</v>
      </c>
      <c r="AR152" s="30" t="s">
        <v>2418</v>
      </c>
      <c r="AS152" s="30" t="s">
        <v>2419</v>
      </c>
      <c r="AT152" s="30" t="s">
        <v>2420</v>
      </c>
      <c r="AU152" s="30" t="s">
        <v>2421</v>
      </c>
      <c r="AV152" s="30" t="s">
        <v>2422</v>
      </c>
      <c r="AW152" s="30" t="s">
        <v>2416</v>
      </c>
      <c r="AX152" s="30" t="s">
        <v>2073</v>
      </c>
      <c r="AY152" s="30" t="s">
        <v>2073</v>
      </c>
      <c r="AZ152" s="30" t="s">
        <v>2073</v>
      </c>
      <c r="BA152" s="30" t="s">
        <v>2073</v>
      </c>
      <c r="BB152" s="30" t="s">
        <v>2073</v>
      </c>
      <c r="BC152" s="30" t="s">
        <v>2073</v>
      </c>
    </row>
    <row r="153" spans="1:55" ht="15.75" customHeight="1">
      <c r="A153" s="30">
        <v>2000</v>
      </c>
      <c r="B153" s="7" t="s">
        <v>684</v>
      </c>
      <c r="C153" s="208" t="s">
        <v>2412</v>
      </c>
      <c r="D153" s="30" t="s">
        <v>683</v>
      </c>
      <c r="E153" s="30" t="s">
        <v>657</v>
      </c>
      <c r="F153" s="208" t="s">
        <v>2413</v>
      </c>
      <c r="G153" s="30" t="s">
        <v>2414</v>
      </c>
      <c r="H153" s="30" t="s">
        <v>2077</v>
      </c>
      <c r="I153" s="30" t="s">
        <v>2077</v>
      </c>
      <c r="J153" s="30" t="s">
        <v>2077</v>
      </c>
      <c r="K153" s="30" t="s">
        <v>2077</v>
      </c>
      <c r="L153" s="30" t="s">
        <v>2077</v>
      </c>
      <c r="M153" s="30" t="s">
        <v>2077</v>
      </c>
      <c r="N153" s="208" t="s">
        <v>2415</v>
      </c>
      <c r="O153" s="30" t="s">
        <v>2416</v>
      </c>
      <c r="P153" s="30" t="str">
        <f t="shared" ref="P153:Q153" si="151">D153</f>
        <v>CNC ROUTER KIKUKAWA NCT 246</v>
      </c>
      <c r="Q153" s="30" t="str">
        <f t="shared" si="151"/>
        <v>2GA</v>
      </c>
      <c r="R153" s="209" t="s">
        <v>23</v>
      </c>
      <c r="S153" s="209" t="s">
        <v>23</v>
      </c>
      <c r="T153" s="30">
        <v>85</v>
      </c>
      <c r="U153" s="208" t="s">
        <v>134</v>
      </c>
      <c r="V153" s="30">
        <v>1</v>
      </c>
      <c r="W153" s="30" t="s">
        <v>2417</v>
      </c>
      <c r="X153" s="30" t="s">
        <v>1924</v>
      </c>
      <c r="Y153" s="30" t="s">
        <v>2073</v>
      </c>
      <c r="Z153" s="30" t="s">
        <v>2073</v>
      </c>
      <c r="AA153" s="30" t="s">
        <v>2073</v>
      </c>
      <c r="AB153" s="30" t="s">
        <v>1924</v>
      </c>
      <c r="AC153" s="208" t="s">
        <v>2415</v>
      </c>
      <c r="AD153" s="30" t="s">
        <v>2416</v>
      </c>
      <c r="AE153" s="69" t="s">
        <v>685</v>
      </c>
      <c r="AF153" s="30" t="s">
        <v>2418</v>
      </c>
      <c r="AG153" s="30" t="s">
        <v>2419</v>
      </c>
      <c r="AH153" s="30" t="s">
        <v>2420</v>
      </c>
      <c r="AI153" s="30" t="s">
        <v>2421</v>
      </c>
      <c r="AJ153" s="30" t="s">
        <v>2422</v>
      </c>
      <c r="AK153" s="30" t="s">
        <v>2416</v>
      </c>
      <c r="AL153" s="30" t="s">
        <v>2077</v>
      </c>
      <c r="AM153" s="30" t="s">
        <v>2077</v>
      </c>
      <c r="AN153" s="30" t="s">
        <v>2077</v>
      </c>
      <c r="AO153" s="30" t="s">
        <v>2077</v>
      </c>
      <c r="AP153" s="30" t="s">
        <v>2077</v>
      </c>
      <c r="AQ153" s="30" t="s">
        <v>2077</v>
      </c>
      <c r="AR153" s="30" t="s">
        <v>2418</v>
      </c>
      <c r="AS153" s="30" t="s">
        <v>2419</v>
      </c>
      <c r="AT153" s="30" t="s">
        <v>2420</v>
      </c>
      <c r="AU153" s="30" t="s">
        <v>2421</v>
      </c>
      <c r="AV153" s="30" t="s">
        <v>2422</v>
      </c>
      <c r="AW153" s="30" t="s">
        <v>2416</v>
      </c>
      <c r="AX153" s="30" t="s">
        <v>2073</v>
      </c>
      <c r="AY153" s="30" t="s">
        <v>2073</v>
      </c>
      <c r="AZ153" s="30" t="s">
        <v>2073</v>
      </c>
      <c r="BA153" s="30" t="s">
        <v>2073</v>
      </c>
      <c r="BB153" s="30" t="s">
        <v>2073</v>
      </c>
      <c r="BC153" s="30" t="s">
        <v>2073</v>
      </c>
    </row>
    <row r="154" spans="1:55" ht="15.75" customHeight="1">
      <c r="A154" s="13">
        <v>2000</v>
      </c>
      <c r="B154" s="7" t="s">
        <v>688</v>
      </c>
      <c r="C154" s="211" t="s">
        <v>2412</v>
      </c>
      <c r="D154" s="13" t="s">
        <v>687</v>
      </c>
      <c r="E154" s="13" t="s">
        <v>657</v>
      </c>
      <c r="F154" s="211" t="s">
        <v>2413</v>
      </c>
      <c r="G154" s="13" t="s">
        <v>2414</v>
      </c>
      <c r="H154" s="13" t="s">
        <v>2077</v>
      </c>
      <c r="I154" s="13" t="s">
        <v>2077</v>
      </c>
      <c r="J154" s="13" t="s">
        <v>2077</v>
      </c>
      <c r="K154" s="13" t="s">
        <v>2077</v>
      </c>
      <c r="L154" s="13" t="s">
        <v>2077</v>
      </c>
      <c r="M154" s="13" t="s">
        <v>2077</v>
      </c>
      <c r="N154" s="211" t="s">
        <v>2415</v>
      </c>
      <c r="O154" s="13" t="s">
        <v>2416</v>
      </c>
      <c r="P154" s="69" t="str">
        <f t="shared" ref="P154:Q154" si="152">D154</f>
        <v>CNC HEIAN ER 331P</v>
      </c>
      <c r="Q154" s="13" t="str">
        <f t="shared" si="152"/>
        <v>2GA</v>
      </c>
      <c r="R154" s="212" t="s">
        <v>23</v>
      </c>
      <c r="S154" s="212" t="s">
        <v>23</v>
      </c>
      <c r="T154" s="13">
        <v>85</v>
      </c>
      <c r="U154" s="211" t="s">
        <v>134</v>
      </c>
      <c r="V154" s="13">
        <v>1</v>
      </c>
      <c r="W154" s="13" t="s">
        <v>2417</v>
      </c>
      <c r="X154" s="13" t="s">
        <v>1924</v>
      </c>
      <c r="Y154" s="13" t="s">
        <v>2073</v>
      </c>
      <c r="Z154" s="13" t="s">
        <v>2073</v>
      </c>
      <c r="AA154" s="13" t="s">
        <v>2073</v>
      </c>
      <c r="AB154" s="13" t="s">
        <v>1924</v>
      </c>
      <c r="AC154" s="211" t="s">
        <v>2415</v>
      </c>
      <c r="AD154" s="13" t="s">
        <v>2416</v>
      </c>
      <c r="AE154" s="69">
        <v>1111061109</v>
      </c>
      <c r="AF154" s="13" t="s">
        <v>2418</v>
      </c>
      <c r="AG154" s="13" t="s">
        <v>2419</v>
      </c>
      <c r="AH154" s="13" t="s">
        <v>2420</v>
      </c>
      <c r="AI154" s="13" t="s">
        <v>2421</v>
      </c>
      <c r="AJ154" s="13" t="s">
        <v>2422</v>
      </c>
      <c r="AK154" s="13" t="s">
        <v>2416</v>
      </c>
      <c r="AL154" s="13" t="s">
        <v>2077</v>
      </c>
      <c r="AM154" s="13" t="s">
        <v>2077</v>
      </c>
      <c r="AN154" s="13" t="s">
        <v>2077</v>
      </c>
      <c r="AO154" s="13" t="s">
        <v>2077</v>
      </c>
      <c r="AP154" s="13" t="s">
        <v>2077</v>
      </c>
      <c r="AQ154" s="13" t="s">
        <v>2077</v>
      </c>
      <c r="AR154" s="13" t="s">
        <v>2418</v>
      </c>
      <c r="AS154" s="13" t="s">
        <v>2419</v>
      </c>
      <c r="AT154" s="13" t="s">
        <v>2420</v>
      </c>
      <c r="AU154" s="13" t="s">
        <v>2421</v>
      </c>
      <c r="AV154" s="13" t="s">
        <v>2422</v>
      </c>
      <c r="AW154" s="13" t="s">
        <v>2416</v>
      </c>
      <c r="AX154" s="13" t="s">
        <v>2073</v>
      </c>
      <c r="AY154" s="13" t="s">
        <v>2073</v>
      </c>
      <c r="AZ154" s="13" t="s">
        <v>2073</v>
      </c>
      <c r="BA154" s="13" t="s">
        <v>2073</v>
      </c>
      <c r="BB154" s="13" t="s">
        <v>2073</v>
      </c>
      <c r="BC154" s="13" t="s">
        <v>2073</v>
      </c>
    </row>
    <row r="155" spans="1:55" ht="15.75" customHeight="1">
      <c r="A155" s="30">
        <v>2000</v>
      </c>
      <c r="B155" s="7" t="s">
        <v>691</v>
      </c>
      <c r="C155" s="208" t="s">
        <v>2412</v>
      </c>
      <c r="D155" s="30" t="s">
        <v>690</v>
      </c>
      <c r="E155" s="30" t="s">
        <v>657</v>
      </c>
      <c r="F155" s="208" t="s">
        <v>2413</v>
      </c>
      <c r="G155" s="30" t="s">
        <v>2414</v>
      </c>
      <c r="H155" s="30" t="s">
        <v>2077</v>
      </c>
      <c r="I155" s="30" t="s">
        <v>2077</v>
      </c>
      <c r="J155" s="30" t="s">
        <v>2077</v>
      </c>
      <c r="K155" s="30" t="s">
        <v>2077</v>
      </c>
      <c r="L155" s="30" t="s">
        <v>2077</v>
      </c>
      <c r="M155" s="30" t="s">
        <v>2077</v>
      </c>
      <c r="N155" s="208" t="s">
        <v>2415</v>
      </c>
      <c r="O155" s="30" t="s">
        <v>2416</v>
      </c>
      <c r="P155" s="30" t="str">
        <f t="shared" ref="P155:Q155" si="153">D155</f>
        <v>CNC Bacci Master Flat Mast/02</v>
      </c>
      <c r="Q155" s="30" t="str">
        <f t="shared" si="153"/>
        <v>2GA</v>
      </c>
      <c r="R155" s="209" t="s">
        <v>23</v>
      </c>
      <c r="S155" s="209" t="s">
        <v>23</v>
      </c>
      <c r="T155" s="30">
        <v>85</v>
      </c>
      <c r="U155" s="208" t="s">
        <v>134</v>
      </c>
      <c r="V155" s="30">
        <v>1</v>
      </c>
      <c r="W155" s="30" t="s">
        <v>2417</v>
      </c>
      <c r="X155" s="30" t="s">
        <v>1924</v>
      </c>
      <c r="Y155" s="30" t="s">
        <v>2073</v>
      </c>
      <c r="Z155" s="30" t="s">
        <v>2073</v>
      </c>
      <c r="AA155" s="30" t="s">
        <v>2073</v>
      </c>
      <c r="AB155" s="30" t="s">
        <v>1924</v>
      </c>
      <c r="AC155" s="208" t="s">
        <v>2415</v>
      </c>
      <c r="AD155" s="30" t="s">
        <v>2416</v>
      </c>
      <c r="AE155" s="69">
        <v>1111061110</v>
      </c>
      <c r="AF155" s="30" t="s">
        <v>2418</v>
      </c>
      <c r="AG155" s="30" t="s">
        <v>2419</v>
      </c>
      <c r="AH155" s="30" t="s">
        <v>2420</v>
      </c>
      <c r="AI155" s="30" t="s">
        <v>2421</v>
      </c>
      <c r="AJ155" s="30" t="s">
        <v>2422</v>
      </c>
      <c r="AK155" s="30" t="s">
        <v>2416</v>
      </c>
      <c r="AL155" s="30" t="s">
        <v>2077</v>
      </c>
      <c r="AM155" s="30" t="s">
        <v>2077</v>
      </c>
      <c r="AN155" s="30" t="s">
        <v>2077</v>
      </c>
      <c r="AO155" s="30" t="s">
        <v>2077</v>
      </c>
      <c r="AP155" s="30" t="s">
        <v>2077</v>
      </c>
      <c r="AQ155" s="30" t="s">
        <v>2077</v>
      </c>
      <c r="AR155" s="30" t="s">
        <v>2418</v>
      </c>
      <c r="AS155" s="30" t="s">
        <v>2419</v>
      </c>
      <c r="AT155" s="30" t="s">
        <v>2420</v>
      </c>
      <c r="AU155" s="30" t="s">
        <v>2421</v>
      </c>
      <c r="AV155" s="30" t="s">
        <v>2422</v>
      </c>
      <c r="AW155" s="30" t="s">
        <v>2416</v>
      </c>
      <c r="AX155" s="30" t="s">
        <v>2073</v>
      </c>
      <c r="AY155" s="30" t="s">
        <v>2073</v>
      </c>
      <c r="AZ155" s="30" t="s">
        <v>2073</v>
      </c>
      <c r="BA155" s="30" t="s">
        <v>2073</v>
      </c>
      <c r="BB155" s="30" t="s">
        <v>2073</v>
      </c>
      <c r="BC155" s="30" t="s">
        <v>2073</v>
      </c>
    </row>
    <row r="156" spans="1:55" ht="15.75" customHeight="1">
      <c r="A156" s="30">
        <v>2000</v>
      </c>
      <c r="B156" s="7" t="s">
        <v>694</v>
      </c>
      <c r="C156" s="208" t="s">
        <v>2412</v>
      </c>
      <c r="D156" s="30" t="s">
        <v>693</v>
      </c>
      <c r="E156" s="30" t="s">
        <v>657</v>
      </c>
      <c r="F156" s="208" t="s">
        <v>2413</v>
      </c>
      <c r="G156" s="30" t="s">
        <v>2414</v>
      </c>
      <c r="H156" s="30" t="s">
        <v>2077</v>
      </c>
      <c r="I156" s="30" t="s">
        <v>2077</v>
      </c>
      <c r="J156" s="30" t="s">
        <v>2077</v>
      </c>
      <c r="K156" s="30" t="s">
        <v>2077</v>
      </c>
      <c r="L156" s="30" t="s">
        <v>2077</v>
      </c>
      <c r="M156" s="30" t="s">
        <v>2077</v>
      </c>
      <c r="N156" s="208" t="s">
        <v>2415</v>
      </c>
      <c r="O156" s="30" t="s">
        <v>2416</v>
      </c>
      <c r="P156" s="30" t="str">
        <f t="shared" ref="P156:Q156" si="154">D156</f>
        <v>MANUAL PANEL</v>
      </c>
      <c r="Q156" s="30" t="str">
        <f t="shared" si="154"/>
        <v>2GA</v>
      </c>
      <c r="R156" s="209" t="s">
        <v>23</v>
      </c>
      <c r="S156" s="209" t="s">
        <v>23</v>
      </c>
      <c r="T156" s="30">
        <v>85</v>
      </c>
      <c r="U156" s="208" t="s">
        <v>134</v>
      </c>
      <c r="V156" s="30">
        <v>1</v>
      </c>
      <c r="W156" s="30" t="s">
        <v>2417</v>
      </c>
      <c r="X156" s="30" t="s">
        <v>1924</v>
      </c>
      <c r="Y156" s="30" t="s">
        <v>2073</v>
      </c>
      <c r="Z156" s="30" t="s">
        <v>2073</v>
      </c>
      <c r="AA156" s="30" t="s">
        <v>2073</v>
      </c>
      <c r="AB156" s="30" t="s">
        <v>1924</v>
      </c>
      <c r="AC156" s="208" t="s">
        <v>2415</v>
      </c>
      <c r="AD156" s="30" t="s">
        <v>2416</v>
      </c>
      <c r="AE156" s="69" t="s">
        <v>695</v>
      </c>
      <c r="AF156" s="30" t="s">
        <v>2418</v>
      </c>
      <c r="AG156" s="30" t="s">
        <v>2419</v>
      </c>
      <c r="AH156" s="30" t="s">
        <v>2420</v>
      </c>
      <c r="AI156" s="30" t="s">
        <v>2421</v>
      </c>
      <c r="AJ156" s="30" t="s">
        <v>2422</v>
      </c>
      <c r="AK156" s="30" t="s">
        <v>2416</v>
      </c>
      <c r="AL156" s="30" t="s">
        <v>2077</v>
      </c>
      <c r="AM156" s="30" t="s">
        <v>2077</v>
      </c>
      <c r="AN156" s="30" t="s">
        <v>2077</v>
      </c>
      <c r="AO156" s="30" t="s">
        <v>2077</v>
      </c>
      <c r="AP156" s="30" t="s">
        <v>2077</v>
      </c>
      <c r="AQ156" s="30" t="s">
        <v>2077</v>
      </c>
      <c r="AR156" s="30" t="s">
        <v>2418</v>
      </c>
      <c r="AS156" s="30" t="s">
        <v>2419</v>
      </c>
      <c r="AT156" s="30" t="s">
        <v>2420</v>
      </c>
      <c r="AU156" s="30" t="s">
        <v>2421</v>
      </c>
      <c r="AV156" s="30" t="s">
        <v>2422</v>
      </c>
      <c r="AW156" s="30" t="s">
        <v>2416</v>
      </c>
      <c r="AX156" s="30" t="s">
        <v>2073</v>
      </c>
      <c r="AY156" s="30" t="s">
        <v>2073</v>
      </c>
      <c r="AZ156" s="30" t="s">
        <v>2073</v>
      </c>
      <c r="BA156" s="30" t="s">
        <v>2073</v>
      </c>
      <c r="BB156" s="30" t="s">
        <v>2073</v>
      </c>
      <c r="BC156" s="30" t="s">
        <v>2073</v>
      </c>
    </row>
    <row r="157" spans="1:55" ht="15.75" customHeight="1">
      <c r="A157" s="30">
        <v>2000</v>
      </c>
      <c r="B157" s="7" t="s">
        <v>698</v>
      </c>
      <c r="C157" s="208" t="s">
        <v>2412</v>
      </c>
      <c r="D157" s="30" t="s">
        <v>697</v>
      </c>
      <c r="E157" s="30" t="s">
        <v>657</v>
      </c>
      <c r="F157" s="208" t="s">
        <v>2413</v>
      </c>
      <c r="G157" s="30" t="s">
        <v>2414</v>
      </c>
      <c r="H157" s="30" t="s">
        <v>2077</v>
      </c>
      <c r="I157" s="30" t="s">
        <v>2077</v>
      </c>
      <c r="J157" s="30" t="s">
        <v>2077</v>
      </c>
      <c r="K157" s="30" t="s">
        <v>2077</v>
      </c>
      <c r="L157" s="30" t="s">
        <v>2077</v>
      </c>
      <c r="M157" s="30" t="s">
        <v>2077</v>
      </c>
      <c r="N157" s="208" t="s">
        <v>2415</v>
      </c>
      <c r="O157" s="30" t="s">
        <v>2416</v>
      </c>
      <c r="P157" s="30" t="str">
        <f t="shared" ref="P157:Q157" si="155">D157</f>
        <v>CNC ROUTER BULK BID OF SHODA  ( CNC 14 )</v>
      </c>
      <c r="Q157" s="30" t="str">
        <f t="shared" si="155"/>
        <v>2GA</v>
      </c>
      <c r="R157" s="209" t="s">
        <v>23</v>
      </c>
      <c r="S157" s="209" t="s">
        <v>23</v>
      </c>
      <c r="T157" s="30">
        <v>85</v>
      </c>
      <c r="U157" s="208" t="s">
        <v>134</v>
      </c>
      <c r="V157" s="30">
        <v>1</v>
      </c>
      <c r="W157" s="30" t="s">
        <v>2417</v>
      </c>
      <c r="X157" s="30" t="s">
        <v>1924</v>
      </c>
      <c r="Y157" s="30" t="s">
        <v>2073</v>
      </c>
      <c r="Z157" s="30" t="s">
        <v>2073</v>
      </c>
      <c r="AA157" s="30" t="s">
        <v>2073</v>
      </c>
      <c r="AB157" s="30" t="s">
        <v>1924</v>
      </c>
      <c r="AC157" s="208" t="s">
        <v>2415</v>
      </c>
      <c r="AD157" s="30" t="s">
        <v>2416</v>
      </c>
      <c r="AE157" s="69" t="s">
        <v>699</v>
      </c>
      <c r="AF157" s="30" t="s">
        <v>2418</v>
      </c>
      <c r="AG157" s="30" t="s">
        <v>2419</v>
      </c>
      <c r="AH157" s="30" t="s">
        <v>2420</v>
      </c>
      <c r="AI157" s="30" t="s">
        <v>2421</v>
      </c>
      <c r="AJ157" s="30" t="s">
        <v>2422</v>
      </c>
      <c r="AK157" s="30" t="s">
        <v>2416</v>
      </c>
      <c r="AL157" s="30" t="s">
        <v>2077</v>
      </c>
      <c r="AM157" s="30" t="s">
        <v>2077</v>
      </c>
      <c r="AN157" s="30" t="s">
        <v>2077</v>
      </c>
      <c r="AO157" s="30" t="s">
        <v>2077</v>
      </c>
      <c r="AP157" s="30" t="s">
        <v>2077</v>
      </c>
      <c r="AQ157" s="30" t="s">
        <v>2077</v>
      </c>
      <c r="AR157" s="30" t="s">
        <v>2418</v>
      </c>
      <c r="AS157" s="30" t="s">
        <v>2419</v>
      </c>
      <c r="AT157" s="30" t="s">
        <v>2420</v>
      </c>
      <c r="AU157" s="30" t="s">
        <v>2421</v>
      </c>
      <c r="AV157" s="30" t="s">
        <v>2422</v>
      </c>
      <c r="AW157" s="30" t="s">
        <v>2416</v>
      </c>
      <c r="AX157" s="30" t="s">
        <v>2073</v>
      </c>
      <c r="AY157" s="30" t="s">
        <v>2073</v>
      </c>
      <c r="AZ157" s="30" t="s">
        <v>2073</v>
      </c>
      <c r="BA157" s="30" t="s">
        <v>2073</v>
      </c>
      <c r="BB157" s="30" t="s">
        <v>2073</v>
      </c>
      <c r="BC157" s="30" t="s">
        <v>2073</v>
      </c>
    </row>
    <row r="158" spans="1:55" ht="15.75" customHeight="1">
      <c r="A158" s="30">
        <v>2000</v>
      </c>
      <c r="B158" s="7" t="s">
        <v>702</v>
      </c>
      <c r="C158" s="208" t="s">
        <v>2412</v>
      </c>
      <c r="D158" s="30" t="s">
        <v>701</v>
      </c>
      <c r="E158" s="30" t="s">
        <v>657</v>
      </c>
      <c r="F158" s="208" t="s">
        <v>2413</v>
      </c>
      <c r="G158" s="30" t="s">
        <v>2414</v>
      </c>
      <c r="H158" s="30" t="s">
        <v>2077</v>
      </c>
      <c r="I158" s="30" t="s">
        <v>2077</v>
      </c>
      <c r="J158" s="30" t="s">
        <v>2077</v>
      </c>
      <c r="K158" s="30" t="s">
        <v>2077</v>
      </c>
      <c r="L158" s="30" t="s">
        <v>2077</v>
      </c>
      <c r="M158" s="30" t="s">
        <v>2077</v>
      </c>
      <c r="N158" s="208" t="s">
        <v>2415</v>
      </c>
      <c r="O158" s="30" t="s">
        <v>2416</v>
      </c>
      <c r="P158" s="30" t="str">
        <f t="shared" ref="P158:Q158" si="156">D158</f>
        <v>CNC ROUTER HEIAN NC. 362 P ( CNC 18 )</v>
      </c>
      <c r="Q158" s="30" t="str">
        <f t="shared" si="156"/>
        <v>2GA</v>
      </c>
      <c r="R158" s="209" t="s">
        <v>23</v>
      </c>
      <c r="S158" s="209" t="s">
        <v>23</v>
      </c>
      <c r="T158" s="30">
        <v>85</v>
      </c>
      <c r="U158" s="208" t="s">
        <v>134</v>
      </c>
      <c r="V158" s="30">
        <v>1</v>
      </c>
      <c r="W158" s="30" t="s">
        <v>2417</v>
      </c>
      <c r="X158" s="30" t="s">
        <v>1924</v>
      </c>
      <c r="Y158" s="30" t="s">
        <v>2073</v>
      </c>
      <c r="Z158" s="30" t="s">
        <v>2073</v>
      </c>
      <c r="AA158" s="30" t="s">
        <v>2073</v>
      </c>
      <c r="AB158" s="30" t="s">
        <v>1924</v>
      </c>
      <c r="AC158" s="208" t="s">
        <v>2415</v>
      </c>
      <c r="AD158" s="30" t="s">
        <v>2416</v>
      </c>
      <c r="AE158" s="69" t="s">
        <v>703</v>
      </c>
      <c r="AF158" s="30" t="s">
        <v>2418</v>
      </c>
      <c r="AG158" s="30" t="s">
        <v>2419</v>
      </c>
      <c r="AH158" s="30" t="s">
        <v>2420</v>
      </c>
      <c r="AI158" s="30" t="s">
        <v>2421</v>
      </c>
      <c r="AJ158" s="30" t="s">
        <v>2422</v>
      </c>
      <c r="AK158" s="30" t="s">
        <v>2416</v>
      </c>
      <c r="AL158" s="30" t="s">
        <v>2077</v>
      </c>
      <c r="AM158" s="30" t="s">
        <v>2077</v>
      </c>
      <c r="AN158" s="30" t="s">
        <v>2077</v>
      </c>
      <c r="AO158" s="30" t="s">
        <v>2077</v>
      </c>
      <c r="AP158" s="30" t="s">
        <v>2077</v>
      </c>
      <c r="AQ158" s="30" t="s">
        <v>2077</v>
      </c>
      <c r="AR158" s="30" t="s">
        <v>2418</v>
      </c>
      <c r="AS158" s="30" t="s">
        <v>2419</v>
      </c>
      <c r="AT158" s="30" t="s">
        <v>2420</v>
      </c>
      <c r="AU158" s="30" t="s">
        <v>2421</v>
      </c>
      <c r="AV158" s="30" t="s">
        <v>2422</v>
      </c>
      <c r="AW158" s="30" t="s">
        <v>2416</v>
      </c>
      <c r="AX158" s="30" t="s">
        <v>2073</v>
      </c>
      <c r="AY158" s="30" t="s">
        <v>2073</v>
      </c>
      <c r="AZ158" s="30" t="s">
        <v>2073</v>
      </c>
      <c r="BA158" s="30" t="s">
        <v>2073</v>
      </c>
      <c r="BB158" s="30" t="s">
        <v>2073</v>
      </c>
      <c r="BC158" s="30" t="s">
        <v>2073</v>
      </c>
    </row>
    <row r="159" spans="1:55" ht="15.75" customHeight="1">
      <c r="A159" s="30">
        <v>2000</v>
      </c>
      <c r="B159" s="7" t="s">
        <v>706</v>
      </c>
      <c r="C159" s="208" t="s">
        <v>2412</v>
      </c>
      <c r="D159" s="30" t="s">
        <v>705</v>
      </c>
      <c r="E159" s="30" t="s">
        <v>657</v>
      </c>
      <c r="F159" s="208" t="s">
        <v>2413</v>
      </c>
      <c r="G159" s="30" t="s">
        <v>2414</v>
      </c>
      <c r="H159" s="30" t="s">
        <v>2077</v>
      </c>
      <c r="I159" s="30" t="s">
        <v>2077</v>
      </c>
      <c r="J159" s="30" t="s">
        <v>2077</v>
      </c>
      <c r="K159" s="30" t="s">
        <v>2077</v>
      </c>
      <c r="L159" s="30" t="s">
        <v>2077</v>
      </c>
      <c r="M159" s="30" t="s">
        <v>2077</v>
      </c>
      <c r="N159" s="208" t="s">
        <v>2415</v>
      </c>
      <c r="O159" s="30" t="s">
        <v>2416</v>
      </c>
      <c r="P159" s="30" t="str">
        <f t="shared" ref="P159:Q159" si="157">D159</f>
        <v>CNC ROUTER HEIAN NC. 362 P ( CNC 19 )</v>
      </c>
      <c r="Q159" s="30" t="str">
        <f t="shared" si="157"/>
        <v>2GA</v>
      </c>
      <c r="R159" s="209" t="s">
        <v>23</v>
      </c>
      <c r="S159" s="209" t="s">
        <v>23</v>
      </c>
      <c r="T159" s="30">
        <v>85</v>
      </c>
      <c r="U159" s="208" t="s">
        <v>134</v>
      </c>
      <c r="V159" s="30">
        <v>1</v>
      </c>
      <c r="W159" s="30" t="s">
        <v>2417</v>
      </c>
      <c r="X159" s="30" t="s">
        <v>1924</v>
      </c>
      <c r="Y159" s="30" t="s">
        <v>2073</v>
      </c>
      <c r="Z159" s="30" t="s">
        <v>2073</v>
      </c>
      <c r="AA159" s="30" t="s">
        <v>2073</v>
      </c>
      <c r="AB159" s="30" t="s">
        <v>1924</v>
      </c>
      <c r="AC159" s="208" t="s">
        <v>2415</v>
      </c>
      <c r="AD159" s="30" t="s">
        <v>2416</v>
      </c>
      <c r="AE159" s="69" t="s">
        <v>707</v>
      </c>
      <c r="AF159" s="30" t="s">
        <v>2418</v>
      </c>
      <c r="AG159" s="30" t="s">
        <v>2419</v>
      </c>
      <c r="AH159" s="30" t="s">
        <v>2420</v>
      </c>
      <c r="AI159" s="30" t="s">
        <v>2421</v>
      </c>
      <c r="AJ159" s="30" t="s">
        <v>2422</v>
      </c>
      <c r="AK159" s="30" t="s">
        <v>2416</v>
      </c>
      <c r="AL159" s="30" t="s">
        <v>2077</v>
      </c>
      <c r="AM159" s="30" t="s">
        <v>2077</v>
      </c>
      <c r="AN159" s="30" t="s">
        <v>2077</v>
      </c>
      <c r="AO159" s="30" t="s">
        <v>2077</v>
      </c>
      <c r="AP159" s="30" t="s">
        <v>2077</v>
      </c>
      <c r="AQ159" s="30" t="s">
        <v>2077</v>
      </c>
      <c r="AR159" s="30" t="s">
        <v>2418</v>
      </c>
      <c r="AS159" s="30" t="s">
        <v>2419</v>
      </c>
      <c r="AT159" s="30" t="s">
        <v>2420</v>
      </c>
      <c r="AU159" s="30" t="s">
        <v>2421</v>
      </c>
      <c r="AV159" s="30" t="s">
        <v>2422</v>
      </c>
      <c r="AW159" s="30" t="s">
        <v>2416</v>
      </c>
      <c r="AX159" s="30" t="s">
        <v>2073</v>
      </c>
      <c r="AY159" s="30" t="s">
        <v>2073</v>
      </c>
      <c r="AZ159" s="30" t="s">
        <v>2073</v>
      </c>
      <c r="BA159" s="30" t="s">
        <v>2073</v>
      </c>
      <c r="BB159" s="30" t="s">
        <v>2073</v>
      </c>
      <c r="BC159" s="30" t="s">
        <v>2073</v>
      </c>
    </row>
    <row r="160" spans="1:55" ht="15.75" customHeight="1">
      <c r="A160" s="30">
        <v>2000</v>
      </c>
      <c r="B160" s="7" t="s">
        <v>710</v>
      </c>
      <c r="C160" s="208" t="s">
        <v>2412</v>
      </c>
      <c r="D160" s="30" t="s">
        <v>709</v>
      </c>
      <c r="E160" s="30" t="s">
        <v>657</v>
      </c>
      <c r="F160" s="208" t="s">
        <v>2413</v>
      </c>
      <c r="G160" s="30" t="s">
        <v>2414</v>
      </c>
      <c r="H160" s="30" t="s">
        <v>2077</v>
      </c>
      <c r="I160" s="30" t="s">
        <v>2077</v>
      </c>
      <c r="J160" s="30" t="s">
        <v>2077</v>
      </c>
      <c r="K160" s="30" t="s">
        <v>2077</v>
      </c>
      <c r="L160" s="30" t="s">
        <v>2077</v>
      </c>
      <c r="M160" s="30" t="s">
        <v>2077</v>
      </c>
      <c r="N160" s="208" t="s">
        <v>2415</v>
      </c>
      <c r="O160" s="30" t="s">
        <v>2416</v>
      </c>
      <c r="P160" s="30" t="str">
        <f t="shared" ref="P160:Q160" si="158">D160</f>
        <v>CNC 5 AXIS CMS ARES MK.0002 ( ARES 4 )</v>
      </c>
      <c r="Q160" s="30" t="str">
        <f t="shared" si="158"/>
        <v>2GA</v>
      </c>
      <c r="R160" s="209" t="s">
        <v>23</v>
      </c>
      <c r="S160" s="209" t="s">
        <v>23</v>
      </c>
      <c r="T160" s="30">
        <v>85</v>
      </c>
      <c r="U160" s="208" t="s">
        <v>134</v>
      </c>
      <c r="V160" s="30">
        <v>1</v>
      </c>
      <c r="W160" s="30" t="s">
        <v>2417</v>
      </c>
      <c r="X160" s="30" t="s">
        <v>1924</v>
      </c>
      <c r="Y160" s="30" t="s">
        <v>2073</v>
      </c>
      <c r="Z160" s="30" t="s">
        <v>2073</v>
      </c>
      <c r="AA160" s="30" t="s">
        <v>2073</v>
      </c>
      <c r="AB160" s="30" t="s">
        <v>1924</v>
      </c>
      <c r="AC160" s="208" t="s">
        <v>2415</v>
      </c>
      <c r="AD160" s="30" t="s">
        <v>2416</v>
      </c>
      <c r="AE160" s="69" t="s">
        <v>711</v>
      </c>
      <c r="AF160" s="30" t="s">
        <v>2418</v>
      </c>
      <c r="AG160" s="30" t="s">
        <v>2419</v>
      </c>
      <c r="AH160" s="30" t="s">
        <v>2420</v>
      </c>
      <c r="AI160" s="30" t="s">
        <v>2421</v>
      </c>
      <c r="AJ160" s="30" t="s">
        <v>2422</v>
      </c>
      <c r="AK160" s="30" t="s">
        <v>2416</v>
      </c>
      <c r="AL160" s="30" t="s">
        <v>2077</v>
      </c>
      <c r="AM160" s="30" t="s">
        <v>2077</v>
      </c>
      <c r="AN160" s="30" t="s">
        <v>2077</v>
      </c>
      <c r="AO160" s="30" t="s">
        <v>2077</v>
      </c>
      <c r="AP160" s="30" t="s">
        <v>2077</v>
      </c>
      <c r="AQ160" s="30" t="s">
        <v>2077</v>
      </c>
      <c r="AR160" s="30" t="s">
        <v>2418</v>
      </c>
      <c r="AS160" s="30" t="s">
        <v>2419</v>
      </c>
      <c r="AT160" s="30" t="s">
        <v>2420</v>
      </c>
      <c r="AU160" s="30" t="s">
        <v>2421</v>
      </c>
      <c r="AV160" s="30" t="s">
        <v>2422</v>
      </c>
      <c r="AW160" s="30" t="s">
        <v>2416</v>
      </c>
      <c r="AX160" s="30" t="s">
        <v>2073</v>
      </c>
      <c r="AY160" s="30" t="s">
        <v>2073</v>
      </c>
      <c r="AZ160" s="30" t="s">
        <v>2073</v>
      </c>
      <c r="BA160" s="30" t="s">
        <v>2073</v>
      </c>
      <c r="BB160" s="30" t="s">
        <v>2073</v>
      </c>
      <c r="BC160" s="30" t="s">
        <v>2073</v>
      </c>
    </row>
    <row r="161" spans="1:55" ht="15.75" customHeight="1">
      <c r="A161" s="13">
        <v>2000</v>
      </c>
      <c r="B161" s="7" t="s">
        <v>714</v>
      </c>
      <c r="C161" s="211" t="s">
        <v>2412</v>
      </c>
      <c r="D161" s="13" t="s">
        <v>713</v>
      </c>
      <c r="E161" s="13" t="s">
        <v>657</v>
      </c>
      <c r="F161" s="211" t="s">
        <v>2413</v>
      </c>
      <c r="G161" s="13" t="s">
        <v>2414</v>
      </c>
      <c r="H161" s="13" t="s">
        <v>2077</v>
      </c>
      <c r="I161" s="13" t="s">
        <v>2077</v>
      </c>
      <c r="J161" s="13" t="s">
        <v>2077</v>
      </c>
      <c r="K161" s="13" t="s">
        <v>2077</v>
      </c>
      <c r="L161" s="13" t="s">
        <v>2077</v>
      </c>
      <c r="M161" s="13" t="s">
        <v>2077</v>
      </c>
      <c r="N161" s="211" t="s">
        <v>2415</v>
      </c>
      <c r="O161" s="13" t="s">
        <v>2416</v>
      </c>
      <c r="P161" s="69" t="str">
        <f t="shared" ref="P161:Q161" si="159">D161</f>
        <v>CNC ROUTER SHODA  &amp; SULLAIR VACUM  MP.0373 ( CNC 12 )</v>
      </c>
      <c r="Q161" s="13" t="str">
        <f t="shared" si="159"/>
        <v>2GA</v>
      </c>
      <c r="R161" s="212" t="s">
        <v>23</v>
      </c>
      <c r="S161" s="212" t="s">
        <v>23</v>
      </c>
      <c r="T161" s="13">
        <v>85</v>
      </c>
      <c r="U161" s="211" t="s">
        <v>134</v>
      </c>
      <c r="V161" s="13">
        <v>1</v>
      </c>
      <c r="W161" s="13" t="s">
        <v>2417</v>
      </c>
      <c r="X161" s="13" t="s">
        <v>1924</v>
      </c>
      <c r="Y161" s="13" t="s">
        <v>2073</v>
      </c>
      <c r="Z161" s="13" t="s">
        <v>2073</v>
      </c>
      <c r="AA161" s="13" t="s">
        <v>2073</v>
      </c>
      <c r="AB161" s="13" t="s">
        <v>1924</v>
      </c>
      <c r="AC161" s="211" t="s">
        <v>2415</v>
      </c>
      <c r="AD161" s="13" t="s">
        <v>2416</v>
      </c>
      <c r="AE161" s="69" t="s">
        <v>715</v>
      </c>
      <c r="AF161" s="13" t="s">
        <v>2418</v>
      </c>
      <c r="AG161" s="13" t="s">
        <v>2419</v>
      </c>
      <c r="AH161" s="13" t="s">
        <v>2420</v>
      </c>
      <c r="AI161" s="13" t="s">
        <v>2421</v>
      </c>
      <c r="AJ161" s="13" t="s">
        <v>2422</v>
      </c>
      <c r="AK161" s="13" t="s">
        <v>2416</v>
      </c>
      <c r="AL161" s="13" t="s">
        <v>2077</v>
      </c>
      <c r="AM161" s="13" t="s">
        <v>2077</v>
      </c>
      <c r="AN161" s="13" t="s">
        <v>2077</v>
      </c>
      <c r="AO161" s="13" t="s">
        <v>2077</v>
      </c>
      <c r="AP161" s="13" t="s">
        <v>2077</v>
      </c>
      <c r="AQ161" s="13" t="s">
        <v>2077</v>
      </c>
      <c r="AR161" s="13" t="s">
        <v>2418</v>
      </c>
      <c r="AS161" s="13" t="s">
        <v>2419</v>
      </c>
      <c r="AT161" s="13" t="s">
        <v>2420</v>
      </c>
      <c r="AU161" s="13" t="s">
        <v>2421</v>
      </c>
      <c r="AV161" s="13" t="s">
        <v>2422</v>
      </c>
      <c r="AW161" s="13" t="s">
        <v>2416</v>
      </c>
      <c r="AX161" s="13" t="s">
        <v>2073</v>
      </c>
      <c r="AY161" s="13" t="s">
        <v>2073</v>
      </c>
      <c r="AZ161" s="13" t="s">
        <v>2073</v>
      </c>
      <c r="BA161" s="13" t="s">
        <v>2073</v>
      </c>
      <c r="BB161" s="13" t="s">
        <v>2073</v>
      </c>
      <c r="BC161" s="13" t="s">
        <v>2073</v>
      </c>
    </row>
    <row r="162" spans="1:55" ht="15.75" customHeight="1">
      <c r="A162" s="13">
        <v>2000</v>
      </c>
      <c r="B162" s="7" t="s">
        <v>718</v>
      </c>
      <c r="C162" s="211" t="s">
        <v>2412</v>
      </c>
      <c r="D162" s="13" t="s">
        <v>717</v>
      </c>
      <c r="E162" s="13" t="s">
        <v>657</v>
      </c>
      <c r="F162" s="211" t="s">
        <v>2413</v>
      </c>
      <c r="G162" s="13" t="s">
        <v>2414</v>
      </c>
      <c r="H162" s="13" t="s">
        <v>2077</v>
      </c>
      <c r="I162" s="13" t="s">
        <v>2077</v>
      </c>
      <c r="J162" s="13" t="s">
        <v>2077</v>
      </c>
      <c r="K162" s="13" t="s">
        <v>2077</v>
      </c>
      <c r="L162" s="13" t="s">
        <v>2077</v>
      </c>
      <c r="M162" s="13" t="s">
        <v>2077</v>
      </c>
      <c r="N162" s="211" t="s">
        <v>2415</v>
      </c>
      <c r="O162" s="13" t="s">
        <v>2416</v>
      </c>
      <c r="P162" s="69" t="str">
        <f t="shared" ref="P162:Q162" si="160">D162</f>
        <v>CNC MACHINING CENTRE ARES 36/18 NEW.PX5 MP.0583 ( ARES 1 )</v>
      </c>
      <c r="Q162" s="13" t="str">
        <f t="shared" si="160"/>
        <v>2GA</v>
      </c>
      <c r="R162" s="212" t="s">
        <v>23</v>
      </c>
      <c r="S162" s="212" t="s">
        <v>23</v>
      </c>
      <c r="T162" s="13">
        <v>85</v>
      </c>
      <c r="U162" s="211" t="s">
        <v>134</v>
      </c>
      <c r="V162" s="13">
        <v>1</v>
      </c>
      <c r="W162" s="13" t="s">
        <v>2417</v>
      </c>
      <c r="X162" s="13" t="s">
        <v>1924</v>
      </c>
      <c r="Y162" s="13" t="s">
        <v>2073</v>
      </c>
      <c r="Z162" s="13" t="s">
        <v>2073</v>
      </c>
      <c r="AA162" s="13" t="s">
        <v>2073</v>
      </c>
      <c r="AB162" s="13" t="s">
        <v>1924</v>
      </c>
      <c r="AC162" s="211" t="s">
        <v>2415</v>
      </c>
      <c r="AD162" s="13" t="s">
        <v>2416</v>
      </c>
      <c r="AE162" s="69" t="s">
        <v>719</v>
      </c>
      <c r="AF162" s="13" t="s">
        <v>2418</v>
      </c>
      <c r="AG162" s="13" t="s">
        <v>2419</v>
      </c>
      <c r="AH162" s="13" t="s">
        <v>2420</v>
      </c>
      <c r="AI162" s="13" t="s">
        <v>2421</v>
      </c>
      <c r="AJ162" s="13" t="s">
        <v>2422</v>
      </c>
      <c r="AK162" s="13" t="s">
        <v>2416</v>
      </c>
      <c r="AL162" s="13" t="s">
        <v>2077</v>
      </c>
      <c r="AM162" s="13" t="s">
        <v>2077</v>
      </c>
      <c r="AN162" s="13" t="s">
        <v>2077</v>
      </c>
      <c r="AO162" s="13" t="s">
        <v>2077</v>
      </c>
      <c r="AP162" s="13" t="s">
        <v>2077</v>
      </c>
      <c r="AQ162" s="13" t="s">
        <v>2077</v>
      </c>
      <c r="AR162" s="13" t="s">
        <v>2418</v>
      </c>
      <c r="AS162" s="13" t="s">
        <v>2419</v>
      </c>
      <c r="AT162" s="13" t="s">
        <v>2420</v>
      </c>
      <c r="AU162" s="13" t="s">
        <v>2421</v>
      </c>
      <c r="AV162" s="13" t="s">
        <v>2422</v>
      </c>
      <c r="AW162" s="13" t="s">
        <v>2416</v>
      </c>
      <c r="AX162" s="13" t="s">
        <v>2073</v>
      </c>
      <c r="AY162" s="13" t="s">
        <v>2073</v>
      </c>
      <c r="AZ162" s="13" t="s">
        <v>2073</v>
      </c>
      <c r="BA162" s="13" t="s">
        <v>2073</v>
      </c>
      <c r="BB162" s="13" t="s">
        <v>2073</v>
      </c>
      <c r="BC162" s="13" t="s">
        <v>2073</v>
      </c>
    </row>
    <row r="163" spans="1:55" ht="15.75" customHeight="1">
      <c r="A163" s="13">
        <v>2000</v>
      </c>
      <c r="B163" s="7" t="s">
        <v>722</v>
      </c>
      <c r="C163" s="211" t="s">
        <v>2412</v>
      </c>
      <c r="D163" s="13" t="s">
        <v>721</v>
      </c>
      <c r="E163" s="13" t="s">
        <v>657</v>
      </c>
      <c r="F163" s="211" t="s">
        <v>2413</v>
      </c>
      <c r="G163" s="13" t="s">
        <v>2414</v>
      </c>
      <c r="H163" s="13" t="s">
        <v>2077</v>
      </c>
      <c r="I163" s="13" t="s">
        <v>2077</v>
      </c>
      <c r="J163" s="13" t="s">
        <v>2077</v>
      </c>
      <c r="K163" s="13" t="s">
        <v>2077</v>
      </c>
      <c r="L163" s="13" t="s">
        <v>2077</v>
      </c>
      <c r="M163" s="13" t="s">
        <v>2077</v>
      </c>
      <c r="N163" s="211" t="s">
        <v>2415</v>
      </c>
      <c r="O163" s="13" t="s">
        <v>2416</v>
      </c>
      <c r="P163" s="69" t="str">
        <f t="shared" ref="P163:Q163" si="161">D163</f>
        <v>CNC CMS ARES MT.0033 ( ARES 2 )</v>
      </c>
      <c r="Q163" s="13" t="str">
        <f t="shared" si="161"/>
        <v>2GA</v>
      </c>
      <c r="R163" s="212" t="s">
        <v>23</v>
      </c>
      <c r="S163" s="212" t="s">
        <v>23</v>
      </c>
      <c r="T163" s="13">
        <v>85</v>
      </c>
      <c r="U163" s="211" t="s">
        <v>134</v>
      </c>
      <c r="V163" s="13">
        <v>1</v>
      </c>
      <c r="W163" s="13" t="s">
        <v>2417</v>
      </c>
      <c r="X163" s="13" t="s">
        <v>1924</v>
      </c>
      <c r="Y163" s="13" t="s">
        <v>2073</v>
      </c>
      <c r="Z163" s="13" t="s">
        <v>2073</v>
      </c>
      <c r="AA163" s="13" t="s">
        <v>2073</v>
      </c>
      <c r="AB163" s="13" t="s">
        <v>1924</v>
      </c>
      <c r="AC163" s="211" t="s">
        <v>2415</v>
      </c>
      <c r="AD163" s="13" t="s">
        <v>2416</v>
      </c>
      <c r="AE163" s="69" t="s">
        <v>723</v>
      </c>
      <c r="AF163" s="13" t="s">
        <v>2418</v>
      </c>
      <c r="AG163" s="13" t="s">
        <v>2419</v>
      </c>
      <c r="AH163" s="13" t="s">
        <v>2420</v>
      </c>
      <c r="AI163" s="13" t="s">
        <v>2421</v>
      </c>
      <c r="AJ163" s="13" t="s">
        <v>2422</v>
      </c>
      <c r="AK163" s="13" t="s">
        <v>2416</v>
      </c>
      <c r="AL163" s="13" t="s">
        <v>2077</v>
      </c>
      <c r="AM163" s="13" t="s">
        <v>2077</v>
      </c>
      <c r="AN163" s="13" t="s">
        <v>2077</v>
      </c>
      <c r="AO163" s="13" t="s">
        <v>2077</v>
      </c>
      <c r="AP163" s="13" t="s">
        <v>2077</v>
      </c>
      <c r="AQ163" s="13" t="s">
        <v>2077</v>
      </c>
      <c r="AR163" s="13" t="s">
        <v>2418</v>
      </c>
      <c r="AS163" s="13" t="s">
        <v>2419</v>
      </c>
      <c r="AT163" s="13" t="s">
        <v>2420</v>
      </c>
      <c r="AU163" s="13" t="s">
        <v>2421</v>
      </c>
      <c r="AV163" s="13" t="s">
        <v>2422</v>
      </c>
      <c r="AW163" s="13" t="s">
        <v>2416</v>
      </c>
      <c r="AX163" s="13" t="s">
        <v>2073</v>
      </c>
      <c r="AY163" s="13" t="s">
        <v>2073</v>
      </c>
      <c r="AZ163" s="13" t="s">
        <v>2073</v>
      </c>
      <c r="BA163" s="13" t="s">
        <v>2073</v>
      </c>
      <c r="BB163" s="13" t="s">
        <v>2073</v>
      </c>
      <c r="BC163" s="13" t="s">
        <v>2073</v>
      </c>
    </row>
    <row r="164" spans="1:55" ht="15.75" customHeight="1">
      <c r="A164" s="13">
        <v>2000</v>
      </c>
      <c r="B164" s="7" t="s">
        <v>726</v>
      </c>
      <c r="C164" s="211" t="s">
        <v>2412</v>
      </c>
      <c r="D164" s="13" t="s">
        <v>725</v>
      </c>
      <c r="E164" s="13" t="s">
        <v>657</v>
      </c>
      <c r="F164" s="211" t="s">
        <v>2413</v>
      </c>
      <c r="G164" s="13" t="s">
        <v>2414</v>
      </c>
      <c r="H164" s="13" t="s">
        <v>2077</v>
      </c>
      <c r="I164" s="13" t="s">
        <v>2077</v>
      </c>
      <c r="J164" s="13" t="s">
        <v>2077</v>
      </c>
      <c r="K164" s="13" t="s">
        <v>2077</v>
      </c>
      <c r="L164" s="13" t="s">
        <v>2077</v>
      </c>
      <c r="M164" s="13" t="s">
        <v>2077</v>
      </c>
      <c r="N164" s="211" t="s">
        <v>2415</v>
      </c>
      <c r="O164" s="13" t="s">
        <v>2416</v>
      </c>
      <c r="P164" s="69" t="str">
        <f t="shared" ref="P164:Q164" si="162">D164</f>
        <v>CGD Cnc ARESH 7819 MT.0036 (ARES 3 )</v>
      </c>
      <c r="Q164" s="13" t="str">
        <f t="shared" si="162"/>
        <v>2GA</v>
      </c>
      <c r="R164" s="212" t="s">
        <v>23</v>
      </c>
      <c r="S164" s="212" t="s">
        <v>23</v>
      </c>
      <c r="T164" s="13">
        <v>85</v>
      </c>
      <c r="U164" s="211" t="s">
        <v>134</v>
      </c>
      <c r="V164" s="13">
        <v>1</v>
      </c>
      <c r="W164" s="13" t="s">
        <v>2417</v>
      </c>
      <c r="X164" s="13" t="s">
        <v>1924</v>
      </c>
      <c r="Y164" s="13" t="s">
        <v>2073</v>
      </c>
      <c r="Z164" s="13" t="s">
        <v>2073</v>
      </c>
      <c r="AA164" s="13" t="s">
        <v>2073</v>
      </c>
      <c r="AB164" s="13" t="s">
        <v>1924</v>
      </c>
      <c r="AC164" s="211" t="s">
        <v>2415</v>
      </c>
      <c r="AD164" s="13" t="s">
        <v>2416</v>
      </c>
      <c r="AE164" s="69" t="s">
        <v>727</v>
      </c>
      <c r="AF164" s="13" t="s">
        <v>2418</v>
      </c>
      <c r="AG164" s="13" t="s">
        <v>2419</v>
      </c>
      <c r="AH164" s="13" t="s">
        <v>2420</v>
      </c>
      <c r="AI164" s="13" t="s">
        <v>2421</v>
      </c>
      <c r="AJ164" s="13" t="s">
        <v>2422</v>
      </c>
      <c r="AK164" s="13" t="s">
        <v>2416</v>
      </c>
      <c r="AL164" s="13" t="s">
        <v>2077</v>
      </c>
      <c r="AM164" s="13" t="s">
        <v>2077</v>
      </c>
      <c r="AN164" s="13" t="s">
        <v>2077</v>
      </c>
      <c r="AO164" s="13" t="s">
        <v>2077</v>
      </c>
      <c r="AP164" s="13" t="s">
        <v>2077</v>
      </c>
      <c r="AQ164" s="13" t="s">
        <v>2077</v>
      </c>
      <c r="AR164" s="13" t="s">
        <v>2418</v>
      </c>
      <c r="AS164" s="13" t="s">
        <v>2419</v>
      </c>
      <c r="AT164" s="13" t="s">
        <v>2420</v>
      </c>
      <c r="AU164" s="13" t="s">
        <v>2421</v>
      </c>
      <c r="AV164" s="13" t="s">
        <v>2422</v>
      </c>
      <c r="AW164" s="13" t="s">
        <v>2416</v>
      </c>
      <c r="AX164" s="13" t="s">
        <v>2073</v>
      </c>
      <c r="AY164" s="13" t="s">
        <v>2073</v>
      </c>
      <c r="AZ164" s="13" t="s">
        <v>2073</v>
      </c>
      <c r="BA164" s="13" t="s">
        <v>2073</v>
      </c>
      <c r="BB164" s="13" t="s">
        <v>2073</v>
      </c>
      <c r="BC164" s="13" t="s">
        <v>2073</v>
      </c>
    </row>
    <row r="165" spans="1:55" ht="15.75" customHeight="1">
      <c r="A165" s="13">
        <v>2000</v>
      </c>
      <c r="B165" s="7" t="s">
        <v>730</v>
      </c>
      <c r="C165" s="211" t="s">
        <v>2412</v>
      </c>
      <c r="D165" s="13" t="s">
        <v>729</v>
      </c>
      <c r="E165" s="13" t="s">
        <v>657</v>
      </c>
      <c r="F165" s="211" t="s">
        <v>2413</v>
      </c>
      <c r="G165" s="13" t="s">
        <v>2414</v>
      </c>
      <c r="H165" s="13" t="s">
        <v>2077</v>
      </c>
      <c r="I165" s="13" t="s">
        <v>2077</v>
      </c>
      <c r="J165" s="13" t="s">
        <v>2077</v>
      </c>
      <c r="K165" s="13" t="s">
        <v>2077</v>
      </c>
      <c r="L165" s="13" t="s">
        <v>2077</v>
      </c>
      <c r="M165" s="13" t="s">
        <v>2077</v>
      </c>
      <c r="N165" s="211" t="s">
        <v>2415</v>
      </c>
      <c r="O165" s="13" t="s">
        <v>2416</v>
      </c>
      <c r="P165" s="69" t="str">
        <f t="shared" ref="P165:Q165" si="163">D165</f>
        <v>CNC ROUTER HEIAN HR 642PF ( CNC 10 )</v>
      </c>
      <c r="Q165" s="13" t="str">
        <f t="shared" si="163"/>
        <v>2GA</v>
      </c>
      <c r="R165" s="212" t="s">
        <v>23</v>
      </c>
      <c r="S165" s="212" t="s">
        <v>23</v>
      </c>
      <c r="T165" s="13">
        <v>85</v>
      </c>
      <c r="U165" s="211" t="s">
        <v>134</v>
      </c>
      <c r="V165" s="13">
        <v>1</v>
      </c>
      <c r="W165" s="13" t="s">
        <v>2417</v>
      </c>
      <c r="X165" s="13" t="s">
        <v>1924</v>
      </c>
      <c r="Y165" s="13" t="s">
        <v>2073</v>
      </c>
      <c r="Z165" s="13" t="s">
        <v>2073</v>
      </c>
      <c r="AA165" s="13" t="s">
        <v>2073</v>
      </c>
      <c r="AB165" s="13" t="s">
        <v>1924</v>
      </c>
      <c r="AC165" s="211" t="s">
        <v>2415</v>
      </c>
      <c r="AD165" s="13" t="s">
        <v>2416</v>
      </c>
      <c r="AE165" s="69" t="s">
        <v>731</v>
      </c>
      <c r="AF165" s="13" t="s">
        <v>2418</v>
      </c>
      <c r="AG165" s="13" t="s">
        <v>2419</v>
      </c>
      <c r="AH165" s="13" t="s">
        <v>2420</v>
      </c>
      <c r="AI165" s="13" t="s">
        <v>2421</v>
      </c>
      <c r="AJ165" s="13" t="s">
        <v>2422</v>
      </c>
      <c r="AK165" s="13" t="s">
        <v>2416</v>
      </c>
      <c r="AL165" s="13" t="s">
        <v>2077</v>
      </c>
      <c r="AM165" s="13" t="s">
        <v>2077</v>
      </c>
      <c r="AN165" s="13" t="s">
        <v>2077</v>
      </c>
      <c r="AO165" s="13" t="s">
        <v>2077</v>
      </c>
      <c r="AP165" s="13" t="s">
        <v>2077</v>
      </c>
      <c r="AQ165" s="13" t="s">
        <v>2077</v>
      </c>
      <c r="AR165" s="13" t="s">
        <v>2418</v>
      </c>
      <c r="AS165" s="13" t="s">
        <v>2419</v>
      </c>
      <c r="AT165" s="13" t="s">
        <v>2420</v>
      </c>
      <c r="AU165" s="13" t="s">
        <v>2421</v>
      </c>
      <c r="AV165" s="13" t="s">
        <v>2422</v>
      </c>
      <c r="AW165" s="13" t="s">
        <v>2416</v>
      </c>
      <c r="AX165" s="13" t="s">
        <v>2073</v>
      </c>
      <c r="AY165" s="13" t="s">
        <v>2073</v>
      </c>
      <c r="AZ165" s="13" t="s">
        <v>2073</v>
      </c>
      <c r="BA165" s="13" t="s">
        <v>2073</v>
      </c>
      <c r="BB165" s="13" t="s">
        <v>2073</v>
      </c>
      <c r="BC165" s="13" t="s">
        <v>2073</v>
      </c>
    </row>
    <row r="166" spans="1:55" ht="15.75" customHeight="1">
      <c r="A166" s="13">
        <v>2000</v>
      </c>
      <c r="B166" s="7" t="s">
        <v>734</v>
      </c>
      <c r="C166" s="211" t="s">
        <v>2412</v>
      </c>
      <c r="D166" s="13" t="s">
        <v>733</v>
      </c>
      <c r="E166" s="13" t="s">
        <v>657</v>
      </c>
      <c r="F166" s="211" t="s">
        <v>2413</v>
      </c>
      <c r="G166" s="13" t="s">
        <v>2414</v>
      </c>
      <c r="H166" s="13" t="s">
        <v>2077</v>
      </c>
      <c r="I166" s="13" t="s">
        <v>2077</v>
      </c>
      <c r="J166" s="13" t="s">
        <v>2077</v>
      </c>
      <c r="K166" s="13" t="s">
        <v>2077</v>
      </c>
      <c r="L166" s="13" t="s">
        <v>2077</v>
      </c>
      <c r="M166" s="13" t="s">
        <v>2077</v>
      </c>
      <c r="N166" s="211" t="s">
        <v>2415</v>
      </c>
      <c r="O166" s="13" t="s">
        <v>2416</v>
      </c>
      <c r="P166" s="69" t="str">
        <f t="shared" ref="P166:Q166" si="164">D166</f>
        <v>CNC ARES 5 HYPSOS</v>
      </c>
      <c r="Q166" s="13" t="str">
        <f t="shared" si="164"/>
        <v>2GA</v>
      </c>
      <c r="R166" s="212" t="s">
        <v>23</v>
      </c>
      <c r="S166" s="212" t="s">
        <v>23</v>
      </c>
      <c r="T166" s="13">
        <v>85</v>
      </c>
      <c r="U166" s="211" t="s">
        <v>134</v>
      </c>
      <c r="V166" s="13">
        <v>1</v>
      </c>
      <c r="W166" s="13" t="s">
        <v>2417</v>
      </c>
      <c r="X166" s="13" t="s">
        <v>1924</v>
      </c>
      <c r="Y166" s="13" t="s">
        <v>2073</v>
      </c>
      <c r="Z166" s="13" t="s">
        <v>2073</v>
      </c>
      <c r="AA166" s="13" t="s">
        <v>2073</v>
      </c>
      <c r="AB166" s="13" t="s">
        <v>1924</v>
      </c>
      <c r="AC166" s="211" t="s">
        <v>2415</v>
      </c>
      <c r="AD166" s="13" t="s">
        <v>2416</v>
      </c>
      <c r="AE166" s="69">
        <v>1111061211</v>
      </c>
      <c r="AF166" s="13" t="s">
        <v>2418</v>
      </c>
      <c r="AG166" s="13" t="s">
        <v>2419</v>
      </c>
      <c r="AH166" s="13" t="s">
        <v>2420</v>
      </c>
      <c r="AI166" s="13" t="s">
        <v>2421</v>
      </c>
      <c r="AJ166" s="13" t="s">
        <v>2422</v>
      </c>
      <c r="AK166" s="13" t="s">
        <v>2416</v>
      </c>
      <c r="AL166" s="13" t="s">
        <v>2077</v>
      </c>
      <c r="AM166" s="13" t="s">
        <v>2077</v>
      </c>
      <c r="AN166" s="13" t="s">
        <v>2077</v>
      </c>
      <c r="AO166" s="13" t="s">
        <v>2077</v>
      </c>
      <c r="AP166" s="13" t="s">
        <v>2077</v>
      </c>
      <c r="AQ166" s="13" t="s">
        <v>2077</v>
      </c>
      <c r="AR166" s="13" t="s">
        <v>2418</v>
      </c>
      <c r="AS166" s="13" t="s">
        <v>2419</v>
      </c>
      <c r="AT166" s="13" t="s">
        <v>2420</v>
      </c>
      <c r="AU166" s="13" t="s">
        <v>2421</v>
      </c>
      <c r="AV166" s="13" t="s">
        <v>2422</v>
      </c>
      <c r="AW166" s="13" t="s">
        <v>2416</v>
      </c>
      <c r="AX166" s="13" t="s">
        <v>2073</v>
      </c>
      <c r="AY166" s="13" t="s">
        <v>2073</v>
      </c>
      <c r="AZ166" s="13" t="s">
        <v>2073</v>
      </c>
      <c r="BA166" s="13" t="s">
        <v>2073</v>
      </c>
      <c r="BB166" s="13" t="s">
        <v>2073</v>
      </c>
      <c r="BC166" s="13" t="s">
        <v>2073</v>
      </c>
    </row>
    <row r="167" spans="1:55" ht="15.75" customHeight="1">
      <c r="A167" s="13">
        <v>2000</v>
      </c>
      <c r="B167" s="7" t="s">
        <v>737</v>
      </c>
      <c r="C167" s="211" t="s">
        <v>2412</v>
      </c>
      <c r="D167" s="13" t="s">
        <v>736</v>
      </c>
      <c r="E167" s="13" t="s">
        <v>657</v>
      </c>
      <c r="F167" s="211" t="s">
        <v>2413</v>
      </c>
      <c r="G167" s="13" t="s">
        <v>2414</v>
      </c>
      <c r="H167" s="13" t="s">
        <v>2077</v>
      </c>
      <c r="I167" s="13" t="s">
        <v>2077</v>
      </c>
      <c r="J167" s="13" t="s">
        <v>2077</v>
      </c>
      <c r="K167" s="13" t="s">
        <v>2077</v>
      </c>
      <c r="L167" s="13" t="s">
        <v>2077</v>
      </c>
      <c r="M167" s="13" t="s">
        <v>2077</v>
      </c>
      <c r="N167" s="211" t="s">
        <v>2415</v>
      </c>
      <c r="O167" s="13" t="s">
        <v>2416</v>
      </c>
      <c r="P167" s="69" t="str">
        <f t="shared" ref="P167:Q167" si="165">D167</f>
        <v>CNC CMS HYPSOS 2 (MK.0041)</v>
      </c>
      <c r="Q167" s="13" t="str">
        <f t="shared" si="165"/>
        <v>2GA</v>
      </c>
      <c r="R167" s="212" t="s">
        <v>23</v>
      </c>
      <c r="S167" s="212" t="s">
        <v>23</v>
      </c>
      <c r="T167" s="13">
        <v>85</v>
      </c>
      <c r="U167" s="211" t="s">
        <v>134</v>
      </c>
      <c r="V167" s="13">
        <v>1</v>
      </c>
      <c r="W167" s="13" t="s">
        <v>2417</v>
      </c>
      <c r="X167" s="13" t="s">
        <v>1924</v>
      </c>
      <c r="Y167" s="13" t="s">
        <v>2073</v>
      </c>
      <c r="Z167" s="13" t="s">
        <v>2073</v>
      </c>
      <c r="AA167" s="13" t="s">
        <v>2073</v>
      </c>
      <c r="AB167" s="13" t="s">
        <v>1924</v>
      </c>
      <c r="AC167" s="211" t="s">
        <v>2415</v>
      </c>
      <c r="AD167" s="13" t="s">
        <v>2416</v>
      </c>
      <c r="AE167" s="69">
        <v>1111061212</v>
      </c>
      <c r="AF167" s="13" t="s">
        <v>2418</v>
      </c>
      <c r="AG167" s="13" t="s">
        <v>2419</v>
      </c>
      <c r="AH167" s="13" t="s">
        <v>2420</v>
      </c>
      <c r="AI167" s="13" t="s">
        <v>2421</v>
      </c>
      <c r="AJ167" s="13" t="s">
        <v>2422</v>
      </c>
      <c r="AK167" s="13" t="s">
        <v>2416</v>
      </c>
      <c r="AL167" s="13" t="s">
        <v>2077</v>
      </c>
      <c r="AM167" s="13" t="s">
        <v>2077</v>
      </c>
      <c r="AN167" s="13" t="s">
        <v>2077</v>
      </c>
      <c r="AO167" s="13" t="s">
        <v>2077</v>
      </c>
      <c r="AP167" s="13" t="s">
        <v>2077</v>
      </c>
      <c r="AQ167" s="13" t="s">
        <v>2077</v>
      </c>
      <c r="AR167" s="13" t="s">
        <v>2418</v>
      </c>
      <c r="AS167" s="13" t="s">
        <v>2419</v>
      </c>
      <c r="AT167" s="13" t="s">
        <v>2420</v>
      </c>
      <c r="AU167" s="13" t="s">
        <v>2421</v>
      </c>
      <c r="AV167" s="13" t="s">
        <v>2422</v>
      </c>
      <c r="AW167" s="13" t="s">
        <v>2416</v>
      </c>
      <c r="AX167" s="13" t="s">
        <v>2073</v>
      </c>
      <c r="AY167" s="13" t="s">
        <v>2073</v>
      </c>
      <c r="AZ167" s="13" t="s">
        <v>2073</v>
      </c>
      <c r="BA167" s="13" t="s">
        <v>2073</v>
      </c>
      <c r="BB167" s="13" t="s">
        <v>2073</v>
      </c>
      <c r="BC167" s="13" t="s">
        <v>2073</v>
      </c>
    </row>
    <row r="168" spans="1:55" ht="15.75" customHeight="1">
      <c r="A168" s="13">
        <v>2000</v>
      </c>
      <c r="B168" s="7" t="s">
        <v>740</v>
      </c>
      <c r="C168" s="211" t="s">
        <v>2412</v>
      </c>
      <c r="D168" s="13" t="s">
        <v>739</v>
      </c>
      <c r="E168" s="13" t="s">
        <v>657</v>
      </c>
      <c r="F168" s="211" t="s">
        <v>2413</v>
      </c>
      <c r="G168" s="13" t="s">
        <v>2414</v>
      </c>
      <c r="H168" s="13" t="s">
        <v>2077</v>
      </c>
      <c r="I168" s="13" t="s">
        <v>2077</v>
      </c>
      <c r="J168" s="13" t="s">
        <v>2077</v>
      </c>
      <c r="K168" s="13" t="s">
        <v>2077</v>
      </c>
      <c r="L168" s="13" t="s">
        <v>2077</v>
      </c>
      <c r="M168" s="13" t="s">
        <v>2077</v>
      </c>
      <c r="N168" s="211" t="s">
        <v>2415</v>
      </c>
      <c r="O168" s="13" t="s">
        <v>2416</v>
      </c>
      <c r="P168" s="69" t="str">
        <f t="shared" ref="P168:Q168" si="166">D168</f>
        <v>MACHINING REWORK</v>
      </c>
      <c r="Q168" s="13" t="str">
        <f t="shared" si="166"/>
        <v>2GA</v>
      </c>
      <c r="R168" s="212" t="s">
        <v>23</v>
      </c>
      <c r="S168" s="212" t="s">
        <v>23</v>
      </c>
      <c r="T168" s="13">
        <v>85</v>
      </c>
      <c r="U168" s="211" t="s">
        <v>134</v>
      </c>
      <c r="V168" s="13">
        <v>1</v>
      </c>
      <c r="W168" s="13" t="s">
        <v>2417</v>
      </c>
      <c r="X168" s="13" t="s">
        <v>1924</v>
      </c>
      <c r="Y168" s="13" t="s">
        <v>2073</v>
      </c>
      <c r="Z168" s="13" t="s">
        <v>2073</v>
      </c>
      <c r="AA168" s="13" t="s">
        <v>2073</v>
      </c>
      <c r="AB168" s="13" t="s">
        <v>1924</v>
      </c>
      <c r="AC168" s="211" t="s">
        <v>2415</v>
      </c>
      <c r="AD168" s="13" t="s">
        <v>2416</v>
      </c>
      <c r="AE168" s="69" t="s">
        <v>741</v>
      </c>
      <c r="AF168" s="13" t="s">
        <v>2418</v>
      </c>
      <c r="AG168" s="13" t="s">
        <v>2419</v>
      </c>
      <c r="AH168" s="13" t="s">
        <v>2420</v>
      </c>
      <c r="AI168" s="13" t="s">
        <v>2421</v>
      </c>
      <c r="AJ168" s="13" t="s">
        <v>2422</v>
      </c>
      <c r="AK168" s="13" t="s">
        <v>2416</v>
      </c>
      <c r="AL168" s="13" t="s">
        <v>2077</v>
      </c>
      <c r="AM168" s="13" t="s">
        <v>2077</v>
      </c>
      <c r="AN168" s="13" t="s">
        <v>2077</v>
      </c>
      <c r="AO168" s="13" t="s">
        <v>2077</v>
      </c>
      <c r="AP168" s="13" t="s">
        <v>2077</v>
      </c>
      <c r="AQ168" s="13" t="s">
        <v>2077</v>
      </c>
      <c r="AR168" s="13" t="s">
        <v>2418</v>
      </c>
      <c r="AS168" s="13" t="s">
        <v>2419</v>
      </c>
      <c r="AT168" s="13" t="s">
        <v>2420</v>
      </c>
      <c r="AU168" s="13" t="s">
        <v>2421</v>
      </c>
      <c r="AV168" s="13" t="s">
        <v>2422</v>
      </c>
      <c r="AW168" s="13" t="s">
        <v>2416</v>
      </c>
      <c r="AX168" s="13" t="s">
        <v>2073</v>
      </c>
      <c r="AY168" s="13" t="s">
        <v>2073</v>
      </c>
      <c r="AZ168" s="13" t="s">
        <v>2073</v>
      </c>
      <c r="BA168" s="13" t="s">
        <v>2073</v>
      </c>
      <c r="BB168" s="13" t="s">
        <v>2073</v>
      </c>
      <c r="BC168" s="13" t="s">
        <v>2073</v>
      </c>
    </row>
    <row r="169" spans="1:55" ht="15.75" customHeight="1">
      <c r="A169" s="13">
        <v>2000</v>
      </c>
      <c r="B169" s="7" t="s">
        <v>744</v>
      </c>
      <c r="C169" s="211" t="s">
        <v>2412</v>
      </c>
      <c r="D169" s="13" t="s">
        <v>743</v>
      </c>
      <c r="E169" s="13" t="s">
        <v>657</v>
      </c>
      <c r="F169" s="211" t="s">
        <v>2413</v>
      </c>
      <c r="G169" s="13" t="s">
        <v>2414</v>
      </c>
      <c r="H169" s="13" t="s">
        <v>2077</v>
      </c>
      <c r="I169" s="13" t="s">
        <v>2077</v>
      </c>
      <c r="J169" s="13" t="s">
        <v>2077</v>
      </c>
      <c r="K169" s="13" t="s">
        <v>2077</v>
      </c>
      <c r="L169" s="13" t="s">
        <v>2077</v>
      </c>
      <c r="M169" s="13" t="s">
        <v>2077</v>
      </c>
      <c r="N169" s="211" t="s">
        <v>2415</v>
      </c>
      <c r="O169" s="13" t="s">
        <v>2416</v>
      </c>
      <c r="P169" s="69" t="str">
        <f t="shared" ref="P169:Q169" si="167">D169</f>
        <v>SUB ASSY MACHINING CG</v>
      </c>
      <c r="Q169" s="13" t="str">
        <f t="shared" si="167"/>
        <v>2GA</v>
      </c>
      <c r="R169" s="212" t="s">
        <v>23</v>
      </c>
      <c r="S169" s="213">
        <v>0.97916666666666663</v>
      </c>
      <c r="T169" s="13">
        <v>85</v>
      </c>
      <c r="U169" s="211" t="s">
        <v>83</v>
      </c>
      <c r="V169" s="13">
        <v>1</v>
      </c>
      <c r="W169" s="13" t="s">
        <v>2417</v>
      </c>
      <c r="X169" s="13" t="s">
        <v>1924</v>
      </c>
      <c r="Y169" s="13" t="s">
        <v>2073</v>
      </c>
      <c r="Z169" s="13" t="s">
        <v>2073</v>
      </c>
      <c r="AA169" s="13" t="s">
        <v>2073</v>
      </c>
      <c r="AB169" s="13" t="s">
        <v>1924</v>
      </c>
      <c r="AC169" s="211" t="s">
        <v>2415</v>
      </c>
      <c r="AD169" s="13" t="s">
        <v>2416</v>
      </c>
      <c r="AE169" s="69">
        <v>1111061001</v>
      </c>
      <c r="AF169" s="13" t="s">
        <v>2418</v>
      </c>
      <c r="AG169" s="13" t="s">
        <v>2419</v>
      </c>
      <c r="AH169" s="13" t="s">
        <v>2420</v>
      </c>
      <c r="AI169" s="13" t="s">
        <v>2421</v>
      </c>
      <c r="AJ169" s="13" t="s">
        <v>2422</v>
      </c>
      <c r="AK169" s="13" t="s">
        <v>2416</v>
      </c>
      <c r="AL169" s="13" t="s">
        <v>2077</v>
      </c>
      <c r="AM169" s="13" t="s">
        <v>2077</v>
      </c>
      <c r="AN169" s="13" t="s">
        <v>2077</v>
      </c>
      <c r="AO169" s="13" t="s">
        <v>2077</v>
      </c>
      <c r="AP169" s="13" t="s">
        <v>2077</v>
      </c>
      <c r="AQ169" s="13" t="s">
        <v>2077</v>
      </c>
      <c r="AR169" s="13" t="s">
        <v>2418</v>
      </c>
      <c r="AS169" s="13" t="s">
        <v>2419</v>
      </c>
      <c r="AT169" s="13" t="s">
        <v>2420</v>
      </c>
      <c r="AU169" s="13" t="s">
        <v>2421</v>
      </c>
      <c r="AV169" s="13" t="s">
        <v>2422</v>
      </c>
      <c r="AW169" s="13" t="s">
        <v>2416</v>
      </c>
      <c r="AX169" s="13" t="s">
        <v>2073</v>
      </c>
      <c r="AY169" s="13" t="s">
        <v>2073</v>
      </c>
      <c r="AZ169" s="13" t="s">
        <v>2073</v>
      </c>
      <c r="BA169" s="13" t="s">
        <v>2073</v>
      </c>
      <c r="BB169" s="13" t="s">
        <v>2073</v>
      </c>
      <c r="BC169" s="13" t="s">
        <v>2073</v>
      </c>
    </row>
    <row r="170" spans="1:55" ht="15.75" customHeight="1">
      <c r="A170" s="13">
        <v>2000</v>
      </c>
      <c r="B170" s="7" t="s">
        <v>747</v>
      </c>
      <c r="C170" s="211" t="s">
        <v>2412</v>
      </c>
      <c r="D170" s="13" t="s">
        <v>748</v>
      </c>
      <c r="E170" s="13" t="s">
        <v>751</v>
      </c>
      <c r="F170" s="211" t="s">
        <v>2413</v>
      </c>
      <c r="G170" s="13" t="s">
        <v>2414</v>
      </c>
      <c r="H170" s="13" t="s">
        <v>2077</v>
      </c>
      <c r="I170" s="13" t="s">
        <v>2077</v>
      </c>
      <c r="J170" s="13" t="s">
        <v>2077</v>
      </c>
      <c r="K170" s="13" t="s">
        <v>2077</v>
      </c>
      <c r="L170" s="13" t="s">
        <v>2077</v>
      </c>
      <c r="M170" s="13" t="s">
        <v>2077</v>
      </c>
      <c r="N170" s="211" t="s">
        <v>2415</v>
      </c>
      <c r="O170" s="13" t="s">
        <v>2416</v>
      </c>
      <c r="P170" s="69" t="str">
        <f t="shared" ref="P170:Q170" si="168">D170</f>
        <v>EDGE BANDING  A</v>
      </c>
      <c r="Q170" s="13" t="str">
        <f t="shared" si="168"/>
        <v>2EB</v>
      </c>
      <c r="R170" s="212" t="s">
        <v>23</v>
      </c>
      <c r="S170" s="213">
        <v>0.97916666666666663</v>
      </c>
      <c r="T170" s="13">
        <v>85</v>
      </c>
      <c r="U170" s="211" t="s">
        <v>83</v>
      </c>
      <c r="V170" s="13">
        <v>1</v>
      </c>
      <c r="W170" s="13" t="s">
        <v>2417</v>
      </c>
      <c r="X170" s="13" t="s">
        <v>1924</v>
      </c>
      <c r="Y170" s="13" t="s">
        <v>2073</v>
      </c>
      <c r="Z170" s="13" t="s">
        <v>2073</v>
      </c>
      <c r="AA170" s="13" t="s">
        <v>2073</v>
      </c>
      <c r="AB170" s="13" t="s">
        <v>1924</v>
      </c>
      <c r="AC170" s="211" t="s">
        <v>2415</v>
      </c>
      <c r="AD170" s="13" t="s">
        <v>2416</v>
      </c>
      <c r="AE170" s="69" t="s">
        <v>749</v>
      </c>
      <c r="AF170" s="13" t="s">
        <v>2418</v>
      </c>
      <c r="AG170" s="13" t="s">
        <v>2419</v>
      </c>
      <c r="AH170" s="13" t="s">
        <v>2420</v>
      </c>
      <c r="AI170" s="13" t="s">
        <v>2421</v>
      </c>
      <c r="AJ170" s="13" t="s">
        <v>2422</v>
      </c>
      <c r="AK170" s="13" t="s">
        <v>2416</v>
      </c>
      <c r="AL170" s="13" t="s">
        <v>2077</v>
      </c>
      <c r="AM170" s="13" t="s">
        <v>2077</v>
      </c>
      <c r="AN170" s="13" t="s">
        <v>2077</v>
      </c>
      <c r="AO170" s="13" t="s">
        <v>2077</v>
      </c>
      <c r="AP170" s="13" t="s">
        <v>2077</v>
      </c>
      <c r="AQ170" s="13" t="s">
        <v>2077</v>
      </c>
      <c r="AR170" s="13" t="s">
        <v>2418</v>
      </c>
      <c r="AS170" s="13" t="s">
        <v>2419</v>
      </c>
      <c r="AT170" s="13" t="s">
        <v>2420</v>
      </c>
      <c r="AU170" s="13" t="s">
        <v>2421</v>
      </c>
      <c r="AV170" s="13" t="s">
        <v>2422</v>
      </c>
      <c r="AW170" s="13" t="s">
        <v>2416</v>
      </c>
      <c r="AX170" s="13" t="s">
        <v>2073</v>
      </c>
      <c r="AY170" s="13" t="s">
        <v>2073</v>
      </c>
      <c r="AZ170" s="13" t="s">
        <v>2073</v>
      </c>
      <c r="BA170" s="13" t="s">
        <v>2073</v>
      </c>
      <c r="BB170" s="13" t="s">
        <v>2073</v>
      </c>
      <c r="BC170" s="13" t="s">
        <v>2073</v>
      </c>
    </row>
    <row r="171" spans="1:55" ht="15.75" customHeight="1">
      <c r="A171" s="13">
        <v>2000</v>
      </c>
      <c r="B171" s="7" t="s">
        <v>754</v>
      </c>
      <c r="C171" s="211" t="s">
        <v>2412</v>
      </c>
      <c r="D171" s="13" t="s">
        <v>755</v>
      </c>
      <c r="E171" s="13" t="s">
        <v>751</v>
      </c>
      <c r="F171" s="211" t="s">
        <v>2413</v>
      </c>
      <c r="G171" s="13" t="s">
        <v>2414</v>
      </c>
      <c r="H171" s="13" t="s">
        <v>2077</v>
      </c>
      <c r="I171" s="13" t="s">
        <v>2077</v>
      </c>
      <c r="J171" s="13" t="s">
        <v>2077</v>
      </c>
      <c r="K171" s="13" t="s">
        <v>2077</v>
      </c>
      <c r="L171" s="13" t="s">
        <v>2077</v>
      </c>
      <c r="M171" s="13" t="s">
        <v>2077</v>
      </c>
      <c r="N171" s="211" t="s">
        <v>2415</v>
      </c>
      <c r="O171" s="13" t="s">
        <v>2416</v>
      </c>
      <c r="P171" s="69" t="str">
        <f t="shared" ref="P171:Q171" si="169">D171</f>
        <v>Edge Banding B</v>
      </c>
      <c r="Q171" s="13" t="str">
        <f t="shared" si="169"/>
        <v>2EB</v>
      </c>
      <c r="R171" s="212" t="s">
        <v>23</v>
      </c>
      <c r="S171" s="213">
        <v>0.97916666666666663</v>
      </c>
      <c r="T171" s="13">
        <v>85</v>
      </c>
      <c r="U171" s="211" t="s">
        <v>83</v>
      </c>
      <c r="V171" s="13">
        <v>1</v>
      </c>
      <c r="W171" s="13" t="s">
        <v>2417</v>
      </c>
      <c r="X171" s="13" t="s">
        <v>1924</v>
      </c>
      <c r="Y171" s="13" t="s">
        <v>2073</v>
      </c>
      <c r="Z171" s="13" t="s">
        <v>2073</v>
      </c>
      <c r="AA171" s="13" t="s">
        <v>2073</v>
      </c>
      <c r="AB171" s="13" t="s">
        <v>1924</v>
      </c>
      <c r="AC171" s="211" t="s">
        <v>2415</v>
      </c>
      <c r="AD171" s="13" t="s">
        <v>2416</v>
      </c>
      <c r="AE171" s="69" t="s">
        <v>749</v>
      </c>
      <c r="AF171" s="13" t="s">
        <v>2418</v>
      </c>
      <c r="AG171" s="13" t="s">
        <v>2419</v>
      </c>
      <c r="AH171" s="13" t="s">
        <v>2420</v>
      </c>
      <c r="AI171" s="13" t="s">
        <v>2421</v>
      </c>
      <c r="AJ171" s="13" t="s">
        <v>2422</v>
      </c>
      <c r="AK171" s="13" t="s">
        <v>2416</v>
      </c>
      <c r="AL171" s="13" t="s">
        <v>2077</v>
      </c>
      <c r="AM171" s="13" t="s">
        <v>2077</v>
      </c>
      <c r="AN171" s="13" t="s">
        <v>2077</v>
      </c>
      <c r="AO171" s="13" t="s">
        <v>2077</v>
      </c>
      <c r="AP171" s="13" t="s">
        <v>2077</v>
      </c>
      <c r="AQ171" s="13" t="s">
        <v>2077</v>
      </c>
      <c r="AR171" s="13" t="s">
        <v>2418</v>
      </c>
      <c r="AS171" s="13" t="s">
        <v>2419</v>
      </c>
      <c r="AT171" s="13" t="s">
        <v>2420</v>
      </c>
      <c r="AU171" s="13" t="s">
        <v>2421</v>
      </c>
      <c r="AV171" s="13" t="s">
        <v>2422</v>
      </c>
      <c r="AW171" s="13" t="s">
        <v>2416</v>
      </c>
      <c r="AX171" s="13" t="s">
        <v>2073</v>
      </c>
      <c r="AY171" s="13" t="s">
        <v>2073</v>
      </c>
      <c r="AZ171" s="13" t="s">
        <v>2073</v>
      </c>
      <c r="BA171" s="13" t="s">
        <v>2073</v>
      </c>
      <c r="BB171" s="13" t="s">
        <v>2073</v>
      </c>
      <c r="BC171" s="13" t="s">
        <v>2073</v>
      </c>
    </row>
    <row r="172" spans="1:55" ht="15.75" customHeight="1">
      <c r="A172" s="13">
        <v>2000</v>
      </c>
      <c r="B172" s="7" t="s">
        <v>778</v>
      </c>
      <c r="C172" s="211" t="s">
        <v>2412</v>
      </c>
      <c r="D172" s="13" t="s">
        <v>2277</v>
      </c>
      <c r="E172" s="13" t="s">
        <v>780</v>
      </c>
      <c r="F172" s="211" t="s">
        <v>2413</v>
      </c>
      <c r="G172" s="13" t="s">
        <v>2414</v>
      </c>
      <c r="H172" s="13" t="s">
        <v>2077</v>
      </c>
      <c r="I172" s="13" t="s">
        <v>2077</v>
      </c>
      <c r="J172" s="13" t="s">
        <v>2077</v>
      </c>
      <c r="K172" s="13" t="s">
        <v>2077</v>
      </c>
      <c r="L172" s="13" t="s">
        <v>2077</v>
      </c>
      <c r="M172" s="13" t="s">
        <v>2077</v>
      </c>
      <c r="N172" s="211" t="s">
        <v>2415</v>
      </c>
      <c r="O172" s="13" t="s">
        <v>2416</v>
      </c>
      <c r="P172" s="69" t="str">
        <f t="shared" ref="P172:Q172" si="170">D172</f>
        <v>CASE GOOD D LIFTER A</v>
      </c>
      <c r="Q172" s="13" t="str">
        <f t="shared" si="170"/>
        <v>2GD</v>
      </c>
      <c r="R172" s="212" t="s">
        <v>23</v>
      </c>
      <c r="S172" s="213">
        <v>0.83333333333333337</v>
      </c>
      <c r="T172" s="13">
        <v>85</v>
      </c>
      <c r="U172" s="211" t="s">
        <v>83</v>
      </c>
      <c r="V172" s="13">
        <v>1</v>
      </c>
      <c r="W172" s="13" t="s">
        <v>2417</v>
      </c>
      <c r="X172" s="13" t="s">
        <v>1924</v>
      </c>
      <c r="Y172" s="13" t="s">
        <v>2073</v>
      </c>
      <c r="Z172" s="13" t="s">
        <v>2073</v>
      </c>
      <c r="AA172" s="13" t="s">
        <v>2073</v>
      </c>
      <c r="AB172" s="13" t="s">
        <v>1924</v>
      </c>
      <c r="AC172" s="211" t="s">
        <v>2415</v>
      </c>
      <c r="AD172" s="13" t="s">
        <v>2416</v>
      </c>
      <c r="AE172" s="69" t="s">
        <v>2278</v>
      </c>
      <c r="AF172" s="13" t="s">
        <v>2418</v>
      </c>
      <c r="AG172" s="13" t="s">
        <v>2419</v>
      </c>
      <c r="AH172" s="13" t="s">
        <v>2420</v>
      </c>
      <c r="AI172" s="13" t="s">
        <v>2421</v>
      </c>
      <c r="AJ172" s="13" t="s">
        <v>2422</v>
      </c>
      <c r="AK172" s="13" t="s">
        <v>2416</v>
      </c>
      <c r="AL172" s="13" t="s">
        <v>2077</v>
      </c>
      <c r="AM172" s="13" t="s">
        <v>2077</v>
      </c>
      <c r="AN172" s="13" t="s">
        <v>2077</v>
      </c>
      <c r="AO172" s="13" t="s">
        <v>2077</v>
      </c>
      <c r="AP172" s="13" t="s">
        <v>2077</v>
      </c>
      <c r="AQ172" s="13" t="s">
        <v>2077</v>
      </c>
      <c r="AR172" s="13" t="s">
        <v>2418</v>
      </c>
      <c r="AS172" s="13" t="s">
        <v>2419</v>
      </c>
      <c r="AT172" s="13" t="s">
        <v>2420</v>
      </c>
      <c r="AU172" s="13" t="s">
        <v>2421</v>
      </c>
      <c r="AV172" s="13" t="s">
        <v>2422</v>
      </c>
      <c r="AW172" s="13" t="s">
        <v>2416</v>
      </c>
      <c r="AX172" s="13" t="s">
        <v>2073</v>
      </c>
      <c r="AY172" s="13" t="s">
        <v>2073</v>
      </c>
      <c r="AZ172" s="13" t="s">
        <v>2073</v>
      </c>
      <c r="BA172" s="13" t="s">
        <v>2073</v>
      </c>
      <c r="BB172" s="13" t="s">
        <v>2073</v>
      </c>
      <c r="BC172" s="13" t="s">
        <v>2073</v>
      </c>
    </row>
    <row r="173" spans="1:55" ht="15.75" customHeight="1">
      <c r="A173" s="13">
        <v>2000</v>
      </c>
      <c r="B173" s="7" t="s">
        <v>783</v>
      </c>
      <c r="C173" s="211" t="s">
        <v>2412</v>
      </c>
      <c r="D173" s="13" t="s">
        <v>2279</v>
      </c>
      <c r="E173" s="13" t="s">
        <v>780</v>
      </c>
      <c r="F173" s="211" t="s">
        <v>2413</v>
      </c>
      <c r="G173" s="13" t="s">
        <v>2414</v>
      </c>
      <c r="H173" s="13" t="s">
        <v>2077</v>
      </c>
      <c r="I173" s="13" t="s">
        <v>2077</v>
      </c>
      <c r="J173" s="13" t="s">
        <v>2077</v>
      </c>
      <c r="K173" s="13" t="s">
        <v>2077</v>
      </c>
      <c r="L173" s="13" t="s">
        <v>2077</v>
      </c>
      <c r="M173" s="13" t="s">
        <v>2077</v>
      </c>
      <c r="N173" s="211" t="s">
        <v>2415</v>
      </c>
      <c r="O173" s="13" t="s">
        <v>2416</v>
      </c>
      <c r="P173" s="69" t="str">
        <f t="shared" ref="P173:Q173" si="171">D173</f>
        <v xml:space="preserve">CASE GOOD D LIFTER B </v>
      </c>
      <c r="Q173" s="13" t="str">
        <f t="shared" si="171"/>
        <v>2GD</v>
      </c>
      <c r="R173" s="212" t="s">
        <v>23</v>
      </c>
      <c r="S173" s="213">
        <v>0.83333333333333337</v>
      </c>
      <c r="T173" s="13">
        <v>85</v>
      </c>
      <c r="U173" s="211" t="s">
        <v>83</v>
      </c>
      <c r="V173" s="13">
        <v>1</v>
      </c>
      <c r="W173" s="13" t="s">
        <v>2417</v>
      </c>
      <c r="X173" s="13" t="s">
        <v>1924</v>
      </c>
      <c r="Y173" s="13" t="s">
        <v>2073</v>
      </c>
      <c r="Z173" s="13" t="s">
        <v>2073</v>
      </c>
      <c r="AA173" s="13" t="s">
        <v>2073</v>
      </c>
      <c r="AB173" s="13" t="s">
        <v>1924</v>
      </c>
      <c r="AC173" s="211" t="s">
        <v>2415</v>
      </c>
      <c r="AD173" s="13" t="s">
        <v>2416</v>
      </c>
      <c r="AE173" s="69" t="s">
        <v>2280</v>
      </c>
      <c r="AF173" s="13" t="s">
        <v>2418</v>
      </c>
      <c r="AG173" s="13" t="s">
        <v>2419</v>
      </c>
      <c r="AH173" s="13" t="s">
        <v>2420</v>
      </c>
      <c r="AI173" s="13" t="s">
        <v>2421</v>
      </c>
      <c r="AJ173" s="13" t="s">
        <v>2422</v>
      </c>
      <c r="AK173" s="13" t="s">
        <v>2416</v>
      </c>
      <c r="AL173" s="13" t="s">
        <v>2077</v>
      </c>
      <c r="AM173" s="13" t="s">
        <v>2077</v>
      </c>
      <c r="AN173" s="13" t="s">
        <v>2077</v>
      </c>
      <c r="AO173" s="13" t="s">
        <v>2077</v>
      </c>
      <c r="AP173" s="13" t="s">
        <v>2077</v>
      </c>
      <c r="AQ173" s="13" t="s">
        <v>2077</v>
      </c>
      <c r="AR173" s="13" t="s">
        <v>2418</v>
      </c>
      <c r="AS173" s="13" t="s">
        <v>2419</v>
      </c>
      <c r="AT173" s="13" t="s">
        <v>2420</v>
      </c>
      <c r="AU173" s="13" t="s">
        <v>2421</v>
      </c>
      <c r="AV173" s="13" t="s">
        <v>2422</v>
      </c>
      <c r="AW173" s="13" t="s">
        <v>2416</v>
      </c>
      <c r="AX173" s="13" t="s">
        <v>2073</v>
      </c>
      <c r="AY173" s="13" t="s">
        <v>2073</v>
      </c>
      <c r="AZ173" s="13" t="s">
        <v>2073</v>
      </c>
      <c r="BA173" s="13" t="s">
        <v>2073</v>
      </c>
      <c r="BB173" s="13" t="s">
        <v>2073</v>
      </c>
      <c r="BC173" s="13" t="s">
        <v>2073</v>
      </c>
    </row>
    <row r="174" spans="1:55" ht="15.75" customHeight="1">
      <c r="A174" s="13">
        <v>2000</v>
      </c>
      <c r="B174" s="7" t="s">
        <v>852</v>
      </c>
      <c r="C174" s="211" t="s">
        <v>2412</v>
      </c>
      <c r="D174" s="13" t="s">
        <v>851</v>
      </c>
      <c r="E174" s="13" t="s">
        <v>855</v>
      </c>
      <c r="F174" s="211" t="s">
        <v>2413</v>
      </c>
      <c r="G174" s="13" t="s">
        <v>2414</v>
      </c>
      <c r="H174" s="13" t="s">
        <v>2077</v>
      </c>
      <c r="I174" s="13" t="s">
        <v>2077</v>
      </c>
      <c r="J174" s="13" t="s">
        <v>2077</v>
      </c>
      <c r="K174" s="13" t="s">
        <v>2077</v>
      </c>
      <c r="L174" s="13" t="s">
        <v>2077</v>
      </c>
      <c r="M174" s="13" t="s">
        <v>2077</v>
      </c>
      <c r="N174" s="211" t="s">
        <v>2415</v>
      </c>
      <c r="O174" s="13" t="s">
        <v>2416</v>
      </c>
      <c r="P174" s="69" t="str">
        <f t="shared" ref="P174:Q174" si="172">D174</f>
        <v xml:space="preserve">Mixing </v>
      </c>
      <c r="Q174" s="13" t="str">
        <f t="shared" si="172"/>
        <v>2GF</v>
      </c>
      <c r="R174" s="212" t="s">
        <v>23</v>
      </c>
      <c r="S174" s="213">
        <v>0.875</v>
      </c>
      <c r="T174" s="13">
        <v>85</v>
      </c>
      <c r="U174" s="211" t="s">
        <v>83</v>
      </c>
      <c r="V174" s="13">
        <v>1</v>
      </c>
      <c r="W174" s="13" t="s">
        <v>2417</v>
      </c>
      <c r="X174" s="13" t="s">
        <v>1924</v>
      </c>
      <c r="Y174" s="13" t="s">
        <v>2073</v>
      </c>
      <c r="Z174" s="13" t="s">
        <v>2073</v>
      </c>
      <c r="AA174" s="13" t="s">
        <v>2073</v>
      </c>
      <c r="AB174" s="13" t="s">
        <v>1924</v>
      </c>
      <c r="AC174" s="211" t="s">
        <v>2415</v>
      </c>
      <c r="AD174" s="13" t="s">
        <v>2416</v>
      </c>
      <c r="AE174" s="69" t="s">
        <v>853</v>
      </c>
      <c r="AF174" s="13" t="s">
        <v>2418</v>
      </c>
      <c r="AG174" s="13" t="s">
        <v>2419</v>
      </c>
      <c r="AH174" s="13" t="s">
        <v>2420</v>
      </c>
      <c r="AI174" s="13" t="s">
        <v>2421</v>
      </c>
      <c r="AJ174" s="13" t="s">
        <v>2422</v>
      </c>
      <c r="AK174" s="13" t="s">
        <v>2416</v>
      </c>
      <c r="AL174" s="13" t="s">
        <v>2077</v>
      </c>
      <c r="AM174" s="13" t="s">
        <v>2077</v>
      </c>
      <c r="AN174" s="13" t="s">
        <v>2077</v>
      </c>
      <c r="AO174" s="13" t="s">
        <v>2077</v>
      </c>
      <c r="AP174" s="13" t="s">
        <v>2077</v>
      </c>
      <c r="AQ174" s="13" t="s">
        <v>2077</v>
      </c>
      <c r="AR174" s="13" t="s">
        <v>2418</v>
      </c>
      <c r="AS174" s="13" t="s">
        <v>2419</v>
      </c>
      <c r="AT174" s="13" t="s">
        <v>2420</v>
      </c>
      <c r="AU174" s="13" t="s">
        <v>2421</v>
      </c>
      <c r="AV174" s="13" t="s">
        <v>2422</v>
      </c>
      <c r="AW174" s="13" t="s">
        <v>2416</v>
      </c>
      <c r="AX174" s="13" t="s">
        <v>2073</v>
      </c>
      <c r="AY174" s="13" t="s">
        <v>2073</v>
      </c>
      <c r="AZ174" s="13" t="s">
        <v>2073</v>
      </c>
      <c r="BA174" s="13" t="s">
        <v>2073</v>
      </c>
      <c r="BB174" s="13" t="s">
        <v>2073</v>
      </c>
      <c r="BC174" s="13" t="s">
        <v>2073</v>
      </c>
    </row>
    <row r="175" spans="1:55" ht="15.75" customHeight="1">
      <c r="A175" s="13">
        <v>2000</v>
      </c>
      <c r="B175" s="7" t="s">
        <v>858</v>
      </c>
      <c r="C175" s="211" t="s">
        <v>2412</v>
      </c>
      <c r="D175" s="13" t="s">
        <v>857</v>
      </c>
      <c r="E175" s="13" t="s">
        <v>855</v>
      </c>
      <c r="F175" s="211" t="s">
        <v>2413</v>
      </c>
      <c r="G175" s="13" t="s">
        <v>2414</v>
      </c>
      <c r="H175" s="13" t="s">
        <v>2077</v>
      </c>
      <c r="I175" s="13" t="s">
        <v>2077</v>
      </c>
      <c r="J175" s="13" t="s">
        <v>2077</v>
      </c>
      <c r="K175" s="13" t="s">
        <v>2077</v>
      </c>
      <c r="L175" s="13" t="s">
        <v>2077</v>
      </c>
      <c r="M175" s="13" t="s">
        <v>2077</v>
      </c>
      <c r="N175" s="211" t="s">
        <v>2415</v>
      </c>
      <c r="O175" s="13" t="s">
        <v>2416</v>
      </c>
      <c r="P175" s="69" t="str">
        <f t="shared" ref="P175:Q175" si="173">D175</f>
        <v>PROSES GILDING</v>
      </c>
      <c r="Q175" s="13" t="str">
        <f t="shared" si="173"/>
        <v>2GF</v>
      </c>
      <c r="R175" s="212" t="s">
        <v>23</v>
      </c>
      <c r="S175" s="213">
        <v>0.83333333333333337</v>
      </c>
      <c r="T175" s="13">
        <v>85</v>
      </c>
      <c r="U175" s="211" t="s">
        <v>83</v>
      </c>
      <c r="V175" s="13">
        <v>1</v>
      </c>
      <c r="W175" s="13" t="s">
        <v>2417</v>
      </c>
      <c r="X175" s="13" t="s">
        <v>1924</v>
      </c>
      <c r="Y175" s="13" t="s">
        <v>2073</v>
      </c>
      <c r="Z175" s="13" t="s">
        <v>2073</v>
      </c>
      <c r="AA175" s="13" t="s">
        <v>2073</v>
      </c>
      <c r="AB175" s="13" t="s">
        <v>1924</v>
      </c>
      <c r="AC175" s="211" t="s">
        <v>2415</v>
      </c>
      <c r="AD175" s="13" t="s">
        <v>2416</v>
      </c>
      <c r="AE175" s="69" t="s">
        <v>859</v>
      </c>
      <c r="AF175" s="13" t="s">
        <v>2418</v>
      </c>
      <c r="AG175" s="13" t="s">
        <v>2419</v>
      </c>
      <c r="AH175" s="13" t="s">
        <v>2420</v>
      </c>
      <c r="AI175" s="13" t="s">
        <v>2421</v>
      </c>
      <c r="AJ175" s="13" t="s">
        <v>2422</v>
      </c>
      <c r="AK175" s="13" t="s">
        <v>2416</v>
      </c>
      <c r="AL175" s="13" t="s">
        <v>2077</v>
      </c>
      <c r="AM175" s="13" t="s">
        <v>2077</v>
      </c>
      <c r="AN175" s="13" t="s">
        <v>2077</v>
      </c>
      <c r="AO175" s="13" t="s">
        <v>2077</v>
      </c>
      <c r="AP175" s="13" t="s">
        <v>2077</v>
      </c>
      <c r="AQ175" s="13" t="s">
        <v>2077</v>
      </c>
      <c r="AR175" s="13" t="s">
        <v>2418</v>
      </c>
      <c r="AS175" s="13" t="s">
        <v>2419</v>
      </c>
      <c r="AT175" s="13" t="s">
        <v>2420</v>
      </c>
      <c r="AU175" s="13" t="s">
        <v>2421</v>
      </c>
      <c r="AV175" s="13" t="s">
        <v>2422</v>
      </c>
      <c r="AW175" s="13" t="s">
        <v>2416</v>
      </c>
      <c r="AX175" s="13" t="s">
        <v>2073</v>
      </c>
      <c r="AY175" s="13" t="s">
        <v>2073</v>
      </c>
      <c r="AZ175" s="13" t="s">
        <v>2073</v>
      </c>
      <c r="BA175" s="13" t="s">
        <v>2073</v>
      </c>
      <c r="BB175" s="13" t="s">
        <v>2073</v>
      </c>
      <c r="BC175" s="13" t="s">
        <v>2073</v>
      </c>
    </row>
    <row r="176" spans="1:55" ht="15.75" customHeight="1">
      <c r="A176" s="13">
        <v>2000</v>
      </c>
      <c r="B176" s="7" t="s">
        <v>862</v>
      </c>
      <c r="C176" s="211" t="s">
        <v>2412</v>
      </c>
      <c r="D176" s="13" t="s">
        <v>861</v>
      </c>
      <c r="E176" s="13" t="s">
        <v>855</v>
      </c>
      <c r="F176" s="211" t="s">
        <v>2413</v>
      </c>
      <c r="G176" s="13" t="s">
        <v>2414</v>
      </c>
      <c r="H176" s="13" t="s">
        <v>2077</v>
      </c>
      <c r="I176" s="13" t="s">
        <v>2077</v>
      </c>
      <c r="J176" s="13" t="s">
        <v>2077</v>
      </c>
      <c r="K176" s="13" t="s">
        <v>2077</v>
      </c>
      <c r="L176" s="13" t="s">
        <v>2077</v>
      </c>
      <c r="M176" s="13" t="s">
        <v>2077</v>
      </c>
      <c r="N176" s="211" t="s">
        <v>2415</v>
      </c>
      <c r="O176" s="13" t="s">
        <v>2416</v>
      </c>
      <c r="P176" s="69" t="str">
        <f t="shared" ref="P176:Q176" si="174">D176</f>
        <v>Painting Case Goods</v>
      </c>
      <c r="Q176" s="13" t="str">
        <f t="shared" si="174"/>
        <v>2GF</v>
      </c>
      <c r="R176" s="212" t="s">
        <v>23</v>
      </c>
      <c r="S176" s="213">
        <v>0.83333333333333337</v>
      </c>
      <c r="T176" s="13">
        <v>85</v>
      </c>
      <c r="U176" s="211" t="s">
        <v>83</v>
      </c>
      <c r="V176" s="13">
        <v>1</v>
      </c>
      <c r="W176" s="13" t="s">
        <v>2417</v>
      </c>
      <c r="X176" s="13" t="s">
        <v>1924</v>
      </c>
      <c r="Y176" s="13" t="s">
        <v>2073</v>
      </c>
      <c r="Z176" s="13" t="s">
        <v>2073</v>
      </c>
      <c r="AA176" s="13" t="s">
        <v>2073</v>
      </c>
      <c r="AB176" s="13" t="s">
        <v>1924</v>
      </c>
      <c r="AC176" s="211" t="s">
        <v>2415</v>
      </c>
      <c r="AD176" s="13" t="s">
        <v>2416</v>
      </c>
      <c r="AE176" s="69" t="s">
        <v>863</v>
      </c>
      <c r="AF176" s="13" t="s">
        <v>2418</v>
      </c>
      <c r="AG176" s="13" t="s">
        <v>2419</v>
      </c>
      <c r="AH176" s="13" t="s">
        <v>2420</v>
      </c>
      <c r="AI176" s="13" t="s">
        <v>2421</v>
      </c>
      <c r="AJ176" s="13" t="s">
        <v>2422</v>
      </c>
      <c r="AK176" s="13" t="s">
        <v>2416</v>
      </c>
      <c r="AL176" s="13" t="s">
        <v>2077</v>
      </c>
      <c r="AM176" s="13" t="s">
        <v>2077</v>
      </c>
      <c r="AN176" s="13" t="s">
        <v>2077</v>
      </c>
      <c r="AO176" s="13" t="s">
        <v>2077</v>
      </c>
      <c r="AP176" s="13" t="s">
        <v>2077</v>
      </c>
      <c r="AQ176" s="13" t="s">
        <v>2077</v>
      </c>
      <c r="AR176" s="13" t="s">
        <v>2418</v>
      </c>
      <c r="AS176" s="13" t="s">
        <v>2419</v>
      </c>
      <c r="AT176" s="13" t="s">
        <v>2420</v>
      </c>
      <c r="AU176" s="13" t="s">
        <v>2421</v>
      </c>
      <c r="AV176" s="13" t="s">
        <v>2422</v>
      </c>
      <c r="AW176" s="13" t="s">
        <v>2416</v>
      </c>
      <c r="AX176" s="13" t="s">
        <v>2073</v>
      </c>
      <c r="AY176" s="13" t="s">
        <v>2073</v>
      </c>
      <c r="AZ176" s="13" t="s">
        <v>2073</v>
      </c>
      <c r="BA176" s="13" t="s">
        <v>2073</v>
      </c>
      <c r="BB176" s="13" t="s">
        <v>2073</v>
      </c>
      <c r="BC176" s="13" t="s">
        <v>2073</v>
      </c>
    </row>
    <row r="177" spans="1:55" ht="15.75" customHeight="1">
      <c r="A177" s="13">
        <v>2000</v>
      </c>
      <c r="B177" s="7" t="s">
        <v>866</v>
      </c>
      <c r="C177" s="211" t="s">
        <v>2412</v>
      </c>
      <c r="D177" s="13" t="s">
        <v>865</v>
      </c>
      <c r="E177" s="13" t="s">
        <v>855</v>
      </c>
      <c r="F177" s="211" t="s">
        <v>2413</v>
      </c>
      <c r="G177" s="13" t="s">
        <v>2414</v>
      </c>
      <c r="H177" s="13" t="s">
        <v>2077</v>
      </c>
      <c r="I177" s="13" t="s">
        <v>2077</v>
      </c>
      <c r="J177" s="13" t="s">
        <v>2077</v>
      </c>
      <c r="K177" s="13" t="s">
        <v>2077</v>
      </c>
      <c r="L177" s="13" t="s">
        <v>2077</v>
      </c>
      <c r="M177" s="13" t="s">
        <v>2077</v>
      </c>
      <c r="N177" s="211" t="s">
        <v>2415</v>
      </c>
      <c r="O177" s="13" t="s">
        <v>2416</v>
      </c>
      <c r="P177" s="69" t="str">
        <f t="shared" ref="P177:Q177" si="175">D177</f>
        <v>CASE Goods  Manual Painting</v>
      </c>
      <c r="Q177" s="13" t="str">
        <f t="shared" si="175"/>
        <v>2GF</v>
      </c>
      <c r="R177" s="212" t="s">
        <v>23</v>
      </c>
      <c r="S177" s="213">
        <v>0.83333333333333337</v>
      </c>
      <c r="T177" s="13">
        <v>85</v>
      </c>
      <c r="U177" s="211" t="s">
        <v>83</v>
      </c>
      <c r="V177" s="13">
        <v>1</v>
      </c>
      <c r="W177" s="13" t="s">
        <v>2417</v>
      </c>
      <c r="X177" s="13" t="s">
        <v>1924</v>
      </c>
      <c r="Y177" s="13" t="s">
        <v>2073</v>
      </c>
      <c r="Z177" s="13" t="s">
        <v>2073</v>
      </c>
      <c r="AA177" s="13" t="s">
        <v>2073</v>
      </c>
      <c r="AB177" s="13" t="s">
        <v>1924</v>
      </c>
      <c r="AC177" s="211" t="s">
        <v>2415</v>
      </c>
      <c r="AD177" s="13" t="s">
        <v>2416</v>
      </c>
      <c r="AE177" s="69" t="s">
        <v>867</v>
      </c>
      <c r="AF177" s="13" t="s">
        <v>2418</v>
      </c>
      <c r="AG177" s="13" t="s">
        <v>2419</v>
      </c>
      <c r="AH177" s="13" t="s">
        <v>2420</v>
      </c>
      <c r="AI177" s="13" t="s">
        <v>2421</v>
      </c>
      <c r="AJ177" s="13" t="s">
        <v>2422</v>
      </c>
      <c r="AK177" s="13" t="s">
        <v>2416</v>
      </c>
      <c r="AL177" s="13" t="s">
        <v>2077</v>
      </c>
      <c r="AM177" s="13" t="s">
        <v>2077</v>
      </c>
      <c r="AN177" s="13" t="s">
        <v>2077</v>
      </c>
      <c r="AO177" s="13" t="s">
        <v>2077</v>
      </c>
      <c r="AP177" s="13" t="s">
        <v>2077</v>
      </c>
      <c r="AQ177" s="13" t="s">
        <v>2077</v>
      </c>
      <c r="AR177" s="13" t="s">
        <v>2418</v>
      </c>
      <c r="AS177" s="13" t="s">
        <v>2419</v>
      </c>
      <c r="AT177" s="13" t="s">
        <v>2420</v>
      </c>
      <c r="AU177" s="13" t="s">
        <v>2421</v>
      </c>
      <c r="AV177" s="13" t="s">
        <v>2422</v>
      </c>
      <c r="AW177" s="13" t="s">
        <v>2416</v>
      </c>
      <c r="AX177" s="13" t="s">
        <v>2073</v>
      </c>
      <c r="AY177" s="13" t="s">
        <v>2073</v>
      </c>
      <c r="AZ177" s="13" t="s">
        <v>2073</v>
      </c>
      <c r="BA177" s="13" t="s">
        <v>2073</v>
      </c>
      <c r="BB177" s="13" t="s">
        <v>2073</v>
      </c>
      <c r="BC177" s="13" t="s">
        <v>2073</v>
      </c>
    </row>
    <row r="178" spans="1:55" ht="15.75" customHeight="1">
      <c r="A178" s="13">
        <v>2000</v>
      </c>
      <c r="B178" s="7" t="s">
        <v>870</v>
      </c>
      <c r="C178" s="211" t="s">
        <v>2412</v>
      </c>
      <c r="D178" s="13" t="s">
        <v>869</v>
      </c>
      <c r="E178" s="13" t="s">
        <v>855</v>
      </c>
      <c r="F178" s="211" t="s">
        <v>2413</v>
      </c>
      <c r="G178" s="13" t="s">
        <v>2414</v>
      </c>
      <c r="H178" s="13" t="s">
        <v>2077</v>
      </c>
      <c r="I178" s="13" t="s">
        <v>2077</v>
      </c>
      <c r="J178" s="13" t="s">
        <v>2077</v>
      </c>
      <c r="K178" s="13" t="s">
        <v>2077</v>
      </c>
      <c r="L178" s="13" t="s">
        <v>2077</v>
      </c>
      <c r="M178" s="13" t="s">
        <v>2077</v>
      </c>
      <c r="N178" s="211" t="s">
        <v>2415</v>
      </c>
      <c r="O178" s="13" t="s">
        <v>2416</v>
      </c>
      <c r="P178" s="69" t="str">
        <f t="shared" ref="P178:Q178" si="176">D178</f>
        <v>CASE Goods  Push Poll 1</v>
      </c>
      <c r="Q178" s="13" t="str">
        <f t="shared" si="176"/>
        <v>2GF</v>
      </c>
      <c r="R178" s="212" t="s">
        <v>23</v>
      </c>
      <c r="S178" s="213">
        <v>0.83333333333333337</v>
      </c>
      <c r="T178" s="13">
        <v>85</v>
      </c>
      <c r="U178" s="211" t="s">
        <v>83</v>
      </c>
      <c r="V178" s="13">
        <v>1</v>
      </c>
      <c r="W178" s="13" t="s">
        <v>2417</v>
      </c>
      <c r="X178" s="13" t="s">
        <v>1924</v>
      </c>
      <c r="Y178" s="13" t="s">
        <v>2073</v>
      </c>
      <c r="Z178" s="13" t="s">
        <v>2073</v>
      </c>
      <c r="AA178" s="13" t="s">
        <v>2073</v>
      </c>
      <c r="AB178" s="13" t="s">
        <v>1924</v>
      </c>
      <c r="AC178" s="211" t="s">
        <v>2415</v>
      </c>
      <c r="AD178" s="13" t="s">
        <v>2416</v>
      </c>
      <c r="AE178" s="69">
        <v>1111091006</v>
      </c>
      <c r="AF178" s="13" t="s">
        <v>2418</v>
      </c>
      <c r="AG178" s="13" t="s">
        <v>2419</v>
      </c>
      <c r="AH178" s="13" t="s">
        <v>2420</v>
      </c>
      <c r="AI178" s="13" t="s">
        <v>2421</v>
      </c>
      <c r="AJ178" s="13" t="s">
        <v>2422</v>
      </c>
      <c r="AK178" s="13" t="s">
        <v>2416</v>
      </c>
      <c r="AL178" s="13" t="s">
        <v>2077</v>
      </c>
      <c r="AM178" s="13" t="s">
        <v>2077</v>
      </c>
      <c r="AN178" s="13" t="s">
        <v>2077</v>
      </c>
      <c r="AO178" s="13" t="s">
        <v>2077</v>
      </c>
      <c r="AP178" s="13" t="s">
        <v>2077</v>
      </c>
      <c r="AQ178" s="13" t="s">
        <v>2077</v>
      </c>
      <c r="AR178" s="13" t="s">
        <v>2418</v>
      </c>
      <c r="AS178" s="13" t="s">
        <v>2419</v>
      </c>
      <c r="AT178" s="13" t="s">
        <v>2420</v>
      </c>
      <c r="AU178" s="13" t="s">
        <v>2421</v>
      </c>
      <c r="AV178" s="13" t="s">
        <v>2422</v>
      </c>
      <c r="AW178" s="13" t="s">
        <v>2416</v>
      </c>
      <c r="AX178" s="13" t="s">
        <v>2073</v>
      </c>
      <c r="AY178" s="13" t="s">
        <v>2073</v>
      </c>
      <c r="AZ178" s="13" t="s">
        <v>2073</v>
      </c>
      <c r="BA178" s="13" t="s">
        <v>2073</v>
      </c>
      <c r="BB178" s="13" t="s">
        <v>2073</v>
      </c>
      <c r="BC178" s="13" t="s">
        <v>2073</v>
      </c>
    </row>
    <row r="179" spans="1:55" ht="15.75" customHeight="1">
      <c r="A179" s="13">
        <v>2000</v>
      </c>
      <c r="B179" s="7" t="s">
        <v>875</v>
      </c>
      <c r="C179" s="211" t="s">
        <v>2412</v>
      </c>
      <c r="D179" s="13" t="s">
        <v>874</v>
      </c>
      <c r="E179" s="13" t="s">
        <v>855</v>
      </c>
      <c r="F179" s="211" t="s">
        <v>2413</v>
      </c>
      <c r="G179" s="13" t="s">
        <v>2414</v>
      </c>
      <c r="H179" s="13" t="s">
        <v>2077</v>
      </c>
      <c r="I179" s="13" t="s">
        <v>2077</v>
      </c>
      <c r="J179" s="13" t="s">
        <v>2077</v>
      </c>
      <c r="K179" s="13" t="s">
        <v>2077</v>
      </c>
      <c r="L179" s="13" t="s">
        <v>2077</v>
      </c>
      <c r="M179" s="13" t="s">
        <v>2077</v>
      </c>
      <c r="N179" s="211" t="s">
        <v>2415</v>
      </c>
      <c r="O179" s="13" t="s">
        <v>2416</v>
      </c>
      <c r="P179" s="69" t="str">
        <f t="shared" ref="P179:Q179" si="177">D179</f>
        <v>CASE Goods Packing LINE 1</v>
      </c>
      <c r="Q179" s="13" t="str">
        <f t="shared" si="177"/>
        <v>2GF</v>
      </c>
      <c r="R179" s="212" t="s">
        <v>23</v>
      </c>
      <c r="S179" s="213">
        <v>0.91666666666666663</v>
      </c>
      <c r="T179" s="13">
        <v>85</v>
      </c>
      <c r="U179" s="211" t="s">
        <v>83</v>
      </c>
      <c r="V179" s="13">
        <v>1</v>
      </c>
      <c r="W179" s="13" t="s">
        <v>2417</v>
      </c>
      <c r="X179" s="13" t="s">
        <v>1924</v>
      </c>
      <c r="Y179" s="13" t="s">
        <v>2073</v>
      </c>
      <c r="Z179" s="13" t="s">
        <v>2073</v>
      </c>
      <c r="AA179" s="13" t="s">
        <v>2073</v>
      </c>
      <c r="AB179" s="13" t="s">
        <v>1924</v>
      </c>
      <c r="AC179" s="211" t="s">
        <v>2415</v>
      </c>
      <c r="AD179" s="13" t="s">
        <v>2416</v>
      </c>
      <c r="AE179" s="69" t="s">
        <v>876</v>
      </c>
      <c r="AF179" s="13" t="s">
        <v>2418</v>
      </c>
      <c r="AG179" s="13" t="s">
        <v>2419</v>
      </c>
      <c r="AH179" s="13" t="s">
        <v>2420</v>
      </c>
      <c r="AI179" s="13" t="s">
        <v>2421</v>
      </c>
      <c r="AJ179" s="13" t="s">
        <v>2422</v>
      </c>
      <c r="AK179" s="13" t="s">
        <v>2416</v>
      </c>
      <c r="AL179" s="13" t="s">
        <v>2077</v>
      </c>
      <c r="AM179" s="13" t="s">
        <v>2077</v>
      </c>
      <c r="AN179" s="13" t="s">
        <v>2077</v>
      </c>
      <c r="AO179" s="13" t="s">
        <v>2077</v>
      </c>
      <c r="AP179" s="13" t="s">
        <v>2077</v>
      </c>
      <c r="AQ179" s="13" t="s">
        <v>2077</v>
      </c>
      <c r="AR179" s="13" t="s">
        <v>2418</v>
      </c>
      <c r="AS179" s="13" t="s">
        <v>2419</v>
      </c>
      <c r="AT179" s="13" t="s">
        <v>2420</v>
      </c>
      <c r="AU179" s="13" t="s">
        <v>2421</v>
      </c>
      <c r="AV179" s="13" t="s">
        <v>2422</v>
      </c>
      <c r="AW179" s="13" t="s">
        <v>2416</v>
      </c>
      <c r="AX179" s="13" t="s">
        <v>2073</v>
      </c>
      <c r="AY179" s="13" t="s">
        <v>2073</v>
      </c>
      <c r="AZ179" s="13" t="s">
        <v>2073</v>
      </c>
      <c r="BA179" s="13" t="s">
        <v>2073</v>
      </c>
      <c r="BB179" s="13" t="s">
        <v>2073</v>
      </c>
      <c r="BC179" s="13" t="s">
        <v>2073</v>
      </c>
    </row>
    <row r="180" spans="1:55" ht="15.75" customHeight="1">
      <c r="A180" s="13">
        <v>2000</v>
      </c>
      <c r="B180" s="7" t="s">
        <v>879</v>
      </c>
      <c r="C180" s="211" t="s">
        <v>2412</v>
      </c>
      <c r="D180" s="13" t="s">
        <v>878</v>
      </c>
      <c r="E180" s="13" t="s">
        <v>855</v>
      </c>
      <c r="F180" s="211" t="s">
        <v>2413</v>
      </c>
      <c r="G180" s="13" t="s">
        <v>2414</v>
      </c>
      <c r="H180" s="13" t="s">
        <v>2077</v>
      </c>
      <c r="I180" s="13" t="s">
        <v>2077</v>
      </c>
      <c r="J180" s="13" t="s">
        <v>2077</v>
      </c>
      <c r="K180" s="13" t="s">
        <v>2077</v>
      </c>
      <c r="L180" s="13" t="s">
        <v>2077</v>
      </c>
      <c r="M180" s="13" t="s">
        <v>2077</v>
      </c>
      <c r="N180" s="211" t="s">
        <v>2415</v>
      </c>
      <c r="O180" s="13" t="s">
        <v>2416</v>
      </c>
      <c r="P180" s="69" t="str">
        <f t="shared" ref="P180:Q180" si="178">D180</f>
        <v>CASE Goods Packing LINE 2</v>
      </c>
      <c r="Q180" s="13" t="str">
        <f t="shared" si="178"/>
        <v>2GF</v>
      </c>
      <c r="R180" s="212" t="s">
        <v>23</v>
      </c>
      <c r="S180" s="213">
        <v>0.91666666666666663</v>
      </c>
      <c r="T180" s="13">
        <v>85</v>
      </c>
      <c r="U180" s="211" t="s">
        <v>83</v>
      </c>
      <c r="V180" s="13">
        <v>1</v>
      </c>
      <c r="W180" s="13" t="s">
        <v>2417</v>
      </c>
      <c r="X180" s="13" t="s">
        <v>1924</v>
      </c>
      <c r="Y180" s="13" t="s">
        <v>2073</v>
      </c>
      <c r="Z180" s="13" t="s">
        <v>2073</v>
      </c>
      <c r="AA180" s="13" t="s">
        <v>2073</v>
      </c>
      <c r="AB180" s="13" t="s">
        <v>1924</v>
      </c>
      <c r="AC180" s="211" t="s">
        <v>2415</v>
      </c>
      <c r="AD180" s="13" t="s">
        <v>2416</v>
      </c>
      <c r="AE180" s="69" t="s">
        <v>880</v>
      </c>
      <c r="AF180" s="13" t="s">
        <v>2418</v>
      </c>
      <c r="AG180" s="13" t="s">
        <v>2419</v>
      </c>
      <c r="AH180" s="13" t="s">
        <v>2420</v>
      </c>
      <c r="AI180" s="13" t="s">
        <v>2421</v>
      </c>
      <c r="AJ180" s="13" t="s">
        <v>2422</v>
      </c>
      <c r="AK180" s="13" t="s">
        <v>2416</v>
      </c>
      <c r="AL180" s="13" t="s">
        <v>2077</v>
      </c>
      <c r="AM180" s="13" t="s">
        <v>2077</v>
      </c>
      <c r="AN180" s="13" t="s">
        <v>2077</v>
      </c>
      <c r="AO180" s="13" t="s">
        <v>2077</v>
      </c>
      <c r="AP180" s="13" t="s">
        <v>2077</v>
      </c>
      <c r="AQ180" s="13" t="s">
        <v>2077</v>
      </c>
      <c r="AR180" s="13" t="s">
        <v>2418</v>
      </c>
      <c r="AS180" s="13" t="s">
        <v>2419</v>
      </c>
      <c r="AT180" s="13" t="s">
        <v>2420</v>
      </c>
      <c r="AU180" s="13" t="s">
        <v>2421</v>
      </c>
      <c r="AV180" s="13" t="s">
        <v>2422</v>
      </c>
      <c r="AW180" s="13" t="s">
        <v>2416</v>
      </c>
      <c r="AX180" s="13" t="s">
        <v>2073</v>
      </c>
      <c r="AY180" s="13" t="s">
        <v>2073</v>
      </c>
      <c r="AZ180" s="13" t="s">
        <v>2073</v>
      </c>
      <c r="BA180" s="13" t="s">
        <v>2073</v>
      </c>
      <c r="BB180" s="13" t="s">
        <v>2073</v>
      </c>
      <c r="BC180" s="13" t="s">
        <v>2073</v>
      </c>
    </row>
    <row r="181" spans="1:55" ht="15.75" customHeight="1">
      <c r="A181" s="13">
        <v>2000</v>
      </c>
      <c r="B181" s="7" t="s">
        <v>883</v>
      </c>
      <c r="C181" s="211" t="s">
        <v>2412</v>
      </c>
      <c r="D181" s="13" t="s">
        <v>882</v>
      </c>
      <c r="E181" s="13" t="s">
        <v>855</v>
      </c>
      <c r="F181" s="211" t="s">
        <v>2413</v>
      </c>
      <c r="G181" s="13" t="s">
        <v>2414</v>
      </c>
      <c r="H181" s="13" t="s">
        <v>2077</v>
      </c>
      <c r="I181" s="13" t="s">
        <v>2077</v>
      </c>
      <c r="J181" s="13" t="s">
        <v>2077</v>
      </c>
      <c r="K181" s="13" t="s">
        <v>2077</v>
      </c>
      <c r="L181" s="13" t="s">
        <v>2077</v>
      </c>
      <c r="M181" s="13" t="s">
        <v>2077</v>
      </c>
      <c r="N181" s="211" t="s">
        <v>2415</v>
      </c>
      <c r="O181" s="13" t="s">
        <v>2416</v>
      </c>
      <c r="P181" s="69" t="str">
        <f t="shared" ref="P181:Q181" si="179">D181</f>
        <v>CASE Goods Packing LINE 3</v>
      </c>
      <c r="Q181" s="13" t="str">
        <f t="shared" si="179"/>
        <v>2GF</v>
      </c>
      <c r="R181" s="212" t="s">
        <v>23</v>
      </c>
      <c r="S181" s="213">
        <v>0.91666666666666663</v>
      </c>
      <c r="T181" s="13">
        <v>85</v>
      </c>
      <c r="U181" s="211" t="s">
        <v>83</v>
      </c>
      <c r="V181" s="13">
        <v>1</v>
      </c>
      <c r="W181" s="13" t="s">
        <v>2417</v>
      </c>
      <c r="X181" s="13" t="s">
        <v>1924</v>
      </c>
      <c r="Y181" s="13" t="s">
        <v>2073</v>
      </c>
      <c r="Z181" s="13" t="s">
        <v>2073</v>
      </c>
      <c r="AA181" s="13" t="s">
        <v>2073</v>
      </c>
      <c r="AB181" s="13" t="s">
        <v>1924</v>
      </c>
      <c r="AC181" s="211" t="s">
        <v>2415</v>
      </c>
      <c r="AD181" s="13" t="s">
        <v>2416</v>
      </c>
      <c r="AE181" s="69" t="s">
        <v>884</v>
      </c>
      <c r="AF181" s="13" t="s">
        <v>2418</v>
      </c>
      <c r="AG181" s="13" t="s">
        <v>2419</v>
      </c>
      <c r="AH181" s="13" t="s">
        <v>2420</v>
      </c>
      <c r="AI181" s="13" t="s">
        <v>2421</v>
      </c>
      <c r="AJ181" s="13" t="s">
        <v>2422</v>
      </c>
      <c r="AK181" s="13" t="s">
        <v>2416</v>
      </c>
      <c r="AL181" s="13" t="s">
        <v>2077</v>
      </c>
      <c r="AM181" s="13" t="s">
        <v>2077</v>
      </c>
      <c r="AN181" s="13" t="s">
        <v>2077</v>
      </c>
      <c r="AO181" s="13" t="s">
        <v>2077</v>
      </c>
      <c r="AP181" s="13" t="s">
        <v>2077</v>
      </c>
      <c r="AQ181" s="13" t="s">
        <v>2077</v>
      </c>
      <c r="AR181" s="13" t="s">
        <v>2418</v>
      </c>
      <c r="AS181" s="13" t="s">
        <v>2419</v>
      </c>
      <c r="AT181" s="13" t="s">
        <v>2420</v>
      </c>
      <c r="AU181" s="13" t="s">
        <v>2421</v>
      </c>
      <c r="AV181" s="13" t="s">
        <v>2422</v>
      </c>
      <c r="AW181" s="13" t="s">
        <v>2416</v>
      </c>
      <c r="AX181" s="13" t="s">
        <v>2073</v>
      </c>
      <c r="AY181" s="13" t="s">
        <v>2073</v>
      </c>
      <c r="AZ181" s="13" t="s">
        <v>2073</v>
      </c>
      <c r="BA181" s="13" t="s">
        <v>2073</v>
      </c>
      <c r="BB181" s="13" t="s">
        <v>2073</v>
      </c>
      <c r="BC181" s="13" t="s">
        <v>2073</v>
      </c>
    </row>
    <row r="182" spans="1:55" ht="15.75" customHeight="1">
      <c r="A182" s="13">
        <v>2000</v>
      </c>
      <c r="B182" s="7" t="s">
        <v>920</v>
      </c>
      <c r="C182" s="211" t="s">
        <v>2412</v>
      </c>
      <c r="D182" s="13" t="s">
        <v>921</v>
      </c>
      <c r="E182" s="13" t="s">
        <v>923</v>
      </c>
      <c r="F182" s="211" t="s">
        <v>2413</v>
      </c>
      <c r="G182" s="13" t="s">
        <v>2414</v>
      </c>
      <c r="H182" s="13" t="s">
        <v>2077</v>
      </c>
      <c r="I182" s="13" t="s">
        <v>2077</v>
      </c>
      <c r="J182" s="13" t="s">
        <v>2077</v>
      </c>
      <c r="K182" s="13" t="s">
        <v>2077</v>
      </c>
      <c r="L182" s="13" t="s">
        <v>2077</v>
      </c>
      <c r="M182" s="13" t="s">
        <v>2077</v>
      </c>
      <c r="N182" s="211" t="s">
        <v>2415</v>
      </c>
      <c r="O182" s="13" t="s">
        <v>2416</v>
      </c>
      <c r="P182" s="69" t="str">
        <f t="shared" ref="P182:Q182" si="180">D182</f>
        <v>Engineering Icon 1  Mansur</v>
      </c>
      <c r="Q182" s="13" t="str">
        <f t="shared" si="180"/>
        <v>2RD</v>
      </c>
      <c r="R182" s="212" t="s">
        <v>23</v>
      </c>
      <c r="S182" s="213">
        <v>0.91666666666666663</v>
      </c>
      <c r="T182" s="13">
        <v>85</v>
      </c>
      <c r="U182" s="211" t="s">
        <v>83</v>
      </c>
      <c r="V182" s="13">
        <v>1</v>
      </c>
      <c r="W182" s="13" t="s">
        <v>2417</v>
      </c>
      <c r="X182" s="13" t="s">
        <v>1924</v>
      </c>
      <c r="Y182" s="13" t="s">
        <v>2073</v>
      </c>
      <c r="Z182" s="13" t="s">
        <v>2073</v>
      </c>
      <c r="AA182" s="13" t="s">
        <v>2073</v>
      </c>
      <c r="AB182" s="13" t="s">
        <v>1924</v>
      </c>
      <c r="AC182" s="211" t="s">
        <v>2415</v>
      </c>
      <c r="AD182" s="13" t="s">
        <v>2416</v>
      </c>
      <c r="AE182" s="69" t="s">
        <v>922</v>
      </c>
      <c r="AF182" s="13" t="s">
        <v>2418</v>
      </c>
      <c r="AG182" s="13" t="s">
        <v>2419</v>
      </c>
      <c r="AH182" s="13" t="s">
        <v>2420</v>
      </c>
      <c r="AI182" s="13" t="s">
        <v>2421</v>
      </c>
      <c r="AJ182" s="13" t="s">
        <v>2422</v>
      </c>
      <c r="AK182" s="13" t="s">
        <v>2416</v>
      </c>
      <c r="AL182" s="13" t="s">
        <v>2077</v>
      </c>
      <c r="AM182" s="13" t="s">
        <v>2077</v>
      </c>
      <c r="AN182" s="13" t="s">
        <v>2077</v>
      </c>
      <c r="AO182" s="13" t="s">
        <v>2077</v>
      </c>
      <c r="AP182" s="13" t="s">
        <v>2077</v>
      </c>
      <c r="AQ182" s="13" t="s">
        <v>2077</v>
      </c>
      <c r="AR182" s="13" t="s">
        <v>2418</v>
      </c>
      <c r="AS182" s="13" t="s">
        <v>2419</v>
      </c>
      <c r="AT182" s="13" t="s">
        <v>2420</v>
      </c>
      <c r="AU182" s="13" t="s">
        <v>2421</v>
      </c>
      <c r="AV182" s="13" t="s">
        <v>2422</v>
      </c>
      <c r="AW182" s="13" t="s">
        <v>2416</v>
      </c>
      <c r="AX182" s="13" t="s">
        <v>2073</v>
      </c>
      <c r="AY182" s="13" t="s">
        <v>2073</v>
      </c>
      <c r="AZ182" s="13" t="s">
        <v>2073</v>
      </c>
      <c r="BA182" s="13" t="s">
        <v>2073</v>
      </c>
      <c r="BB182" s="13" t="s">
        <v>2073</v>
      </c>
      <c r="BC182" s="13" t="s">
        <v>2073</v>
      </c>
    </row>
    <row r="183" spans="1:55" ht="15.75" customHeight="1">
      <c r="A183" s="13">
        <v>2000</v>
      </c>
      <c r="B183" s="7" t="s">
        <v>926</v>
      </c>
      <c r="C183" s="211" t="s">
        <v>2412</v>
      </c>
      <c r="D183" s="13" t="s">
        <v>2252</v>
      </c>
      <c r="E183" s="13" t="s">
        <v>923</v>
      </c>
      <c r="F183" s="211" t="s">
        <v>2413</v>
      </c>
      <c r="G183" s="13" t="s">
        <v>2414</v>
      </c>
      <c r="H183" s="13" t="s">
        <v>2077</v>
      </c>
      <c r="I183" s="13" t="s">
        <v>2077</v>
      </c>
      <c r="J183" s="13" t="s">
        <v>2077</v>
      </c>
      <c r="K183" s="13" t="s">
        <v>2077</v>
      </c>
      <c r="L183" s="13" t="s">
        <v>2077</v>
      </c>
      <c r="M183" s="13" t="s">
        <v>2077</v>
      </c>
      <c r="N183" s="211" t="s">
        <v>2415</v>
      </c>
      <c r="O183" s="13" t="s">
        <v>2416</v>
      </c>
      <c r="P183" s="69" t="str">
        <f t="shared" ref="P183:Q183" si="181">D183</f>
        <v>Engineering Icon 2  DEGA</v>
      </c>
      <c r="Q183" s="13" t="str">
        <f t="shared" si="181"/>
        <v>2RD</v>
      </c>
      <c r="R183" s="212" t="s">
        <v>23</v>
      </c>
      <c r="S183" s="213">
        <v>0.83333333333333337</v>
      </c>
      <c r="T183" s="13">
        <v>85</v>
      </c>
      <c r="U183" s="211" t="s">
        <v>83</v>
      </c>
      <c r="V183" s="13">
        <v>1</v>
      </c>
      <c r="W183" s="13" t="s">
        <v>2417</v>
      </c>
      <c r="X183" s="13" t="s">
        <v>1924</v>
      </c>
      <c r="Y183" s="13" t="s">
        <v>2073</v>
      </c>
      <c r="Z183" s="13" t="s">
        <v>2073</v>
      </c>
      <c r="AA183" s="13" t="s">
        <v>2073</v>
      </c>
      <c r="AB183" s="13" t="s">
        <v>1924</v>
      </c>
      <c r="AC183" s="211" t="s">
        <v>2415</v>
      </c>
      <c r="AD183" s="13" t="s">
        <v>2416</v>
      </c>
      <c r="AE183" s="69" t="s">
        <v>922</v>
      </c>
      <c r="AF183" s="13" t="s">
        <v>2418</v>
      </c>
      <c r="AG183" s="13" t="s">
        <v>2419</v>
      </c>
      <c r="AH183" s="13" t="s">
        <v>2420</v>
      </c>
      <c r="AI183" s="13" t="s">
        <v>2421</v>
      </c>
      <c r="AJ183" s="13" t="s">
        <v>2422</v>
      </c>
      <c r="AK183" s="13" t="s">
        <v>2416</v>
      </c>
      <c r="AL183" s="13" t="s">
        <v>2077</v>
      </c>
      <c r="AM183" s="13" t="s">
        <v>2077</v>
      </c>
      <c r="AN183" s="13" t="s">
        <v>2077</v>
      </c>
      <c r="AO183" s="13" t="s">
        <v>2077</v>
      </c>
      <c r="AP183" s="13" t="s">
        <v>2077</v>
      </c>
      <c r="AQ183" s="13" t="s">
        <v>2077</v>
      </c>
      <c r="AR183" s="13" t="s">
        <v>2418</v>
      </c>
      <c r="AS183" s="13" t="s">
        <v>2419</v>
      </c>
      <c r="AT183" s="13" t="s">
        <v>2420</v>
      </c>
      <c r="AU183" s="13" t="s">
        <v>2421</v>
      </c>
      <c r="AV183" s="13" t="s">
        <v>2422</v>
      </c>
      <c r="AW183" s="13" t="s">
        <v>2416</v>
      </c>
      <c r="AX183" s="13" t="s">
        <v>2073</v>
      </c>
      <c r="AY183" s="13" t="s">
        <v>2073</v>
      </c>
      <c r="AZ183" s="13" t="s">
        <v>2073</v>
      </c>
      <c r="BA183" s="13" t="s">
        <v>2073</v>
      </c>
      <c r="BB183" s="13" t="s">
        <v>2073</v>
      </c>
      <c r="BC183" s="13" t="s">
        <v>2073</v>
      </c>
    </row>
    <row r="184" spans="1:55" ht="15.75" customHeight="1">
      <c r="A184" s="13">
        <v>2000</v>
      </c>
      <c r="B184" s="7" t="s">
        <v>930</v>
      </c>
      <c r="C184" s="211" t="s">
        <v>2412</v>
      </c>
      <c r="D184" s="13" t="s">
        <v>2253</v>
      </c>
      <c r="E184" s="13" t="s">
        <v>923</v>
      </c>
      <c r="F184" s="211" t="s">
        <v>2413</v>
      </c>
      <c r="G184" s="13" t="s">
        <v>2414</v>
      </c>
      <c r="H184" s="13" t="s">
        <v>2077</v>
      </c>
      <c r="I184" s="13" t="s">
        <v>2077</v>
      </c>
      <c r="J184" s="13" t="s">
        <v>2077</v>
      </c>
      <c r="K184" s="13" t="s">
        <v>2077</v>
      </c>
      <c r="L184" s="13" t="s">
        <v>2077</v>
      </c>
      <c r="M184" s="13" t="s">
        <v>2077</v>
      </c>
      <c r="N184" s="211" t="s">
        <v>2415</v>
      </c>
      <c r="O184" s="13" t="s">
        <v>2416</v>
      </c>
      <c r="P184" s="69" t="str">
        <f t="shared" ref="P184:Q184" si="182">D184</f>
        <v>Engineering Icon 3  AZIZ</v>
      </c>
      <c r="Q184" s="13" t="str">
        <f t="shared" si="182"/>
        <v>2RD</v>
      </c>
      <c r="R184" s="212" t="s">
        <v>23</v>
      </c>
      <c r="S184" s="213">
        <v>0.83333333333333337</v>
      </c>
      <c r="T184" s="13">
        <v>85</v>
      </c>
      <c r="U184" s="211" t="s">
        <v>83</v>
      </c>
      <c r="V184" s="13">
        <v>1</v>
      </c>
      <c r="W184" s="13" t="s">
        <v>2417</v>
      </c>
      <c r="X184" s="13" t="s">
        <v>1924</v>
      </c>
      <c r="Y184" s="13" t="s">
        <v>2073</v>
      </c>
      <c r="Z184" s="13" t="s">
        <v>2073</v>
      </c>
      <c r="AA184" s="13" t="s">
        <v>2073</v>
      </c>
      <c r="AB184" s="13" t="s">
        <v>1924</v>
      </c>
      <c r="AC184" s="211" t="s">
        <v>2415</v>
      </c>
      <c r="AD184" s="13" t="s">
        <v>2416</v>
      </c>
      <c r="AE184" s="69" t="s">
        <v>922</v>
      </c>
      <c r="AF184" s="13" t="s">
        <v>2418</v>
      </c>
      <c r="AG184" s="13" t="s">
        <v>2419</v>
      </c>
      <c r="AH184" s="13" t="s">
        <v>2420</v>
      </c>
      <c r="AI184" s="13" t="s">
        <v>2421</v>
      </c>
      <c r="AJ184" s="13" t="s">
        <v>2422</v>
      </c>
      <c r="AK184" s="13" t="s">
        <v>2416</v>
      </c>
      <c r="AL184" s="13" t="s">
        <v>2077</v>
      </c>
      <c r="AM184" s="13" t="s">
        <v>2077</v>
      </c>
      <c r="AN184" s="13" t="s">
        <v>2077</v>
      </c>
      <c r="AO184" s="13" t="s">
        <v>2077</v>
      </c>
      <c r="AP184" s="13" t="s">
        <v>2077</v>
      </c>
      <c r="AQ184" s="13" t="s">
        <v>2077</v>
      </c>
      <c r="AR184" s="13" t="s">
        <v>2418</v>
      </c>
      <c r="AS184" s="13" t="s">
        <v>2419</v>
      </c>
      <c r="AT184" s="13" t="s">
        <v>2420</v>
      </c>
      <c r="AU184" s="13" t="s">
        <v>2421</v>
      </c>
      <c r="AV184" s="13" t="s">
        <v>2422</v>
      </c>
      <c r="AW184" s="13" t="s">
        <v>2416</v>
      </c>
      <c r="AX184" s="13" t="s">
        <v>2073</v>
      </c>
      <c r="AY184" s="13" t="s">
        <v>2073</v>
      </c>
      <c r="AZ184" s="13" t="s">
        <v>2073</v>
      </c>
      <c r="BA184" s="13" t="s">
        <v>2073</v>
      </c>
      <c r="BB184" s="13" t="s">
        <v>2073</v>
      </c>
      <c r="BC184" s="13" t="s">
        <v>2073</v>
      </c>
    </row>
    <row r="185" spans="1:55" ht="15.75" customHeight="1">
      <c r="A185" s="13">
        <v>2000</v>
      </c>
      <c r="B185" s="7" t="s">
        <v>934</v>
      </c>
      <c r="C185" s="211" t="s">
        <v>2412</v>
      </c>
      <c r="D185" s="13" t="s">
        <v>2254</v>
      </c>
      <c r="E185" s="13" t="s">
        <v>923</v>
      </c>
      <c r="F185" s="211" t="s">
        <v>2413</v>
      </c>
      <c r="G185" s="13" t="s">
        <v>2414</v>
      </c>
      <c r="H185" s="13" t="s">
        <v>2077</v>
      </c>
      <c r="I185" s="13" t="s">
        <v>2077</v>
      </c>
      <c r="J185" s="13" t="s">
        <v>2077</v>
      </c>
      <c r="K185" s="13" t="s">
        <v>2077</v>
      </c>
      <c r="L185" s="13" t="s">
        <v>2077</v>
      </c>
      <c r="M185" s="13" t="s">
        <v>2077</v>
      </c>
      <c r="N185" s="211" t="s">
        <v>2415</v>
      </c>
      <c r="O185" s="13" t="s">
        <v>2416</v>
      </c>
      <c r="P185" s="69" t="str">
        <f t="shared" ref="P185:Q185" si="183">D185</f>
        <v>Engineering Icon 4 DIMAS</v>
      </c>
      <c r="Q185" s="13" t="str">
        <f t="shared" si="183"/>
        <v>2RD</v>
      </c>
      <c r="R185" s="212" t="s">
        <v>23</v>
      </c>
      <c r="S185" s="213">
        <v>0.83333333333333337</v>
      </c>
      <c r="T185" s="13">
        <v>85</v>
      </c>
      <c r="U185" s="211" t="s">
        <v>83</v>
      </c>
      <c r="V185" s="13">
        <v>1</v>
      </c>
      <c r="W185" s="13" t="s">
        <v>2417</v>
      </c>
      <c r="X185" s="13" t="s">
        <v>1924</v>
      </c>
      <c r="Y185" s="13" t="s">
        <v>2073</v>
      </c>
      <c r="Z185" s="13" t="s">
        <v>2073</v>
      </c>
      <c r="AA185" s="13" t="s">
        <v>2073</v>
      </c>
      <c r="AB185" s="13" t="s">
        <v>1924</v>
      </c>
      <c r="AC185" s="211" t="s">
        <v>2415</v>
      </c>
      <c r="AD185" s="13" t="s">
        <v>2416</v>
      </c>
      <c r="AE185" s="69" t="s">
        <v>922</v>
      </c>
      <c r="AF185" s="13" t="s">
        <v>2418</v>
      </c>
      <c r="AG185" s="13" t="s">
        <v>2419</v>
      </c>
      <c r="AH185" s="13" t="s">
        <v>2420</v>
      </c>
      <c r="AI185" s="13" t="s">
        <v>2421</v>
      </c>
      <c r="AJ185" s="13" t="s">
        <v>2422</v>
      </c>
      <c r="AK185" s="13" t="s">
        <v>2416</v>
      </c>
      <c r="AL185" s="13" t="s">
        <v>2077</v>
      </c>
      <c r="AM185" s="13" t="s">
        <v>2077</v>
      </c>
      <c r="AN185" s="13" t="s">
        <v>2077</v>
      </c>
      <c r="AO185" s="13" t="s">
        <v>2077</v>
      </c>
      <c r="AP185" s="13" t="s">
        <v>2077</v>
      </c>
      <c r="AQ185" s="13" t="s">
        <v>2077</v>
      </c>
      <c r="AR185" s="13" t="s">
        <v>2418</v>
      </c>
      <c r="AS185" s="13" t="s">
        <v>2419</v>
      </c>
      <c r="AT185" s="13" t="s">
        <v>2420</v>
      </c>
      <c r="AU185" s="13" t="s">
        <v>2421</v>
      </c>
      <c r="AV185" s="13" t="s">
        <v>2422</v>
      </c>
      <c r="AW185" s="13" t="s">
        <v>2416</v>
      </c>
      <c r="AX185" s="13" t="s">
        <v>2073</v>
      </c>
      <c r="AY185" s="13" t="s">
        <v>2073</v>
      </c>
      <c r="AZ185" s="13" t="s">
        <v>2073</v>
      </c>
      <c r="BA185" s="13" t="s">
        <v>2073</v>
      </c>
      <c r="BB185" s="13" t="s">
        <v>2073</v>
      </c>
      <c r="BC185" s="13" t="s">
        <v>2073</v>
      </c>
    </row>
    <row r="186" spans="1:55" ht="15.75" customHeight="1">
      <c r="A186" s="13">
        <v>2000</v>
      </c>
      <c r="B186" s="7" t="s">
        <v>938</v>
      </c>
      <c r="C186" s="211" t="s">
        <v>2412</v>
      </c>
      <c r="D186" s="13" t="s">
        <v>2255</v>
      </c>
      <c r="E186" s="13" t="s">
        <v>923</v>
      </c>
      <c r="F186" s="211" t="s">
        <v>2413</v>
      </c>
      <c r="G186" s="13" t="s">
        <v>2414</v>
      </c>
      <c r="H186" s="13" t="s">
        <v>2077</v>
      </c>
      <c r="I186" s="13" t="s">
        <v>2077</v>
      </c>
      <c r="J186" s="13" t="s">
        <v>2077</v>
      </c>
      <c r="K186" s="13" t="s">
        <v>2077</v>
      </c>
      <c r="L186" s="13" t="s">
        <v>2077</v>
      </c>
      <c r="M186" s="13" t="s">
        <v>2077</v>
      </c>
      <c r="N186" s="211" t="s">
        <v>2415</v>
      </c>
      <c r="O186" s="13" t="s">
        <v>2416</v>
      </c>
      <c r="P186" s="69" t="str">
        <f t="shared" ref="P186:Q186" si="184">D186</f>
        <v xml:space="preserve">Engineering Icon 5 P. ERIS </v>
      </c>
      <c r="Q186" s="13" t="str">
        <f t="shared" si="184"/>
        <v>2RD</v>
      </c>
      <c r="R186" s="212" t="s">
        <v>23</v>
      </c>
      <c r="S186" s="213">
        <v>0.83333333333333337</v>
      </c>
      <c r="T186" s="13">
        <v>85</v>
      </c>
      <c r="U186" s="211" t="s">
        <v>83</v>
      </c>
      <c r="V186" s="13">
        <v>1</v>
      </c>
      <c r="W186" s="13" t="s">
        <v>2417</v>
      </c>
      <c r="X186" s="13" t="s">
        <v>1924</v>
      </c>
      <c r="Y186" s="13" t="s">
        <v>2073</v>
      </c>
      <c r="Z186" s="13" t="s">
        <v>2073</v>
      </c>
      <c r="AA186" s="13" t="s">
        <v>2073</v>
      </c>
      <c r="AB186" s="13" t="s">
        <v>1924</v>
      </c>
      <c r="AC186" s="211" t="s">
        <v>2415</v>
      </c>
      <c r="AD186" s="13" t="s">
        <v>2416</v>
      </c>
      <c r="AE186" s="69" t="s">
        <v>922</v>
      </c>
      <c r="AF186" s="13" t="s">
        <v>2418</v>
      </c>
      <c r="AG186" s="13" t="s">
        <v>2419</v>
      </c>
      <c r="AH186" s="13" t="s">
        <v>2420</v>
      </c>
      <c r="AI186" s="13" t="s">
        <v>2421</v>
      </c>
      <c r="AJ186" s="13" t="s">
        <v>2422</v>
      </c>
      <c r="AK186" s="13" t="s">
        <v>2416</v>
      </c>
      <c r="AL186" s="13" t="s">
        <v>2077</v>
      </c>
      <c r="AM186" s="13" t="s">
        <v>2077</v>
      </c>
      <c r="AN186" s="13" t="s">
        <v>2077</v>
      </c>
      <c r="AO186" s="13" t="s">
        <v>2077</v>
      </c>
      <c r="AP186" s="13" t="s">
        <v>2077</v>
      </c>
      <c r="AQ186" s="13" t="s">
        <v>2077</v>
      </c>
      <c r="AR186" s="13" t="s">
        <v>2418</v>
      </c>
      <c r="AS186" s="13" t="s">
        <v>2419</v>
      </c>
      <c r="AT186" s="13" t="s">
        <v>2420</v>
      </c>
      <c r="AU186" s="13" t="s">
        <v>2421</v>
      </c>
      <c r="AV186" s="13" t="s">
        <v>2422</v>
      </c>
      <c r="AW186" s="13" t="s">
        <v>2416</v>
      </c>
      <c r="AX186" s="13" t="s">
        <v>2073</v>
      </c>
      <c r="AY186" s="13" t="s">
        <v>2073</v>
      </c>
      <c r="AZ186" s="13" t="s">
        <v>2073</v>
      </c>
      <c r="BA186" s="13" t="s">
        <v>2073</v>
      </c>
      <c r="BB186" s="13" t="s">
        <v>2073</v>
      </c>
      <c r="BC186" s="13" t="s">
        <v>2073</v>
      </c>
    </row>
    <row r="187" spans="1:55" ht="15.75" customHeight="1">
      <c r="A187" s="30">
        <v>2000</v>
      </c>
      <c r="B187" s="7" t="s">
        <v>942</v>
      </c>
      <c r="C187" s="208" t="s">
        <v>2412</v>
      </c>
      <c r="D187" s="30" t="s">
        <v>2286</v>
      </c>
      <c r="E187" s="30" t="s">
        <v>923</v>
      </c>
      <c r="F187" s="208" t="s">
        <v>2413</v>
      </c>
      <c r="G187" s="30" t="s">
        <v>2414</v>
      </c>
      <c r="H187" s="30" t="s">
        <v>2077</v>
      </c>
      <c r="I187" s="30" t="s">
        <v>2077</v>
      </c>
      <c r="J187" s="30" t="s">
        <v>2077</v>
      </c>
      <c r="K187" s="30" t="s">
        <v>2077</v>
      </c>
      <c r="L187" s="30" t="s">
        <v>2077</v>
      </c>
      <c r="M187" s="30" t="s">
        <v>2077</v>
      </c>
      <c r="N187" s="208" t="s">
        <v>2415</v>
      </c>
      <c r="O187" s="30" t="s">
        <v>2416</v>
      </c>
      <c r="P187" s="30" t="str">
        <f t="shared" ref="P187:Q187" si="185">D187</f>
        <v>Engineering Drafter 1  Idlofi</v>
      </c>
      <c r="Q187" s="30" t="str">
        <f t="shared" si="185"/>
        <v>2RD</v>
      </c>
      <c r="R187" s="209" t="s">
        <v>23</v>
      </c>
      <c r="S187" s="214">
        <v>0.83333333333333337</v>
      </c>
      <c r="T187" s="30">
        <v>85</v>
      </c>
      <c r="U187" s="208" t="s">
        <v>83</v>
      </c>
      <c r="V187" s="30">
        <v>1</v>
      </c>
      <c r="W187" s="30" t="s">
        <v>2417</v>
      </c>
      <c r="X187" s="30" t="s">
        <v>1924</v>
      </c>
      <c r="Y187" s="30" t="s">
        <v>2073</v>
      </c>
      <c r="Z187" s="30" t="s">
        <v>2073</v>
      </c>
      <c r="AA187" s="30" t="s">
        <v>2073</v>
      </c>
      <c r="AB187" s="30" t="s">
        <v>1924</v>
      </c>
      <c r="AC187" s="208" t="s">
        <v>2415</v>
      </c>
      <c r="AD187" s="30" t="s">
        <v>2416</v>
      </c>
      <c r="AE187" s="69" t="s">
        <v>922</v>
      </c>
      <c r="AF187" s="30" t="s">
        <v>2418</v>
      </c>
      <c r="AG187" s="30" t="s">
        <v>2419</v>
      </c>
      <c r="AH187" s="30" t="s">
        <v>2420</v>
      </c>
      <c r="AI187" s="30" t="s">
        <v>2421</v>
      </c>
      <c r="AJ187" s="30" t="s">
        <v>2422</v>
      </c>
      <c r="AK187" s="30" t="s">
        <v>2416</v>
      </c>
      <c r="AL187" s="30" t="s">
        <v>2077</v>
      </c>
      <c r="AM187" s="30" t="s">
        <v>2077</v>
      </c>
      <c r="AN187" s="30" t="s">
        <v>2077</v>
      </c>
      <c r="AO187" s="30" t="s">
        <v>2077</v>
      </c>
      <c r="AP187" s="30" t="s">
        <v>2077</v>
      </c>
      <c r="AQ187" s="30" t="s">
        <v>2077</v>
      </c>
      <c r="AR187" s="30" t="s">
        <v>2418</v>
      </c>
      <c r="AS187" s="30" t="s">
        <v>2419</v>
      </c>
      <c r="AT187" s="30" t="s">
        <v>2420</v>
      </c>
      <c r="AU187" s="30" t="s">
        <v>2421</v>
      </c>
      <c r="AV187" s="30" t="s">
        <v>2422</v>
      </c>
      <c r="AW187" s="30" t="s">
        <v>2416</v>
      </c>
      <c r="AX187" s="30" t="s">
        <v>2073</v>
      </c>
      <c r="AY187" s="30" t="s">
        <v>2073</v>
      </c>
      <c r="AZ187" s="30" t="s">
        <v>2073</v>
      </c>
      <c r="BA187" s="30" t="s">
        <v>2073</v>
      </c>
      <c r="BB187" s="30" t="s">
        <v>2073</v>
      </c>
      <c r="BC187" s="30" t="s">
        <v>2073</v>
      </c>
    </row>
    <row r="188" spans="1:55" ht="15.75" customHeight="1">
      <c r="A188" s="30">
        <v>2000</v>
      </c>
      <c r="B188" s="7" t="s">
        <v>946</v>
      </c>
      <c r="C188" s="208" t="s">
        <v>2412</v>
      </c>
      <c r="D188" s="30" t="s">
        <v>2257</v>
      </c>
      <c r="E188" s="30" t="s">
        <v>923</v>
      </c>
      <c r="F188" s="208" t="s">
        <v>2413</v>
      </c>
      <c r="G188" s="30" t="s">
        <v>2414</v>
      </c>
      <c r="H188" s="30" t="s">
        <v>2077</v>
      </c>
      <c r="I188" s="30" t="s">
        <v>2077</v>
      </c>
      <c r="J188" s="30" t="s">
        <v>2077</v>
      </c>
      <c r="K188" s="30" t="s">
        <v>2077</v>
      </c>
      <c r="L188" s="30" t="s">
        <v>2077</v>
      </c>
      <c r="M188" s="30" t="s">
        <v>2077</v>
      </c>
      <c r="N188" s="208" t="s">
        <v>2415</v>
      </c>
      <c r="O188" s="30" t="s">
        <v>2416</v>
      </c>
      <c r="P188" s="30" t="str">
        <f t="shared" ref="P188:Q188" si="186">D188</f>
        <v>Engineering Drafter 2  AGA</v>
      </c>
      <c r="Q188" s="30" t="str">
        <f t="shared" si="186"/>
        <v>2RD</v>
      </c>
      <c r="R188" s="209" t="s">
        <v>23</v>
      </c>
      <c r="S188" s="214">
        <v>0.83333333333333337</v>
      </c>
      <c r="T188" s="30">
        <v>85</v>
      </c>
      <c r="U188" s="208" t="s">
        <v>83</v>
      </c>
      <c r="V188" s="30">
        <v>1</v>
      </c>
      <c r="W188" s="30" t="s">
        <v>2417</v>
      </c>
      <c r="X188" s="30" t="s">
        <v>1924</v>
      </c>
      <c r="Y188" s="30" t="s">
        <v>2073</v>
      </c>
      <c r="Z188" s="30" t="s">
        <v>2073</v>
      </c>
      <c r="AA188" s="30" t="s">
        <v>2073</v>
      </c>
      <c r="AB188" s="30" t="s">
        <v>1924</v>
      </c>
      <c r="AC188" s="208" t="s">
        <v>2415</v>
      </c>
      <c r="AD188" s="30" t="s">
        <v>2416</v>
      </c>
      <c r="AE188" s="69" t="s">
        <v>922</v>
      </c>
      <c r="AF188" s="30" t="s">
        <v>2418</v>
      </c>
      <c r="AG188" s="30" t="s">
        <v>2419</v>
      </c>
      <c r="AH188" s="30" t="s">
        <v>2420</v>
      </c>
      <c r="AI188" s="30" t="s">
        <v>2421</v>
      </c>
      <c r="AJ188" s="30" t="s">
        <v>2422</v>
      </c>
      <c r="AK188" s="30" t="s">
        <v>2416</v>
      </c>
      <c r="AL188" s="30" t="s">
        <v>2077</v>
      </c>
      <c r="AM188" s="30" t="s">
        <v>2077</v>
      </c>
      <c r="AN188" s="30" t="s">
        <v>2077</v>
      </c>
      <c r="AO188" s="30" t="s">
        <v>2077</v>
      </c>
      <c r="AP188" s="30" t="s">
        <v>2077</v>
      </c>
      <c r="AQ188" s="30" t="s">
        <v>2077</v>
      </c>
      <c r="AR188" s="30" t="s">
        <v>2418</v>
      </c>
      <c r="AS188" s="30" t="s">
        <v>2419</v>
      </c>
      <c r="AT188" s="30" t="s">
        <v>2420</v>
      </c>
      <c r="AU188" s="30" t="s">
        <v>2421</v>
      </c>
      <c r="AV188" s="30" t="s">
        <v>2422</v>
      </c>
      <c r="AW188" s="30" t="s">
        <v>2416</v>
      </c>
      <c r="AX188" s="30" t="s">
        <v>2073</v>
      </c>
      <c r="AY188" s="30" t="s">
        <v>2073</v>
      </c>
      <c r="AZ188" s="30" t="s">
        <v>2073</v>
      </c>
      <c r="BA188" s="30" t="s">
        <v>2073</v>
      </c>
      <c r="BB188" s="30" t="s">
        <v>2073</v>
      </c>
      <c r="BC188" s="30" t="s">
        <v>2073</v>
      </c>
    </row>
    <row r="189" spans="1:55" ht="15.75" customHeight="1">
      <c r="A189" s="13">
        <v>2000</v>
      </c>
      <c r="B189" s="7" t="s">
        <v>950</v>
      </c>
      <c r="C189" s="211" t="s">
        <v>2412</v>
      </c>
      <c r="D189" s="13" t="s">
        <v>2258</v>
      </c>
      <c r="E189" s="13" t="s">
        <v>923</v>
      </c>
      <c r="F189" s="211" t="s">
        <v>2413</v>
      </c>
      <c r="G189" s="13" t="s">
        <v>2414</v>
      </c>
      <c r="H189" s="13" t="s">
        <v>2077</v>
      </c>
      <c r="I189" s="13" t="s">
        <v>2077</v>
      </c>
      <c r="J189" s="13" t="s">
        <v>2077</v>
      </c>
      <c r="K189" s="13" t="s">
        <v>2077</v>
      </c>
      <c r="L189" s="13" t="s">
        <v>2077</v>
      </c>
      <c r="M189" s="13" t="s">
        <v>2077</v>
      </c>
      <c r="N189" s="211" t="s">
        <v>2415</v>
      </c>
      <c r="O189" s="13" t="s">
        <v>2416</v>
      </c>
      <c r="P189" s="69" t="str">
        <f t="shared" ref="P189:Q189" si="187">D189</f>
        <v>Engineering Icon 6 GALANT</v>
      </c>
      <c r="Q189" s="13" t="str">
        <f t="shared" si="187"/>
        <v>2RD</v>
      </c>
      <c r="R189" s="212" t="s">
        <v>23</v>
      </c>
      <c r="S189" s="213">
        <v>0.83333333333333337</v>
      </c>
      <c r="T189" s="13">
        <v>85</v>
      </c>
      <c r="U189" s="211" t="s">
        <v>83</v>
      </c>
      <c r="V189" s="13">
        <v>1</v>
      </c>
      <c r="W189" s="13" t="s">
        <v>2417</v>
      </c>
      <c r="X189" s="13" t="s">
        <v>1924</v>
      </c>
      <c r="Y189" s="13" t="s">
        <v>2073</v>
      </c>
      <c r="Z189" s="13" t="s">
        <v>2073</v>
      </c>
      <c r="AA189" s="13" t="s">
        <v>2073</v>
      </c>
      <c r="AB189" s="13" t="s">
        <v>1924</v>
      </c>
      <c r="AC189" s="211" t="s">
        <v>2415</v>
      </c>
      <c r="AD189" s="13" t="s">
        <v>2416</v>
      </c>
      <c r="AE189" s="69" t="s">
        <v>922</v>
      </c>
      <c r="AF189" s="13" t="s">
        <v>2418</v>
      </c>
      <c r="AG189" s="13" t="s">
        <v>2419</v>
      </c>
      <c r="AH189" s="13" t="s">
        <v>2420</v>
      </c>
      <c r="AI189" s="13" t="s">
        <v>2421</v>
      </c>
      <c r="AJ189" s="13" t="s">
        <v>2422</v>
      </c>
      <c r="AK189" s="13" t="s">
        <v>2416</v>
      </c>
      <c r="AL189" s="13" t="s">
        <v>2077</v>
      </c>
      <c r="AM189" s="13" t="s">
        <v>2077</v>
      </c>
      <c r="AN189" s="13" t="s">
        <v>2077</v>
      </c>
      <c r="AO189" s="13" t="s">
        <v>2077</v>
      </c>
      <c r="AP189" s="13" t="s">
        <v>2077</v>
      </c>
      <c r="AQ189" s="13" t="s">
        <v>2077</v>
      </c>
      <c r="AR189" s="13" t="s">
        <v>2418</v>
      </c>
      <c r="AS189" s="13" t="s">
        <v>2419</v>
      </c>
      <c r="AT189" s="13" t="s">
        <v>2420</v>
      </c>
      <c r="AU189" s="13" t="s">
        <v>2421</v>
      </c>
      <c r="AV189" s="13" t="s">
        <v>2422</v>
      </c>
      <c r="AW189" s="13" t="s">
        <v>2416</v>
      </c>
      <c r="AX189" s="13" t="s">
        <v>2073</v>
      </c>
      <c r="AY189" s="13" t="s">
        <v>2073</v>
      </c>
      <c r="AZ189" s="13" t="s">
        <v>2073</v>
      </c>
      <c r="BA189" s="13" t="s">
        <v>2073</v>
      </c>
      <c r="BB189" s="13" t="s">
        <v>2073</v>
      </c>
      <c r="BC189" s="13" t="s">
        <v>2073</v>
      </c>
    </row>
    <row r="190" spans="1:55" ht="15.75" customHeight="1">
      <c r="A190" s="30">
        <v>2000</v>
      </c>
      <c r="B190" s="7" t="s">
        <v>954</v>
      </c>
      <c r="C190" s="208" t="s">
        <v>2412</v>
      </c>
      <c r="D190" s="30" t="s">
        <v>2259</v>
      </c>
      <c r="E190" s="30" t="s">
        <v>923</v>
      </c>
      <c r="F190" s="208" t="s">
        <v>2413</v>
      </c>
      <c r="G190" s="30" t="s">
        <v>2414</v>
      </c>
      <c r="H190" s="30" t="s">
        <v>2077</v>
      </c>
      <c r="I190" s="30" t="s">
        <v>2077</v>
      </c>
      <c r="J190" s="30" t="s">
        <v>2077</v>
      </c>
      <c r="K190" s="30" t="s">
        <v>2077</v>
      </c>
      <c r="L190" s="30" t="s">
        <v>2077</v>
      </c>
      <c r="M190" s="30" t="s">
        <v>2077</v>
      </c>
      <c r="N190" s="208" t="s">
        <v>2415</v>
      </c>
      <c r="O190" s="30" t="s">
        <v>2416</v>
      </c>
      <c r="P190" s="30" t="str">
        <f t="shared" ref="P190:Q190" si="188">D190</f>
        <v xml:space="preserve">Packaging Icon 1 MAHENDRA </v>
      </c>
      <c r="Q190" s="30" t="str">
        <f t="shared" si="188"/>
        <v>2RD</v>
      </c>
      <c r="R190" s="209" t="s">
        <v>23</v>
      </c>
      <c r="S190" s="214">
        <v>0.83333333333333337</v>
      </c>
      <c r="T190" s="30">
        <v>85</v>
      </c>
      <c r="U190" s="208" t="s">
        <v>83</v>
      </c>
      <c r="V190" s="30">
        <v>1</v>
      </c>
      <c r="W190" s="30" t="s">
        <v>2417</v>
      </c>
      <c r="X190" s="30" t="s">
        <v>1924</v>
      </c>
      <c r="Y190" s="30" t="s">
        <v>2073</v>
      </c>
      <c r="Z190" s="30" t="s">
        <v>2073</v>
      </c>
      <c r="AA190" s="30" t="s">
        <v>2073</v>
      </c>
      <c r="AB190" s="30" t="s">
        <v>1924</v>
      </c>
      <c r="AC190" s="208" t="s">
        <v>2415</v>
      </c>
      <c r="AD190" s="30" t="s">
        <v>2416</v>
      </c>
      <c r="AE190" s="69" t="s">
        <v>922</v>
      </c>
      <c r="AF190" s="30" t="s">
        <v>2418</v>
      </c>
      <c r="AG190" s="30" t="s">
        <v>2419</v>
      </c>
      <c r="AH190" s="30" t="s">
        <v>2420</v>
      </c>
      <c r="AI190" s="30" t="s">
        <v>2421</v>
      </c>
      <c r="AJ190" s="30" t="s">
        <v>2422</v>
      </c>
      <c r="AK190" s="30" t="s">
        <v>2416</v>
      </c>
      <c r="AL190" s="30" t="s">
        <v>2077</v>
      </c>
      <c r="AM190" s="30" t="s">
        <v>2077</v>
      </c>
      <c r="AN190" s="30" t="s">
        <v>2077</v>
      </c>
      <c r="AO190" s="30" t="s">
        <v>2077</v>
      </c>
      <c r="AP190" s="30" t="s">
        <v>2077</v>
      </c>
      <c r="AQ190" s="30" t="s">
        <v>2077</v>
      </c>
      <c r="AR190" s="30" t="s">
        <v>2418</v>
      </c>
      <c r="AS190" s="30" t="s">
        <v>2419</v>
      </c>
      <c r="AT190" s="30" t="s">
        <v>2420</v>
      </c>
      <c r="AU190" s="30" t="s">
        <v>2421</v>
      </c>
      <c r="AV190" s="30" t="s">
        <v>2422</v>
      </c>
      <c r="AW190" s="30" t="s">
        <v>2416</v>
      </c>
      <c r="AX190" s="30" t="s">
        <v>2073</v>
      </c>
      <c r="AY190" s="30" t="s">
        <v>2073</v>
      </c>
      <c r="AZ190" s="30" t="s">
        <v>2073</v>
      </c>
      <c r="BA190" s="30" t="s">
        <v>2073</v>
      </c>
      <c r="BB190" s="30" t="s">
        <v>2073</v>
      </c>
      <c r="BC190" s="30" t="s">
        <v>2073</v>
      </c>
    </row>
    <row r="191" spans="1:55" ht="15.75" customHeight="1">
      <c r="A191" s="30">
        <v>2000</v>
      </c>
      <c r="B191" s="7" t="s">
        <v>958</v>
      </c>
      <c r="C191" s="208" t="s">
        <v>2412</v>
      </c>
      <c r="D191" s="30" t="s">
        <v>2260</v>
      </c>
      <c r="E191" s="30" t="s">
        <v>923</v>
      </c>
      <c r="F191" s="208" t="s">
        <v>2413</v>
      </c>
      <c r="G191" s="30" t="s">
        <v>2414</v>
      </c>
      <c r="H191" s="30" t="s">
        <v>2077</v>
      </c>
      <c r="I191" s="30" t="s">
        <v>2077</v>
      </c>
      <c r="J191" s="30" t="s">
        <v>2077</v>
      </c>
      <c r="K191" s="30" t="s">
        <v>2077</v>
      </c>
      <c r="L191" s="30" t="s">
        <v>2077</v>
      </c>
      <c r="M191" s="30" t="s">
        <v>2077</v>
      </c>
      <c r="N191" s="208" t="s">
        <v>2415</v>
      </c>
      <c r="O191" s="30" t="s">
        <v>2416</v>
      </c>
      <c r="P191" s="30" t="str">
        <f t="shared" ref="P191:Q191" si="189">D191</f>
        <v xml:space="preserve">Engineering Drafter 5 ANDRI </v>
      </c>
      <c r="Q191" s="30" t="str">
        <f t="shared" si="189"/>
        <v>2RD</v>
      </c>
      <c r="R191" s="209" t="s">
        <v>23</v>
      </c>
      <c r="S191" s="214">
        <v>0.83333333333333337</v>
      </c>
      <c r="T191" s="30">
        <v>85</v>
      </c>
      <c r="U191" s="208" t="s">
        <v>83</v>
      </c>
      <c r="V191" s="30">
        <v>1</v>
      </c>
      <c r="W191" s="30" t="s">
        <v>2417</v>
      </c>
      <c r="X191" s="30" t="s">
        <v>1924</v>
      </c>
      <c r="Y191" s="30" t="s">
        <v>2073</v>
      </c>
      <c r="Z191" s="30" t="s">
        <v>2073</v>
      </c>
      <c r="AA191" s="30" t="s">
        <v>2073</v>
      </c>
      <c r="AB191" s="30" t="s">
        <v>1924</v>
      </c>
      <c r="AC191" s="208" t="s">
        <v>2415</v>
      </c>
      <c r="AD191" s="30" t="s">
        <v>2416</v>
      </c>
      <c r="AE191" s="69">
        <v>1075011001</v>
      </c>
      <c r="AF191" s="30" t="s">
        <v>2418</v>
      </c>
      <c r="AG191" s="30" t="s">
        <v>2419</v>
      </c>
      <c r="AH191" s="30" t="s">
        <v>2420</v>
      </c>
      <c r="AI191" s="30" t="s">
        <v>2421</v>
      </c>
      <c r="AJ191" s="30" t="s">
        <v>2422</v>
      </c>
      <c r="AK191" s="30" t="s">
        <v>2416</v>
      </c>
      <c r="AL191" s="30" t="s">
        <v>2077</v>
      </c>
      <c r="AM191" s="30" t="s">
        <v>2077</v>
      </c>
      <c r="AN191" s="30" t="s">
        <v>2077</v>
      </c>
      <c r="AO191" s="30" t="s">
        <v>2077</v>
      </c>
      <c r="AP191" s="30" t="s">
        <v>2077</v>
      </c>
      <c r="AQ191" s="30" t="s">
        <v>2077</v>
      </c>
      <c r="AR191" s="30" t="s">
        <v>2418</v>
      </c>
      <c r="AS191" s="30" t="s">
        <v>2419</v>
      </c>
      <c r="AT191" s="30" t="s">
        <v>2420</v>
      </c>
      <c r="AU191" s="30" t="s">
        <v>2421</v>
      </c>
      <c r="AV191" s="30" t="s">
        <v>2422</v>
      </c>
      <c r="AW191" s="30" t="s">
        <v>2416</v>
      </c>
      <c r="AX191" s="30" t="s">
        <v>2073</v>
      </c>
      <c r="AY191" s="30" t="s">
        <v>2073</v>
      </c>
      <c r="AZ191" s="30" t="s">
        <v>2073</v>
      </c>
      <c r="BA191" s="30" t="s">
        <v>2073</v>
      </c>
      <c r="BB191" s="30" t="s">
        <v>2073</v>
      </c>
      <c r="BC191" s="30" t="s">
        <v>2073</v>
      </c>
    </row>
    <row r="192" spans="1:55" ht="15.75" customHeight="1">
      <c r="A192" s="13">
        <v>2000</v>
      </c>
      <c r="B192" s="7" t="s">
        <v>962</v>
      </c>
      <c r="C192" s="211" t="s">
        <v>2412</v>
      </c>
      <c r="D192" s="13" t="s">
        <v>2292</v>
      </c>
      <c r="E192" s="13" t="s">
        <v>923</v>
      </c>
      <c r="F192" s="211" t="s">
        <v>2413</v>
      </c>
      <c r="G192" s="13" t="s">
        <v>2414</v>
      </c>
      <c r="H192" s="13" t="s">
        <v>2077</v>
      </c>
      <c r="I192" s="13" t="s">
        <v>2077</v>
      </c>
      <c r="J192" s="13" t="s">
        <v>2077</v>
      </c>
      <c r="K192" s="13" t="s">
        <v>2077</v>
      </c>
      <c r="L192" s="13" t="s">
        <v>2077</v>
      </c>
      <c r="M192" s="13" t="s">
        <v>2077</v>
      </c>
      <c r="N192" s="211" t="s">
        <v>2415</v>
      </c>
      <c r="O192" s="13" t="s">
        <v>2416</v>
      </c>
      <c r="P192" s="69" t="str">
        <f t="shared" ref="P192:Q192" si="190">D192</f>
        <v xml:space="preserve">Engineering Drafter 6 SETYO </v>
      </c>
      <c r="Q192" s="13" t="str">
        <f t="shared" si="190"/>
        <v>2RD</v>
      </c>
      <c r="R192" s="212" t="s">
        <v>23</v>
      </c>
      <c r="S192" s="213">
        <v>0.83333333333333337</v>
      </c>
      <c r="T192" s="13">
        <v>85</v>
      </c>
      <c r="U192" s="211" t="s">
        <v>83</v>
      </c>
      <c r="V192" s="13">
        <v>1</v>
      </c>
      <c r="W192" s="13" t="s">
        <v>2417</v>
      </c>
      <c r="X192" s="13" t="s">
        <v>1924</v>
      </c>
      <c r="Y192" s="13" t="s">
        <v>2073</v>
      </c>
      <c r="Z192" s="13" t="s">
        <v>2073</v>
      </c>
      <c r="AA192" s="13" t="s">
        <v>2073</v>
      </c>
      <c r="AB192" s="13" t="s">
        <v>1924</v>
      </c>
      <c r="AC192" s="211" t="s">
        <v>2415</v>
      </c>
      <c r="AD192" s="13" t="s">
        <v>2416</v>
      </c>
      <c r="AE192" s="69" t="s">
        <v>922</v>
      </c>
      <c r="AF192" s="13" t="s">
        <v>2418</v>
      </c>
      <c r="AG192" s="13" t="s">
        <v>2419</v>
      </c>
      <c r="AH192" s="13" t="s">
        <v>2420</v>
      </c>
      <c r="AI192" s="13" t="s">
        <v>2421</v>
      </c>
      <c r="AJ192" s="13" t="s">
        <v>2422</v>
      </c>
      <c r="AK192" s="13" t="s">
        <v>2416</v>
      </c>
      <c r="AL192" s="13" t="s">
        <v>2077</v>
      </c>
      <c r="AM192" s="13" t="s">
        <v>2077</v>
      </c>
      <c r="AN192" s="13" t="s">
        <v>2077</v>
      </c>
      <c r="AO192" s="13" t="s">
        <v>2077</v>
      </c>
      <c r="AP192" s="13" t="s">
        <v>2077</v>
      </c>
      <c r="AQ192" s="13" t="s">
        <v>2077</v>
      </c>
      <c r="AR192" s="13" t="s">
        <v>2418</v>
      </c>
      <c r="AS192" s="13" t="s">
        <v>2419</v>
      </c>
      <c r="AT192" s="13" t="s">
        <v>2420</v>
      </c>
      <c r="AU192" s="13" t="s">
        <v>2421</v>
      </c>
      <c r="AV192" s="13" t="s">
        <v>2422</v>
      </c>
      <c r="AW192" s="13" t="s">
        <v>2416</v>
      </c>
      <c r="AX192" s="13" t="s">
        <v>2073</v>
      </c>
      <c r="AY192" s="13" t="s">
        <v>2073</v>
      </c>
      <c r="AZ192" s="13" t="s">
        <v>2073</v>
      </c>
      <c r="BA192" s="13" t="s">
        <v>2073</v>
      </c>
      <c r="BB192" s="13" t="s">
        <v>2073</v>
      </c>
      <c r="BC192" s="13" t="s">
        <v>2073</v>
      </c>
    </row>
    <row r="193" spans="1:55" ht="15.75" customHeight="1">
      <c r="A193" s="13">
        <v>2000</v>
      </c>
      <c r="B193" s="7" t="s">
        <v>966</v>
      </c>
      <c r="C193" s="211" t="s">
        <v>2412</v>
      </c>
      <c r="D193" s="13" t="s">
        <v>2262</v>
      </c>
      <c r="E193" s="13" t="s">
        <v>923</v>
      </c>
      <c r="F193" s="211" t="s">
        <v>2413</v>
      </c>
      <c r="G193" s="13" t="s">
        <v>2414</v>
      </c>
      <c r="H193" s="13" t="s">
        <v>2077</v>
      </c>
      <c r="I193" s="13" t="s">
        <v>2077</v>
      </c>
      <c r="J193" s="13" t="s">
        <v>2077</v>
      </c>
      <c r="K193" s="13" t="s">
        <v>2077</v>
      </c>
      <c r="L193" s="13" t="s">
        <v>2077</v>
      </c>
      <c r="M193" s="13" t="s">
        <v>2077</v>
      </c>
      <c r="N193" s="211" t="s">
        <v>2415</v>
      </c>
      <c r="O193" s="13" t="s">
        <v>2416</v>
      </c>
      <c r="P193" s="69" t="str">
        <f t="shared" ref="P193:Q193" si="191">D193</f>
        <v xml:space="preserve">Engineering Drafter 8 DIMAS </v>
      </c>
      <c r="Q193" s="13" t="str">
        <f t="shared" si="191"/>
        <v>2RD</v>
      </c>
      <c r="R193" s="212" t="s">
        <v>23</v>
      </c>
      <c r="S193" s="213">
        <v>0.83333333333333337</v>
      </c>
      <c r="T193" s="13">
        <v>85</v>
      </c>
      <c r="U193" s="211" t="s">
        <v>83</v>
      </c>
      <c r="V193" s="13">
        <v>1</v>
      </c>
      <c r="W193" s="13" t="s">
        <v>2417</v>
      </c>
      <c r="X193" s="13" t="s">
        <v>1924</v>
      </c>
      <c r="Y193" s="13" t="s">
        <v>2073</v>
      </c>
      <c r="Z193" s="13" t="s">
        <v>2073</v>
      </c>
      <c r="AA193" s="13" t="s">
        <v>2073</v>
      </c>
      <c r="AB193" s="13" t="s">
        <v>1924</v>
      </c>
      <c r="AC193" s="211" t="s">
        <v>2415</v>
      </c>
      <c r="AD193" s="13" t="s">
        <v>2416</v>
      </c>
      <c r="AE193" s="69" t="s">
        <v>922</v>
      </c>
      <c r="AF193" s="13" t="s">
        <v>2418</v>
      </c>
      <c r="AG193" s="13" t="s">
        <v>2419</v>
      </c>
      <c r="AH193" s="13" t="s">
        <v>2420</v>
      </c>
      <c r="AI193" s="13" t="s">
        <v>2421</v>
      </c>
      <c r="AJ193" s="13" t="s">
        <v>2422</v>
      </c>
      <c r="AK193" s="13" t="s">
        <v>2416</v>
      </c>
      <c r="AL193" s="13" t="s">
        <v>2077</v>
      </c>
      <c r="AM193" s="13" t="s">
        <v>2077</v>
      </c>
      <c r="AN193" s="13" t="s">
        <v>2077</v>
      </c>
      <c r="AO193" s="13" t="s">
        <v>2077</v>
      </c>
      <c r="AP193" s="13" t="s">
        <v>2077</v>
      </c>
      <c r="AQ193" s="13" t="s">
        <v>2077</v>
      </c>
      <c r="AR193" s="13" t="s">
        <v>2418</v>
      </c>
      <c r="AS193" s="13" t="s">
        <v>2419</v>
      </c>
      <c r="AT193" s="13" t="s">
        <v>2420</v>
      </c>
      <c r="AU193" s="13" t="s">
        <v>2421</v>
      </c>
      <c r="AV193" s="13" t="s">
        <v>2422</v>
      </c>
      <c r="AW193" s="13" t="s">
        <v>2416</v>
      </c>
      <c r="AX193" s="13" t="s">
        <v>2073</v>
      </c>
      <c r="AY193" s="13" t="s">
        <v>2073</v>
      </c>
      <c r="AZ193" s="13" t="s">
        <v>2073</v>
      </c>
      <c r="BA193" s="13" t="s">
        <v>2073</v>
      </c>
      <c r="BB193" s="13" t="s">
        <v>2073</v>
      </c>
      <c r="BC193" s="13" t="s">
        <v>2073</v>
      </c>
    </row>
    <row r="194" spans="1:55" ht="15.75" customHeight="1">
      <c r="A194" s="13">
        <v>2000</v>
      </c>
      <c r="B194" s="7" t="s">
        <v>969</v>
      </c>
      <c r="C194" s="211" t="s">
        <v>2412</v>
      </c>
      <c r="D194" s="13" t="s">
        <v>2295</v>
      </c>
      <c r="E194" s="13" t="s">
        <v>923</v>
      </c>
      <c r="F194" s="211" t="s">
        <v>2413</v>
      </c>
      <c r="G194" s="13" t="s">
        <v>2414</v>
      </c>
      <c r="H194" s="13" t="s">
        <v>2077</v>
      </c>
      <c r="I194" s="13" t="s">
        <v>2077</v>
      </c>
      <c r="J194" s="13" t="s">
        <v>2077</v>
      </c>
      <c r="K194" s="13" t="s">
        <v>2077</v>
      </c>
      <c r="L194" s="13" t="s">
        <v>2077</v>
      </c>
      <c r="M194" s="13" t="s">
        <v>2077</v>
      </c>
      <c r="N194" s="211" t="s">
        <v>2415</v>
      </c>
      <c r="O194" s="13" t="s">
        <v>2416</v>
      </c>
      <c r="P194" s="69" t="str">
        <f t="shared" ref="P194:Q194" si="192">D194</f>
        <v>Engineering Drafter 3 Aris</v>
      </c>
      <c r="Q194" s="13" t="str">
        <f t="shared" si="192"/>
        <v>2RD</v>
      </c>
      <c r="R194" s="212" t="s">
        <v>23</v>
      </c>
      <c r="S194" s="213">
        <v>0.83333333333333337</v>
      </c>
      <c r="T194" s="13">
        <v>85</v>
      </c>
      <c r="U194" s="211" t="s">
        <v>83</v>
      </c>
      <c r="V194" s="13">
        <v>1</v>
      </c>
      <c r="W194" s="13" t="s">
        <v>2417</v>
      </c>
      <c r="X194" s="13" t="s">
        <v>1924</v>
      </c>
      <c r="Y194" s="13" t="s">
        <v>2073</v>
      </c>
      <c r="Z194" s="13" t="s">
        <v>2073</v>
      </c>
      <c r="AA194" s="13" t="s">
        <v>2073</v>
      </c>
      <c r="AB194" s="13" t="s">
        <v>1924</v>
      </c>
      <c r="AC194" s="211" t="s">
        <v>2415</v>
      </c>
      <c r="AD194" s="13" t="s">
        <v>2416</v>
      </c>
      <c r="AE194" s="69" t="s">
        <v>922</v>
      </c>
      <c r="AF194" s="13" t="s">
        <v>2418</v>
      </c>
      <c r="AG194" s="13" t="s">
        <v>2419</v>
      </c>
      <c r="AH194" s="13" t="s">
        <v>2420</v>
      </c>
      <c r="AI194" s="13" t="s">
        <v>2421</v>
      </c>
      <c r="AJ194" s="13" t="s">
        <v>2422</v>
      </c>
      <c r="AK194" s="13" t="s">
        <v>2416</v>
      </c>
      <c r="AL194" s="13" t="s">
        <v>2077</v>
      </c>
      <c r="AM194" s="13" t="s">
        <v>2077</v>
      </c>
      <c r="AN194" s="13" t="s">
        <v>2077</v>
      </c>
      <c r="AO194" s="13" t="s">
        <v>2077</v>
      </c>
      <c r="AP194" s="13" t="s">
        <v>2077</v>
      </c>
      <c r="AQ194" s="13" t="s">
        <v>2077</v>
      </c>
      <c r="AR194" s="13" t="s">
        <v>2418</v>
      </c>
      <c r="AS194" s="13" t="s">
        <v>2419</v>
      </c>
      <c r="AT194" s="13" t="s">
        <v>2420</v>
      </c>
      <c r="AU194" s="13" t="s">
        <v>2421</v>
      </c>
      <c r="AV194" s="13" t="s">
        <v>2422</v>
      </c>
      <c r="AW194" s="13" t="s">
        <v>2416</v>
      </c>
      <c r="AX194" s="13" t="s">
        <v>2073</v>
      </c>
      <c r="AY194" s="13" t="s">
        <v>2073</v>
      </c>
      <c r="AZ194" s="13" t="s">
        <v>2073</v>
      </c>
      <c r="BA194" s="13" t="s">
        <v>2073</v>
      </c>
      <c r="BB194" s="13" t="s">
        <v>2073</v>
      </c>
      <c r="BC194" s="13" t="s">
        <v>2073</v>
      </c>
    </row>
    <row r="195" spans="1:55" ht="15.75" customHeight="1">
      <c r="A195" s="13">
        <v>2000</v>
      </c>
      <c r="B195" s="7" t="s">
        <v>971</v>
      </c>
      <c r="C195" s="211" t="s">
        <v>2412</v>
      </c>
      <c r="D195" s="13" t="s">
        <v>2263</v>
      </c>
      <c r="E195" s="13" t="s">
        <v>923</v>
      </c>
      <c r="F195" s="211" t="s">
        <v>2413</v>
      </c>
      <c r="G195" s="13" t="s">
        <v>2414</v>
      </c>
      <c r="H195" s="13" t="s">
        <v>2077</v>
      </c>
      <c r="I195" s="13" t="s">
        <v>2077</v>
      </c>
      <c r="J195" s="13" t="s">
        <v>2077</v>
      </c>
      <c r="K195" s="13" t="s">
        <v>2077</v>
      </c>
      <c r="L195" s="13" t="s">
        <v>2077</v>
      </c>
      <c r="M195" s="13" t="s">
        <v>2077</v>
      </c>
      <c r="N195" s="211" t="s">
        <v>2415</v>
      </c>
      <c r="O195" s="13" t="s">
        <v>2416</v>
      </c>
      <c r="P195" s="69" t="str">
        <f t="shared" ref="P195:Q195" si="193">D195</f>
        <v>Packaging Icon 1 Mahendra</v>
      </c>
      <c r="Q195" s="13" t="str">
        <f t="shared" si="193"/>
        <v>2RD</v>
      </c>
      <c r="R195" s="212" t="s">
        <v>23</v>
      </c>
      <c r="S195" s="213">
        <v>0.83333333333333337</v>
      </c>
      <c r="T195" s="13">
        <v>85</v>
      </c>
      <c r="U195" s="211" t="s">
        <v>83</v>
      </c>
      <c r="V195" s="13">
        <v>1</v>
      </c>
      <c r="W195" s="13" t="s">
        <v>2417</v>
      </c>
      <c r="X195" s="13" t="s">
        <v>1924</v>
      </c>
      <c r="Y195" s="13" t="s">
        <v>2073</v>
      </c>
      <c r="Z195" s="13" t="s">
        <v>2073</v>
      </c>
      <c r="AA195" s="13" t="s">
        <v>2073</v>
      </c>
      <c r="AB195" s="13" t="s">
        <v>1924</v>
      </c>
      <c r="AC195" s="211" t="s">
        <v>2415</v>
      </c>
      <c r="AD195" s="13" t="s">
        <v>2416</v>
      </c>
      <c r="AE195" s="69" t="s">
        <v>922</v>
      </c>
      <c r="AF195" s="13" t="s">
        <v>2418</v>
      </c>
      <c r="AG195" s="13" t="s">
        <v>2419</v>
      </c>
      <c r="AH195" s="13" t="s">
        <v>2420</v>
      </c>
      <c r="AI195" s="13" t="s">
        <v>2421</v>
      </c>
      <c r="AJ195" s="13" t="s">
        <v>2422</v>
      </c>
      <c r="AK195" s="13" t="s">
        <v>2416</v>
      </c>
      <c r="AL195" s="13" t="s">
        <v>2077</v>
      </c>
      <c r="AM195" s="13" t="s">
        <v>2077</v>
      </c>
      <c r="AN195" s="13" t="s">
        <v>2077</v>
      </c>
      <c r="AO195" s="13" t="s">
        <v>2077</v>
      </c>
      <c r="AP195" s="13" t="s">
        <v>2077</v>
      </c>
      <c r="AQ195" s="13" t="s">
        <v>2077</v>
      </c>
      <c r="AR195" s="13" t="s">
        <v>2418</v>
      </c>
      <c r="AS195" s="13" t="s">
        <v>2419</v>
      </c>
      <c r="AT195" s="13" t="s">
        <v>2420</v>
      </c>
      <c r="AU195" s="13" t="s">
        <v>2421</v>
      </c>
      <c r="AV195" s="13" t="s">
        <v>2422</v>
      </c>
      <c r="AW195" s="13" t="s">
        <v>2416</v>
      </c>
      <c r="AX195" s="13" t="s">
        <v>2073</v>
      </c>
      <c r="AY195" s="13" t="s">
        <v>2073</v>
      </c>
      <c r="AZ195" s="13" t="s">
        <v>2073</v>
      </c>
      <c r="BA195" s="13" t="s">
        <v>2073</v>
      </c>
      <c r="BB195" s="13" t="s">
        <v>2073</v>
      </c>
      <c r="BC195" s="13" t="s">
        <v>2073</v>
      </c>
    </row>
    <row r="196" spans="1:55" ht="15.75" customHeight="1">
      <c r="A196" s="13">
        <v>2000</v>
      </c>
      <c r="B196" s="7" t="s">
        <v>988</v>
      </c>
      <c r="C196" s="211" t="s">
        <v>2412</v>
      </c>
      <c r="D196" s="13" t="s">
        <v>2264</v>
      </c>
      <c r="E196" s="13" t="s">
        <v>923</v>
      </c>
      <c r="F196" s="211" t="s">
        <v>2413</v>
      </c>
      <c r="G196" s="13" t="s">
        <v>2414</v>
      </c>
      <c r="H196" s="13" t="s">
        <v>2077</v>
      </c>
      <c r="I196" s="13" t="s">
        <v>2077</v>
      </c>
      <c r="J196" s="13" t="s">
        <v>2077</v>
      </c>
      <c r="K196" s="13" t="s">
        <v>2077</v>
      </c>
      <c r="L196" s="13" t="s">
        <v>2077</v>
      </c>
      <c r="M196" s="13" t="s">
        <v>2077</v>
      </c>
      <c r="N196" s="211" t="s">
        <v>2415</v>
      </c>
      <c r="O196" s="13" t="s">
        <v>2416</v>
      </c>
      <c r="P196" s="69" t="str">
        <f t="shared" ref="P196:Q196" si="194">D196</f>
        <v>MASTER DATA 1 (KESI )</v>
      </c>
      <c r="Q196" s="13" t="str">
        <f t="shared" si="194"/>
        <v>2RD</v>
      </c>
      <c r="R196" s="212" t="s">
        <v>23</v>
      </c>
      <c r="S196" s="213">
        <v>0.75</v>
      </c>
      <c r="T196" s="13">
        <v>85</v>
      </c>
      <c r="U196" s="211" t="s">
        <v>24</v>
      </c>
      <c r="V196" s="13">
        <v>1</v>
      </c>
      <c r="W196" s="13" t="s">
        <v>2417</v>
      </c>
      <c r="X196" s="13" t="s">
        <v>1924</v>
      </c>
      <c r="Y196" s="13" t="s">
        <v>2073</v>
      </c>
      <c r="Z196" s="13" t="s">
        <v>2073</v>
      </c>
      <c r="AA196" s="13" t="s">
        <v>2073</v>
      </c>
      <c r="AB196" s="13" t="s">
        <v>1924</v>
      </c>
      <c r="AC196" s="211" t="s">
        <v>2415</v>
      </c>
      <c r="AD196" s="13" t="s">
        <v>2416</v>
      </c>
      <c r="AE196" s="69">
        <v>1075013001</v>
      </c>
      <c r="AF196" s="13" t="s">
        <v>2418</v>
      </c>
      <c r="AG196" s="13" t="s">
        <v>2419</v>
      </c>
      <c r="AH196" s="13" t="s">
        <v>2420</v>
      </c>
      <c r="AI196" s="13" t="s">
        <v>2421</v>
      </c>
      <c r="AJ196" s="13" t="s">
        <v>2422</v>
      </c>
      <c r="AK196" s="13" t="s">
        <v>2416</v>
      </c>
      <c r="AL196" s="13" t="s">
        <v>2077</v>
      </c>
      <c r="AM196" s="13" t="s">
        <v>2077</v>
      </c>
      <c r="AN196" s="13" t="s">
        <v>2077</v>
      </c>
      <c r="AO196" s="13" t="s">
        <v>2077</v>
      </c>
      <c r="AP196" s="13" t="s">
        <v>2077</v>
      </c>
      <c r="AQ196" s="13" t="s">
        <v>2077</v>
      </c>
      <c r="AR196" s="13" t="s">
        <v>2418</v>
      </c>
      <c r="AS196" s="13" t="s">
        <v>2419</v>
      </c>
      <c r="AT196" s="13" t="s">
        <v>2420</v>
      </c>
      <c r="AU196" s="13" t="s">
        <v>2421</v>
      </c>
      <c r="AV196" s="13" t="s">
        <v>2422</v>
      </c>
      <c r="AW196" s="13" t="s">
        <v>2416</v>
      </c>
      <c r="AX196" s="13" t="s">
        <v>2073</v>
      </c>
      <c r="AY196" s="13" t="s">
        <v>2073</v>
      </c>
      <c r="AZ196" s="13" t="s">
        <v>2073</v>
      </c>
      <c r="BA196" s="13" t="s">
        <v>2073</v>
      </c>
      <c r="BB196" s="13" t="s">
        <v>2073</v>
      </c>
      <c r="BC196" s="13" t="s">
        <v>2073</v>
      </c>
    </row>
    <row r="197" spans="1:55" ht="15.75" customHeight="1">
      <c r="A197" s="13">
        <v>2000</v>
      </c>
      <c r="B197" s="7" t="s">
        <v>985</v>
      </c>
      <c r="C197" s="211" t="s">
        <v>2412</v>
      </c>
      <c r="D197" s="13" t="s">
        <v>2265</v>
      </c>
      <c r="E197" s="13" t="s">
        <v>923</v>
      </c>
      <c r="F197" s="211" t="s">
        <v>2413</v>
      </c>
      <c r="G197" s="13" t="s">
        <v>2414</v>
      </c>
      <c r="H197" s="13" t="s">
        <v>2077</v>
      </c>
      <c r="I197" s="13" t="s">
        <v>2077</v>
      </c>
      <c r="J197" s="13" t="s">
        <v>2077</v>
      </c>
      <c r="K197" s="13" t="s">
        <v>2077</v>
      </c>
      <c r="L197" s="13" t="s">
        <v>2077</v>
      </c>
      <c r="M197" s="13" t="s">
        <v>2077</v>
      </c>
      <c r="N197" s="211" t="s">
        <v>2415</v>
      </c>
      <c r="O197" s="13" t="s">
        <v>2416</v>
      </c>
      <c r="P197" s="69" t="str">
        <f t="shared" ref="P197:Q197" si="195">D197</f>
        <v>MASTER DATA 2 (AYU )</v>
      </c>
      <c r="Q197" s="13" t="str">
        <f t="shared" si="195"/>
        <v>2RD</v>
      </c>
      <c r="R197" s="212" t="s">
        <v>23</v>
      </c>
      <c r="S197" s="213">
        <v>0.75</v>
      </c>
      <c r="T197" s="13">
        <v>85</v>
      </c>
      <c r="U197" s="211" t="s">
        <v>24</v>
      </c>
      <c r="V197" s="13">
        <v>1</v>
      </c>
      <c r="W197" s="13" t="s">
        <v>2417</v>
      </c>
      <c r="X197" s="13" t="s">
        <v>1924</v>
      </c>
      <c r="Y197" s="13" t="s">
        <v>2073</v>
      </c>
      <c r="Z197" s="13" t="s">
        <v>2073</v>
      </c>
      <c r="AA197" s="13" t="s">
        <v>2073</v>
      </c>
      <c r="AB197" s="13" t="s">
        <v>1924</v>
      </c>
      <c r="AC197" s="211" t="s">
        <v>2415</v>
      </c>
      <c r="AD197" s="13" t="s">
        <v>2416</v>
      </c>
      <c r="AE197" s="69">
        <v>1075013001</v>
      </c>
      <c r="AF197" s="13" t="s">
        <v>2418</v>
      </c>
      <c r="AG197" s="13" t="s">
        <v>2419</v>
      </c>
      <c r="AH197" s="13" t="s">
        <v>2420</v>
      </c>
      <c r="AI197" s="13" t="s">
        <v>2421</v>
      </c>
      <c r="AJ197" s="13" t="s">
        <v>2422</v>
      </c>
      <c r="AK197" s="13" t="s">
        <v>2416</v>
      </c>
      <c r="AL197" s="13" t="s">
        <v>2077</v>
      </c>
      <c r="AM197" s="13" t="s">
        <v>2077</v>
      </c>
      <c r="AN197" s="13" t="s">
        <v>2077</v>
      </c>
      <c r="AO197" s="13" t="s">
        <v>2077</v>
      </c>
      <c r="AP197" s="13" t="s">
        <v>2077</v>
      </c>
      <c r="AQ197" s="13" t="s">
        <v>2077</v>
      </c>
      <c r="AR197" s="13" t="s">
        <v>2418</v>
      </c>
      <c r="AS197" s="13" t="s">
        <v>2419</v>
      </c>
      <c r="AT197" s="13" t="s">
        <v>2420</v>
      </c>
      <c r="AU197" s="13" t="s">
        <v>2421</v>
      </c>
      <c r="AV197" s="13" t="s">
        <v>2422</v>
      </c>
      <c r="AW197" s="13" t="s">
        <v>2416</v>
      </c>
      <c r="AX197" s="13" t="s">
        <v>2073</v>
      </c>
      <c r="AY197" s="13" t="s">
        <v>2073</v>
      </c>
      <c r="AZ197" s="13" t="s">
        <v>2073</v>
      </c>
      <c r="BA197" s="13" t="s">
        <v>2073</v>
      </c>
      <c r="BB197" s="13" t="s">
        <v>2073</v>
      </c>
      <c r="BC197" s="13" t="s">
        <v>2073</v>
      </c>
    </row>
    <row r="198" spans="1:55" ht="15.75" customHeight="1">
      <c r="A198" s="13">
        <v>2000</v>
      </c>
      <c r="B198" s="7" t="s">
        <v>979</v>
      </c>
      <c r="C198" s="211" t="s">
        <v>2412</v>
      </c>
      <c r="D198" s="13" t="s">
        <v>2266</v>
      </c>
      <c r="E198" s="13" t="s">
        <v>923</v>
      </c>
      <c r="F198" s="211" t="s">
        <v>2413</v>
      </c>
      <c r="G198" s="13" t="s">
        <v>2414</v>
      </c>
      <c r="H198" s="13" t="s">
        <v>2077</v>
      </c>
      <c r="I198" s="13" t="s">
        <v>2077</v>
      </c>
      <c r="J198" s="13" t="s">
        <v>2077</v>
      </c>
      <c r="K198" s="13" t="s">
        <v>2077</v>
      </c>
      <c r="L198" s="13" t="s">
        <v>2077</v>
      </c>
      <c r="M198" s="13" t="s">
        <v>2077</v>
      </c>
      <c r="N198" s="211" t="s">
        <v>2415</v>
      </c>
      <c r="O198" s="13" t="s">
        <v>2416</v>
      </c>
      <c r="P198" s="69" t="str">
        <f t="shared" ref="P198:Q198" si="196">D198</f>
        <v>MASTER DATA 3 (ARITA )</v>
      </c>
      <c r="Q198" s="13" t="str">
        <f t="shared" si="196"/>
        <v>2RD</v>
      </c>
      <c r="R198" s="212" t="s">
        <v>23</v>
      </c>
      <c r="S198" s="213">
        <v>0.75</v>
      </c>
      <c r="T198" s="13">
        <v>85</v>
      </c>
      <c r="U198" s="211" t="s">
        <v>24</v>
      </c>
      <c r="V198" s="13">
        <v>1</v>
      </c>
      <c r="W198" s="13" t="s">
        <v>2417</v>
      </c>
      <c r="X198" s="13" t="s">
        <v>1924</v>
      </c>
      <c r="Y198" s="13" t="s">
        <v>2073</v>
      </c>
      <c r="Z198" s="13" t="s">
        <v>2073</v>
      </c>
      <c r="AA198" s="13" t="s">
        <v>2073</v>
      </c>
      <c r="AB198" s="13" t="s">
        <v>1924</v>
      </c>
      <c r="AC198" s="211" t="s">
        <v>2415</v>
      </c>
      <c r="AD198" s="13" t="s">
        <v>2416</v>
      </c>
      <c r="AE198" s="69">
        <v>1075013001</v>
      </c>
      <c r="AF198" s="13" t="s">
        <v>2418</v>
      </c>
      <c r="AG198" s="13" t="s">
        <v>2419</v>
      </c>
      <c r="AH198" s="13" t="s">
        <v>2420</v>
      </c>
      <c r="AI198" s="13" t="s">
        <v>2421</v>
      </c>
      <c r="AJ198" s="13" t="s">
        <v>2422</v>
      </c>
      <c r="AK198" s="13" t="s">
        <v>2416</v>
      </c>
      <c r="AL198" s="13" t="s">
        <v>2077</v>
      </c>
      <c r="AM198" s="13" t="s">
        <v>2077</v>
      </c>
      <c r="AN198" s="13" t="s">
        <v>2077</v>
      </c>
      <c r="AO198" s="13" t="s">
        <v>2077</v>
      </c>
      <c r="AP198" s="13" t="s">
        <v>2077</v>
      </c>
      <c r="AQ198" s="13" t="s">
        <v>2077</v>
      </c>
      <c r="AR198" s="13" t="s">
        <v>2418</v>
      </c>
      <c r="AS198" s="13" t="s">
        <v>2419</v>
      </c>
      <c r="AT198" s="13" t="s">
        <v>2420</v>
      </c>
      <c r="AU198" s="13" t="s">
        <v>2421</v>
      </c>
      <c r="AV198" s="13" t="s">
        <v>2422</v>
      </c>
      <c r="AW198" s="13" t="s">
        <v>2416</v>
      </c>
      <c r="AX198" s="13" t="s">
        <v>2073</v>
      </c>
      <c r="AY198" s="13" t="s">
        <v>2073</v>
      </c>
      <c r="AZ198" s="13" t="s">
        <v>2073</v>
      </c>
      <c r="BA198" s="13" t="s">
        <v>2073</v>
      </c>
      <c r="BB198" s="13" t="s">
        <v>2073</v>
      </c>
      <c r="BC198" s="13" t="s">
        <v>2073</v>
      </c>
    </row>
    <row r="199" spans="1:55" ht="15.75" customHeight="1">
      <c r="A199" s="13">
        <v>2000</v>
      </c>
      <c r="B199" s="7" t="s">
        <v>981</v>
      </c>
      <c r="C199" s="211" t="s">
        <v>2412</v>
      </c>
      <c r="D199" s="13" t="s">
        <v>2267</v>
      </c>
      <c r="E199" s="13" t="s">
        <v>923</v>
      </c>
      <c r="F199" s="211" t="s">
        <v>2413</v>
      </c>
      <c r="G199" s="13" t="s">
        <v>2414</v>
      </c>
      <c r="H199" s="13" t="s">
        <v>2077</v>
      </c>
      <c r="I199" s="13" t="s">
        <v>2077</v>
      </c>
      <c r="J199" s="13" t="s">
        <v>2077</v>
      </c>
      <c r="K199" s="13" t="s">
        <v>2077</v>
      </c>
      <c r="L199" s="13" t="s">
        <v>2077</v>
      </c>
      <c r="M199" s="13" t="s">
        <v>2077</v>
      </c>
      <c r="N199" s="211" t="s">
        <v>2415</v>
      </c>
      <c r="O199" s="13" t="s">
        <v>2416</v>
      </c>
      <c r="P199" s="69" t="str">
        <f t="shared" ref="P199:Q199" si="197">D199</f>
        <v>DROX BOX</v>
      </c>
      <c r="Q199" s="13" t="str">
        <f t="shared" si="197"/>
        <v>2RD</v>
      </c>
      <c r="R199" s="212" t="s">
        <v>23</v>
      </c>
      <c r="S199" s="213">
        <v>0.75</v>
      </c>
      <c r="T199" s="13">
        <v>85</v>
      </c>
      <c r="U199" s="211" t="s">
        <v>24</v>
      </c>
      <c r="V199" s="13">
        <v>1</v>
      </c>
      <c r="W199" s="13" t="s">
        <v>2417</v>
      </c>
      <c r="X199" s="13" t="s">
        <v>1924</v>
      </c>
      <c r="Y199" s="13" t="s">
        <v>2073</v>
      </c>
      <c r="Z199" s="13" t="s">
        <v>2073</v>
      </c>
      <c r="AA199" s="13" t="s">
        <v>2073</v>
      </c>
      <c r="AB199" s="13" t="s">
        <v>1924</v>
      </c>
      <c r="AC199" s="211" t="s">
        <v>2415</v>
      </c>
      <c r="AD199" s="13" t="s">
        <v>2416</v>
      </c>
      <c r="AE199" s="69">
        <v>1075013001</v>
      </c>
      <c r="AF199" s="13" t="s">
        <v>2418</v>
      </c>
      <c r="AG199" s="13" t="s">
        <v>2419</v>
      </c>
      <c r="AH199" s="13" t="s">
        <v>2420</v>
      </c>
      <c r="AI199" s="13" t="s">
        <v>2421</v>
      </c>
      <c r="AJ199" s="13" t="s">
        <v>2422</v>
      </c>
      <c r="AK199" s="13" t="s">
        <v>2416</v>
      </c>
      <c r="AL199" s="13" t="s">
        <v>2077</v>
      </c>
      <c r="AM199" s="13" t="s">
        <v>2077</v>
      </c>
      <c r="AN199" s="13" t="s">
        <v>2077</v>
      </c>
      <c r="AO199" s="13" t="s">
        <v>2077</v>
      </c>
      <c r="AP199" s="13" t="s">
        <v>2077</v>
      </c>
      <c r="AQ199" s="13" t="s">
        <v>2077</v>
      </c>
      <c r="AR199" s="13" t="s">
        <v>2418</v>
      </c>
      <c r="AS199" s="13" t="s">
        <v>2419</v>
      </c>
      <c r="AT199" s="13" t="s">
        <v>2420</v>
      </c>
      <c r="AU199" s="13" t="s">
        <v>2421</v>
      </c>
      <c r="AV199" s="13" t="s">
        <v>2422</v>
      </c>
      <c r="AW199" s="13" t="s">
        <v>2416</v>
      </c>
      <c r="AX199" s="13" t="s">
        <v>2073</v>
      </c>
      <c r="AY199" s="13" t="s">
        <v>2073</v>
      </c>
      <c r="AZ199" s="13" t="s">
        <v>2073</v>
      </c>
      <c r="BA199" s="13" t="s">
        <v>2073</v>
      </c>
      <c r="BB199" s="13" t="s">
        <v>2073</v>
      </c>
      <c r="BC199" s="13" t="s">
        <v>2073</v>
      </c>
    </row>
    <row r="200" spans="1:55" ht="15.75" customHeight="1">
      <c r="A200" s="13">
        <v>2000</v>
      </c>
      <c r="B200" s="7" t="s">
        <v>993</v>
      </c>
      <c r="C200" s="211" t="s">
        <v>2412</v>
      </c>
      <c r="D200" s="13" t="s">
        <v>992</v>
      </c>
      <c r="E200" s="13" t="s">
        <v>923</v>
      </c>
      <c r="F200" s="211" t="s">
        <v>2413</v>
      </c>
      <c r="G200" s="13" t="s">
        <v>2414</v>
      </c>
      <c r="H200" s="13" t="s">
        <v>2077</v>
      </c>
      <c r="I200" s="13" t="s">
        <v>2077</v>
      </c>
      <c r="J200" s="13" t="s">
        <v>2077</v>
      </c>
      <c r="K200" s="13" t="s">
        <v>2077</v>
      </c>
      <c r="L200" s="13" t="s">
        <v>2077</v>
      </c>
      <c r="M200" s="13" t="s">
        <v>2077</v>
      </c>
      <c r="N200" s="211" t="s">
        <v>2415</v>
      </c>
      <c r="O200" s="13" t="s">
        <v>2416</v>
      </c>
      <c r="P200" s="69" t="str">
        <f t="shared" ref="P200:Q200" si="198">D200</f>
        <v>Machining RND Line A</v>
      </c>
      <c r="Q200" s="13" t="str">
        <f t="shared" si="198"/>
        <v>2RD</v>
      </c>
      <c r="R200" s="212" t="s">
        <v>23</v>
      </c>
      <c r="S200" s="213">
        <v>0.97916666666666663</v>
      </c>
      <c r="T200" s="13">
        <v>85</v>
      </c>
      <c r="U200" s="211" t="s">
        <v>83</v>
      </c>
      <c r="V200" s="13">
        <v>1</v>
      </c>
      <c r="W200" s="13" t="s">
        <v>2417</v>
      </c>
      <c r="X200" s="13" t="s">
        <v>1924</v>
      </c>
      <c r="Y200" s="13" t="s">
        <v>2073</v>
      </c>
      <c r="Z200" s="13" t="s">
        <v>2073</v>
      </c>
      <c r="AA200" s="13" t="s">
        <v>2073</v>
      </c>
      <c r="AB200" s="13" t="s">
        <v>1924</v>
      </c>
      <c r="AC200" s="211" t="s">
        <v>2415</v>
      </c>
      <c r="AD200" s="13" t="s">
        <v>2416</v>
      </c>
      <c r="AE200" s="69" t="s">
        <v>994</v>
      </c>
      <c r="AF200" s="13" t="s">
        <v>2418</v>
      </c>
      <c r="AG200" s="13" t="s">
        <v>2419</v>
      </c>
      <c r="AH200" s="13" t="s">
        <v>2420</v>
      </c>
      <c r="AI200" s="13" t="s">
        <v>2421</v>
      </c>
      <c r="AJ200" s="13" t="s">
        <v>2422</v>
      </c>
      <c r="AK200" s="13" t="s">
        <v>2416</v>
      </c>
      <c r="AL200" s="13" t="s">
        <v>2077</v>
      </c>
      <c r="AM200" s="13" t="s">
        <v>2077</v>
      </c>
      <c r="AN200" s="13" t="s">
        <v>2077</v>
      </c>
      <c r="AO200" s="13" t="s">
        <v>2077</v>
      </c>
      <c r="AP200" s="13" t="s">
        <v>2077</v>
      </c>
      <c r="AQ200" s="13" t="s">
        <v>2077</v>
      </c>
      <c r="AR200" s="13" t="s">
        <v>2418</v>
      </c>
      <c r="AS200" s="13" t="s">
        <v>2419</v>
      </c>
      <c r="AT200" s="13" t="s">
        <v>2420</v>
      </c>
      <c r="AU200" s="13" t="s">
        <v>2421</v>
      </c>
      <c r="AV200" s="13" t="s">
        <v>2422</v>
      </c>
      <c r="AW200" s="13" t="s">
        <v>2416</v>
      </c>
      <c r="AX200" s="13" t="s">
        <v>2073</v>
      </c>
      <c r="AY200" s="13" t="s">
        <v>2073</v>
      </c>
      <c r="AZ200" s="13" t="s">
        <v>2073</v>
      </c>
      <c r="BA200" s="13" t="s">
        <v>2073</v>
      </c>
      <c r="BB200" s="13" t="s">
        <v>2073</v>
      </c>
      <c r="BC200" s="13" t="s">
        <v>2073</v>
      </c>
    </row>
    <row r="201" spans="1:55" ht="15.75" customHeight="1">
      <c r="A201" s="13">
        <v>2000</v>
      </c>
      <c r="B201" s="7" t="s">
        <v>997</v>
      </c>
      <c r="C201" s="211" t="s">
        <v>2412</v>
      </c>
      <c r="D201" s="13" t="s">
        <v>996</v>
      </c>
      <c r="E201" s="13" t="s">
        <v>923</v>
      </c>
      <c r="F201" s="211" t="s">
        <v>2413</v>
      </c>
      <c r="G201" s="13" t="s">
        <v>2414</v>
      </c>
      <c r="H201" s="13" t="s">
        <v>2077</v>
      </c>
      <c r="I201" s="13" t="s">
        <v>2077</v>
      </c>
      <c r="J201" s="13" t="s">
        <v>2077</v>
      </c>
      <c r="K201" s="13" t="s">
        <v>2077</v>
      </c>
      <c r="L201" s="13" t="s">
        <v>2077</v>
      </c>
      <c r="M201" s="13" t="s">
        <v>2077</v>
      </c>
      <c r="N201" s="211" t="s">
        <v>2415</v>
      </c>
      <c r="O201" s="13" t="s">
        <v>2416</v>
      </c>
      <c r="P201" s="69" t="str">
        <f t="shared" ref="P201:Q201" si="199">D201</f>
        <v>Assembly RND Line A</v>
      </c>
      <c r="Q201" s="13" t="str">
        <f t="shared" si="199"/>
        <v>2RD</v>
      </c>
      <c r="R201" s="212" t="s">
        <v>23</v>
      </c>
      <c r="S201" s="213">
        <v>0.97916666666666663</v>
      </c>
      <c r="T201" s="13">
        <v>85</v>
      </c>
      <c r="U201" s="211" t="s">
        <v>83</v>
      </c>
      <c r="V201" s="13">
        <v>1</v>
      </c>
      <c r="W201" s="13" t="s">
        <v>2417</v>
      </c>
      <c r="X201" s="13" t="s">
        <v>1924</v>
      </c>
      <c r="Y201" s="13" t="s">
        <v>2073</v>
      </c>
      <c r="Z201" s="13" t="s">
        <v>2073</v>
      </c>
      <c r="AA201" s="13" t="s">
        <v>2073</v>
      </c>
      <c r="AB201" s="13" t="s">
        <v>1924</v>
      </c>
      <c r="AC201" s="211" t="s">
        <v>2415</v>
      </c>
      <c r="AD201" s="13" t="s">
        <v>2416</v>
      </c>
      <c r="AE201" s="69" t="s">
        <v>998</v>
      </c>
      <c r="AF201" s="13" t="s">
        <v>2418</v>
      </c>
      <c r="AG201" s="13" t="s">
        <v>2419</v>
      </c>
      <c r="AH201" s="13" t="s">
        <v>2420</v>
      </c>
      <c r="AI201" s="13" t="s">
        <v>2421</v>
      </c>
      <c r="AJ201" s="13" t="s">
        <v>2422</v>
      </c>
      <c r="AK201" s="13" t="s">
        <v>2416</v>
      </c>
      <c r="AL201" s="13" t="s">
        <v>2077</v>
      </c>
      <c r="AM201" s="13" t="s">
        <v>2077</v>
      </c>
      <c r="AN201" s="13" t="s">
        <v>2077</v>
      </c>
      <c r="AO201" s="13" t="s">
        <v>2077</v>
      </c>
      <c r="AP201" s="13" t="s">
        <v>2077</v>
      </c>
      <c r="AQ201" s="13" t="s">
        <v>2077</v>
      </c>
      <c r="AR201" s="13" t="s">
        <v>2418</v>
      </c>
      <c r="AS201" s="13" t="s">
        <v>2419</v>
      </c>
      <c r="AT201" s="13" t="s">
        <v>2420</v>
      </c>
      <c r="AU201" s="13" t="s">
        <v>2421</v>
      </c>
      <c r="AV201" s="13" t="s">
        <v>2422</v>
      </c>
      <c r="AW201" s="13" t="s">
        <v>2416</v>
      </c>
      <c r="AX201" s="13" t="s">
        <v>2073</v>
      </c>
      <c r="AY201" s="13" t="s">
        <v>2073</v>
      </c>
      <c r="AZ201" s="13" t="s">
        <v>2073</v>
      </c>
      <c r="BA201" s="13" t="s">
        <v>2073</v>
      </c>
      <c r="BB201" s="13" t="s">
        <v>2073</v>
      </c>
      <c r="BC201" s="13" t="s">
        <v>2073</v>
      </c>
    </row>
    <row r="202" spans="1:55" ht="15.75" customHeight="1">
      <c r="A202" s="13">
        <v>2000</v>
      </c>
      <c r="B202" s="7" t="s">
        <v>1005</v>
      </c>
      <c r="C202" s="211" t="s">
        <v>2412</v>
      </c>
      <c r="D202" s="13" t="s">
        <v>1004</v>
      </c>
      <c r="E202" s="13" t="s">
        <v>923</v>
      </c>
      <c r="F202" s="211" t="s">
        <v>2413</v>
      </c>
      <c r="G202" s="13" t="s">
        <v>2414</v>
      </c>
      <c r="H202" s="13" t="s">
        <v>2077</v>
      </c>
      <c r="I202" s="13" t="s">
        <v>2077</v>
      </c>
      <c r="J202" s="13" t="s">
        <v>2077</v>
      </c>
      <c r="K202" s="13" t="s">
        <v>2077</v>
      </c>
      <c r="L202" s="13" t="s">
        <v>2077</v>
      </c>
      <c r="M202" s="13" t="s">
        <v>2077</v>
      </c>
      <c r="N202" s="211" t="s">
        <v>2415</v>
      </c>
      <c r="O202" s="13" t="s">
        <v>2416</v>
      </c>
      <c r="P202" s="69" t="str">
        <f t="shared" ref="P202:Q202" si="200">D202</f>
        <v>Painting RND</v>
      </c>
      <c r="Q202" s="13" t="str">
        <f t="shared" si="200"/>
        <v>2RD</v>
      </c>
      <c r="R202" s="212" t="s">
        <v>23</v>
      </c>
      <c r="S202" s="213">
        <v>0.97916666666666663</v>
      </c>
      <c r="T202" s="13">
        <v>85</v>
      </c>
      <c r="U202" s="211" t="s">
        <v>83</v>
      </c>
      <c r="V202" s="13">
        <v>1</v>
      </c>
      <c r="W202" s="13" t="s">
        <v>2417</v>
      </c>
      <c r="X202" s="13" t="s">
        <v>1924</v>
      </c>
      <c r="Y202" s="13" t="s">
        <v>2073</v>
      </c>
      <c r="Z202" s="13" t="s">
        <v>2073</v>
      </c>
      <c r="AA202" s="13" t="s">
        <v>2073</v>
      </c>
      <c r="AB202" s="13" t="s">
        <v>1924</v>
      </c>
      <c r="AC202" s="211" t="s">
        <v>2415</v>
      </c>
      <c r="AD202" s="13" t="s">
        <v>2416</v>
      </c>
      <c r="AE202" s="69" t="s">
        <v>1006</v>
      </c>
      <c r="AF202" s="13" t="s">
        <v>2418</v>
      </c>
      <c r="AG202" s="13" t="s">
        <v>2419</v>
      </c>
      <c r="AH202" s="13" t="s">
        <v>2420</v>
      </c>
      <c r="AI202" s="13" t="s">
        <v>2421</v>
      </c>
      <c r="AJ202" s="13" t="s">
        <v>2422</v>
      </c>
      <c r="AK202" s="13" t="s">
        <v>2416</v>
      </c>
      <c r="AL202" s="13" t="s">
        <v>2077</v>
      </c>
      <c r="AM202" s="13" t="s">
        <v>2077</v>
      </c>
      <c r="AN202" s="13" t="s">
        <v>2077</v>
      </c>
      <c r="AO202" s="13" t="s">
        <v>2077</v>
      </c>
      <c r="AP202" s="13" t="s">
        <v>2077</v>
      </c>
      <c r="AQ202" s="13" t="s">
        <v>2077</v>
      </c>
      <c r="AR202" s="13" t="s">
        <v>2418</v>
      </c>
      <c r="AS202" s="13" t="s">
        <v>2419</v>
      </c>
      <c r="AT202" s="13" t="s">
        <v>2420</v>
      </c>
      <c r="AU202" s="13" t="s">
        <v>2421</v>
      </c>
      <c r="AV202" s="13" t="s">
        <v>2422</v>
      </c>
      <c r="AW202" s="13" t="s">
        <v>2416</v>
      </c>
      <c r="AX202" s="13" t="s">
        <v>2073</v>
      </c>
      <c r="AY202" s="13" t="s">
        <v>2073</v>
      </c>
      <c r="AZ202" s="13" t="s">
        <v>2073</v>
      </c>
      <c r="BA202" s="13" t="s">
        <v>2073</v>
      </c>
      <c r="BB202" s="13" t="s">
        <v>2073</v>
      </c>
      <c r="BC202" s="13" t="s">
        <v>2073</v>
      </c>
    </row>
    <row r="203" spans="1:55" ht="15.75" customHeight="1">
      <c r="P203" s="69"/>
      <c r="R203" s="215"/>
      <c r="S203" s="215"/>
      <c r="AE203" s="69"/>
    </row>
    <row r="204" spans="1:55" ht="15.75" customHeight="1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  <c r="AA204" s="72"/>
      <c r="AB204" s="72"/>
      <c r="AC204" s="72"/>
      <c r="AD204" s="72"/>
      <c r="AE204" s="72"/>
      <c r="AF204" s="72"/>
      <c r="AG204" s="72"/>
      <c r="AH204" s="72"/>
      <c r="AI204" s="72"/>
      <c r="AJ204" s="72"/>
      <c r="AK204" s="72"/>
      <c r="AL204" s="72"/>
      <c r="AM204" s="72"/>
      <c r="AN204" s="72"/>
      <c r="AO204" s="72"/>
      <c r="AP204" s="72"/>
      <c r="AQ204" s="72"/>
      <c r="AR204" s="72"/>
      <c r="AS204" s="72"/>
      <c r="AT204" s="72"/>
      <c r="AU204" s="72"/>
      <c r="AV204" s="72"/>
      <c r="AW204" s="72"/>
      <c r="AX204" s="72"/>
      <c r="AY204" s="72"/>
      <c r="AZ204" s="72"/>
      <c r="BA204" s="72"/>
      <c r="BB204" s="72"/>
      <c r="BC204" s="72"/>
    </row>
    <row r="205" spans="1:55" ht="15.75" customHeight="1">
      <c r="A205" s="13">
        <v>2000</v>
      </c>
      <c r="B205" s="7" t="s">
        <v>1010</v>
      </c>
      <c r="C205" s="211" t="s">
        <v>2412</v>
      </c>
      <c r="D205" s="13" t="s">
        <v>1009</v>
      </c>
      <c r="E205" s="13" t="s">
        <v>1013</v>
      </c>
      <c r="F205" s="211" t="s">
        <v>2413</v>
      </c>
      <c r="G205" s="13" t="s">
        <v>2414</v>
      </c>
      <c r="H205" s="13" t="s">
        <v>2077</v>
      </c>
      <c r="I205" s="13" t="s">
        <v>2077</v>
      </c>
      <c r="J205" s="13" t="s">
        <v>2077</v>
      </c>
      <c r="K205" s="13" t="s">
        <v>2077</v>
      </c>
      <c r="L205" s="13" t="s">
        <v>2077</v>
      </c>
      <c r="M205" s="13" t="s">
        <v>2077</v>
      </c>
      <c r="N205" s="211" t="s">
        <v>2415</v>
      </c>
      <c r="O205" s="13" t="s">
        <v>2416</v>
      </c>
      <c r="P205" s="69" t="str">
        <f t="shared" ref="P205:Q205" si="201">D205</f>
        <v>SG FINAL SANDING</v>
      </c>
      <c r="Q205" s="13" t="str">
        <f t="shared" si="201"/>
        <v>3GT</v>
      </c>
      <c r="R205" s="212" t="s">
        <v>23</v>
      </c>
      <c r="S205" s="213">
        <v>0.83333333333333337</v>
      </c>
      <c r="T205" s="13">
        <v>85</v>
      </c>
      <c r="U205" s="211" t="s">
        <v>83</v>
      </c>
      <c r="V205" s="13">
        <v>1</v>
      </c>
      <c r="W205" s="13" t="s">
        <v>2417</v>
      </c>
      <c r="X205" s="13" t="s">
        <v>1924</v>
      </c>
      <c r="Y205" s="13" t="s">
        <v>2073</v>
      </c>
      <c r="Z205" s="13" t="s">
        <v>2073</v>
      </c>
      <c r="AA205" s="13" t="s">
        <v>2073</v>
      </c>
      <c r="AB205" s="13" t="s">
        <v>1924</v>
      </c>
      <c r="AC205" s="211" t="s">
        <v>2415</v>
      </c>
      <c r="AD205" s="13" t="s">
        <v>2416</v>
      </c>
      <c r="AE205" s="69" t="s">
        <v>1011</v>
      </c>
      <c r="AF205" s="13" t="s">
        <v>2418</v>
      </c>
      <c r="AG205" s="13" t="s">
        <v>2419</v>
      </c>
      <c r="AH205" s="13" t="s">
        <v>2420</v>
      </c>
      <c r="AI205" s="13" t="s">
        <v>2421</v>
      </c>
      <c r="AJ205" s="13" t="s">
        <v>2422</v>
      </c>
      <c r="AK205" s="13" t="s">
        <v>2416</v>
      </c>
      <c r="AL205" s="13" t="s">
        <v>2077</v>
      </c>
      <c r="AM205" s="13" t="s">
        <v>2077</v>
      </c>
      <c r="AN205" s="13" t="s">
        <v>2077</v>
      </c>
      <c r="AO205" s="13" t="s">
        <v>2077</v>
      </c>
      <c r="AP205" s="13" t="s">
        <v>2077</v>
      </c>
      <c r="AQ205" s="13" t="s">
        <v>2077</v>
      </c>
      <c r="AR205" s="13" t="s">
        <v>2418</v>
      </c>
      <c r="AS205" s="13" t="s">
        <v>2419</v>
      </c>
      <c r="AT205" s="13" t="s">
        <v>2420</v>
      </c>
      <c r="AU205" s="13" t="s">
        <v>2421</v>
      </c>
      <c r="AV205" s="13" t="s">
        <v>2422</v>
      </c>
      <c r="AW205" s="13" t="s">
        <v>2416</v>
      </c>
      <c r="AX205" s="13" t="s">
        <v>2073</v>
      </c>
      <c r="AY205" s="13" t="s">
        <v>2073</v>
      </c>
      <c r="AZ205" s="13" t="s">
        <v>2073</v>
      </c>
      <c r="BA205" s="13" t="s">
        <v>2073</v>
      </c>
      <c r="BB205" s="13" t="s">
        <v>2073</v>
      </c>
      <c r="BC205" s="13" t="s">
        <v>2073</v>
      </c>
    </row>
    <row r="206" spans="1:55" ht="15.75" customHeight="1">
      <c r="A206" s="13">
        <v>2000</v>
      </c>
      <c r="B206" s="7" t="s">
        <v>1016</v>
      </c>
      <c r="C206" s="211" t="s">
        <v>2412</v>
      </c>
      <c r="D206" s="13" t="s">
        <v>1015</v>
      </c>
      <c r="E206" s="13" t="s">
        <v>1013</v>
      </c>
      <c r="F206" s="211" t="s">
        <v>2413</v>
      </c>
      <c r="G206" s="13" t="s">
        <v>2414</v>
      </c>
      <c r="H206" s="13" t="s">
        <v>2077</v>
      </c>
      <c r="I206" s="13" t="s">
        <v>2077</v>
      </c>
      <c r="J206" s="13" t="s">
        <v>2077</v>
      </c>
      <c r="K206" s="13" t="s">
        <v>2077</v>
      </c>
      <c r="L206" s="13" t="s">
        <v>2077</v>
      </c>
      <c r="M206" s="13" t="s">
        <v>2077</v>
      </c>
      <c r="N206" s="211" t="s">
        <v>2415</v>
      </c>
      <c r="O206" s="13" t="s">
        <v>2416</v>
      </c>
      <c r="P206" s="69" t="str">
        <f t="shared" ref="P206:Q206" si="202">D206</f>
        <v>SG PAINTING A1</v>
      </c>
      <c r="Q206" s="13" t="str">
        <f t="shared" si="202"/>
        <v>3GT</v>
      </c>
      <c r="R206" s="212" t="s">
        <v>23</v>
      </c>
      <c r="S206" s="213">
        <v>0.83333333333333337</v>
      </c>
      <c r="T206" s="13">
        <v>85</v>
      </c>
      <c r="U206" s="211" t="s">
        <v>83</v>
      </c>
      <c r="V206" s="13">
        <v>1</v>
      </c>
      <c r="W206" s="13" t="s">
        <v>2417</v>
      </c>
      <c r="X206" s="13" t="s">
        <v>1924</v>
      </c>
      <c r="Y206" s="13" t="s">
        <v>2073</v>
      </c>
      <c r="Z206" s="13" t="s">
        <v>2073</v>
      </c>
      <c r="AA206" s="13" t="s">
        <v>2073</v>
      </c>
      <c r="AB206" s="13" t="s">
        <v>1924</v>
      </c>
      <c r="AC206" s="211" t="s">
        <v>2415</v>
      </c>
      <c r="AD206" s="13" t="s">
        <v>2416</v>
      </c>
      <c r="AE206" s="69" t="s">
        <v>1017</v>
      </c>
      <c r="AF206" s="13" t="s">
        <v>2418</v>
      </c>
      <c r="AG206" s="13" t="s">
        <v>2419</v>
      </c>
      <c r="AH206" s="13" t="s">
        <v>2420</v>
      </c>
      <c r="AI206" s="13" t="s">
        <v>2421</v>
      </c>
      <c r="AJ206" s="13" t="s">
        <v>2422</v>
      </c>
      <c r="AK206" s="13" t="s">
        <v>2416</v>
      </c>
      <c r="AL206" s="13" t="s">
        <v>2077</v>
      </c>
      <c r="AM206" s="13" t="s">
        <v>2077</v>
      </c>
      <c r="AN206" s="13" t="s">
        <v>2077</v>
      </c>
      <c r="AO206" s="13" t="s">
        <v>2077</v>
      </c>
      <c r="AP206" s="13" t="s">
        <v>2077</v>
      </c>
      <c r="AQ206" s="13" t="s">
        <v>2077</v>
      </c>
      <c r="AR206" s="13" t="s">
        <v>2418</v>
      </c>
      <c r="AS206" s="13" t="s">
        <v>2419</v>
      </c>
      <c r="AT206" s="13" t="s">
        <v>2420</v>
      </c>
      <c r="AU206" s="13" t="s">
        <v>2421</v>
      </c>
      <c r="AV206" s="13" t="s">
        <v>2422</v>
      </c>
      <c r="AW206" s="13" t="s">
        <v>2416</v>
      </c>
      <c r="AX206" s="13" t="s">
        <v>2073</v>
      </c>
      <c r="AY206" s="13" t="s">
        <v>2073</v>
      </c>
      <c r="AZ206" s="13" t="s">
        <v>2073</v>
      </c>
      <c r="BA206" s="13" t="s">
        <v>2073</v>
      </c>
      <c r="BB206" s="13" t="s">
        <v>2073</v>
      </c>
      <c r="BC206" s="13" t="s">
        <v>2073</v>
      </c>
    </row>
    <row r="207" spans="1:55" ht="15.75" customHeight="1">
      <c r="A207" s="13">
        <v>2000</v>
      </c>
      <c r="B207" s="7" t="s">
        <v>1020</v>
      </c>
      <c r="C207" s="211" t="s">
        <v>2412</v>
      </c>
      <c r="D207" s="13" t="s">
        <v>1019</v>
      </c>
      <c r="E207" s="13" t="s">
        <v>1013</v>
      </c>
      <c r="F207" s="211" t="s">
        <v>2413</v>
      </c>
      <c r="G207" s="13" t="s">
        <v>2414</v>
      </c>
      <c r="H207" s="13" t="s">
        <v>2077</v>
      </c>
      <c r="I207" s="13" t="s">
        <v>2077</v>
      </c>
      <c r="J207" s="13" t="s">
        <v>2077</v>
      </c>
      <c r="K207" s="13" t="s">
        <v>2077</v>
      </c>
      <c r="L207" s="13" t="s">
        <v>2077</v>
      </c>
      <c r="M207" s="13" t="s">
        <v>2077</v>
      </c>
      <c r="N207" s="211" t="s">
        <v>2415</v>
      </c>
      <c r="O207" s="13" t="s">
        <v>2416</v>
      </c>
      <c r="P207" s="69" t="str">
        <f t="shared" ref="P207:Q207" si="203">D207</f>
        <v>SG PAINTING A2</v>
      </c>
      <c r="Q207" s="13" t="str">
        <f t="shared" si="203"/>
        <v>3GT</v>
      </c>
      <c r="R207" s="212" t="s">
        <v>23</v>
      </c>
      <c r="S207" s="213">
        <v>0.83333333333333337</v>
      </c>
      <c r="T207" s="13">
        <v>85</v>
      </c>
      <c r="U207" s="211" t="s">
        <v>83</v>
      </c>
      <c r="V207" s="13">
        <v>1</v>
      </c>
      <c r="W207" s="13" t="s">
        <v>2417</v>
      </c>
      <c r="X207" s="13" t="s">
        <v>1924</v>
      </c>
      <c r="Y207" s="13" t="s">
        <v>2073</v>
      </c>
      <c r="Z207" s="13" t="s">
        <v>2073</v>
      </c>
      <c r="AA207" s="13" t="s">
        <v>2073</v>
      </c>
      <c r="AB207" s="13" t="s">
        <v>1924</v>
      </c>
      <c r="AC207" s="211" t="s">
        <v>2415</v>
      </c>
      <c r="AD207" s="13" t="s">
        <v>2416</v>
      </c>
      <c r="AE207" s="69" t="s">
        <v>1021</v>
      </c>
      <c r="AF207" s="13" t="s">
        <v>2418</v>
      </c>
      <c r="AG207" s="13" t="s">
        <v>2419</v>
      </c>
      <c r="AH207" s="13" t="s">
        <v>2420</v>
      </c>
      <c r="AI207" s="13" t="s">
        <v>2421</v>
      </c>
      <c r="AJ207" s="13" t="s">
        <v>2422</v>
      </c>
      <c r="AK207" s="13" t="s">
        <v>2416</v>
      </c>
      <c r="AL207" s="13" t="s">
        <v>2077</v>
      </c>
      <c r="AM207" s="13" t="s">
        <v>2077</v>
      </c>
      <c r="AN207" s="13" t="s">
        <v>2077</v>
      </c>
      <c r="AO207" s="13" t="s">
        <v>2077</v>
      </c>
      <c r="AP207" s="13" t="s">
        <v>2077</v>
      </c>
      <c r="AQ207" s="13" t="s">
        <v>2077</v>
      </c>
      <c r="AR207" s="13" t="s">
        <v>2418</v>
      </c>
      <c r="AS207" s="13" t="s">
        <v>2419</v>
      </c>
      <c r="AT207" s="13" t="s">
        <v>2420</v>
      </c>
      <c r="AU207" s="13" t="s">
        <v>2421</v>
      </c>
      <c r="AV207" s="13" t="s">
        <v>2422</v>
      </c>
      <c r="AW207" s="13" t="s">
        <v>2416</v>
      </c>
      <c r="AX207" s="13" t="s">
        <v>2073</v>
      </c>
      <c r="AY207" s="13" t="s">
        <v>2073</v>
      </c>
      <c r="AZ207" s="13" t="s">
        <v>2073</v>
      </c>
      <c r="BA207" s="13" t="s">
        <v>2073</v>
      </c>
      <c r="BB207" s="13" t="s">
        <v>2073</v>
      </c>
      <c r="BC207" s="13" t="s">
        <v>2073</v>
      </c>
    </row>
    <row r="208" spans="1:55" ht="15.75" customHeight="1">
      <c r="A208" s="13">
        <v>2000</v>
      </c>
      <c r="B208" s="7" t="s">
        <v>1024</v>
      </c>
      <c r="C208" s="211" t="s">
        <v>2412</v>
      </c>
      <c r="D208" s="13" t="s">
        <v>1023</v>
      </c>
      <c r="E208" s="13" t="s">
        <v>1013</v>
      </c>
      <c r="F208" s="211" t="s">
        <v>2413</v>
      </c>
      <c r="G208" s="13" t="s">
        <v>2414</v>
      </c>
      <c r="H208" s="13" t="s">
        <v>2077</v>
      </c>
      <c r="I208" s="13" t="s">
        <v>2077</v>
      </c>
      <c r="J208" s="13" t="s">
        <v>2077</v>
      </c>
      <c r="K208" s="13" t="s">
        <v>2077</v>
      </c>
      <c r="L208" s="13" t="s">
        <v>2077</v>
      </c>
      <c r="M208" s="13" t="s">
        <v>2077</v>
      </c>
      <c r="N208" s="211" t="s">
        <v>2415</v>
      </c>
      <c r="O208" s="13" t="s">
        <v>2416</v>
      </c>
      <c r="P208" s="69" t="str">
        <f t="shared" ref="P208:Q208" si="204">D208</f>
        <v>SG PAINTING A3</v>
      </c>
      <c r="Q208" s="13" t="str">
        <f t="shared" si="204"/>
        <v>3GT</v>
      </c>
      <c r="R208" s="212" t="s">
        <v>23</v>
      </c>
      <c r="S208" s="213">
        <v>0.83333333333333337</v>
      </c>
      <c r="T208" s="13">
        <v>85</v>
      </c>
      <c r="U208" s="211" t="s">
        <v>83</v>
      </c>
      <c r="V208" s="13">
        <v>1</v>
      </c>
      <c r="W208" s="13" t="s">
        <v>2417</v>
      </c>
      <c r="X208" s="13" t="s">
        <v>1924</v>
      </c>
      <c r="Y208" s="13" t="s">
        <v>2073</v>
      </c>
      <c r="Z208" s="13" t="s">
        <v>2073</v>
      </c>
      <c r="AA208" s="13" t="s">
        <v>2073</v>
      </c>
      <c r="AB208" s="13" t="s">
        <v>1924</v>
      </c>
      <c r="AC208" s="211" t="s">
        <v>2415</v>
      </c>
      <c r="AD208" s="13" t="s">
        <v>2416</v>
      </c>
      <c r="AE208" s="69" t="s">
        <v>1026</v>
      </c>
      <c r="AF208" s="13" t="s">
        <v>2418</v>
      </c>
      <c r="AG208" s="13" t="s">
        <v>2419</v>
      </c>
      <c r="AH208" s="13" t="s">
        <v>2420</v>
      </c>
      <c r="AI208" s="13" t="s">
        <v>2421</v>
      </c>
      <c r="AJ208" s="13" t="s">
        <v>2422</v>
      </c>
      <c r="AK208" s="13" t="s">
        <v>2416</v>
      </c>
      <c r="AL208" s="13" t="s">
        <v>2077</v>
      </c>
      <c r="AM208" s="13" t="s">
        <v>2077</v>
      </c>
      <c r="AN208" s="13" t="s">
        <v>2077</v>
      </c>
      <c r="AO208" s="13" t="s">
        <v>2077</v>
      </c>
      <c r="AP208" s="13" t="s">
        <v>2077</v>
      </c>
      <c r="AQ208" s="13" t="s">
        <v>2077</v>
      </c>
      <c r="AR208" s="13" t="s">
        <v>2418</v>
      </c>
      <c r="AS208" s="13" t="s">
        <v>2419</v>
      </c>
      <c r="AT208" s="13" t="s">
        <v>2420</v>
      </c>
      <c r="AU208" s="13" t="s">
        <v>2421</v>
      </c>
      <c r="AV208" s="13" t="s">
        <v>2422</v>
      </c>
      <c r="AW208" s="13" t="s">
        <v>2416</v>
      </c>
      <c r="AX208" s="13" t="s">
        <v>2073</v>
      </c>
      <c r="AY208" s="13" t="s">
        <v>2073</v>
      </c>
      <c r="AZ208" s="13" t="s">
        <v>2073</v>
      </c>
      <c r="BA208" s="13" t="s">
        <v>2073</v>
      </c>
      <c r="BB208" s="13" t="s">
        <v>2073</v>
      </c>
      <c r="BC208" s="13" t="s">
        <v>2073</v>
      </c>
    </row>
    <row r="209" spans="1:55" ht="15.75" customHeight="1">
      <c r="A209" s="13">
        <v>2000</v>
      </c>
      <c r="B209" s="7" t="s">
        <v>1029</v>
      </c>
      <c r="C209" s="211" t="s">
        <v>2412</v>
      </c>
      <c r="D209" s="13" t="s">
        <v>1028</v>
      </c>
      <c r="E209" s="13" t="s">
        <v>1013</v>
      </c>
      <c r="F209" s="211" t="s">
        <v>2413</v>
      </c>
      <c r="G209" s="13" t="s">
        <v>2414</v>
      </c>
      <c r="H209" s="13" t="s">
        <v>2077</v>
      </c>
      <c r="I209" s="13" t="s">
        <v>2077</v>
      </c>
      <c r="J209" s="13" t="s">
        <v>2077</v>
      </c>
      <c r="K209" s="13" t="s">
        <v>2077</v>
      </c>
      <c r="L209" s="13" t="s">
        <v>2077</v>
      </c>
      <c r="M209" s="13" t="s">
        <v>2077</v>
      </c>
      <c r="N209" s="211" t="s">
        <v>2415</v>
      </c>
      <c r="O209" s="13" t="s">
        <v>2416</v>
      </c>
      <c r="P209" s="69" t="str">
        <f t="shared" ref="P209:Q209" si="205">D209</f>
        <v>SG PAINTING A4</v>
      </c>
      <c r="Q209" s="13" t="str">
        <f t="shared" si="205"/>
        <v>3GT</v>
      </c>
      <c r="R209" s="212" t="s">
        <v>23</v>
      </c>
      <c r="S209" s="213">
        <v>0.83333333333333337</v>
      </c>
      <c r="T209" s="13">
        <v>85</v>
      </c>
      <c r="U209" s="211" t="s">
        <v>83</v>
      </c>
      <c r="V209" s="13">
        <v>1</v>
      </c>
      <c r="W209" s="13" t="s">
        <v>2417</v>
      </c>
      <c r="X209" s="13" t="s">
        <v>1924</v>
      </c>
      <c r="Y209" s="13" t="s">
        <v>2073</v>
      </c>
      <c r="Z209" s="13" t="s">
        <v>2073</v>
      </c>
      <c r="AA209" s="13" t="s">
        <v>2073</v>
      </c>
      <c r="AB209" s="13" t="s">
        <v>1924</v>
      </c>
      <c r="AC209" s="211" t="s">
        <v>2415</v>
      </c>
      <c r="AD209" s="13" t="s">
        <v>2416</v>
      </c>
      <c r="AE209" s="69" t="s">
        <v>1031</v>
      </c>
      <c r="AF209" s="13" t="s">
        <v>2418</v>
      </c>
      <c r="AG209" s="13" t="s">
        <v>2419</v>
      </c>
      <c r="AH209" s="13" t="s">
        <v>2420</v>
      </c>
      <c r="AI209" s="13" t="s">
        <v>2421</v>
      </c>
      <c r="AJ209" s="13" t="s">
        <v>2422</v>
      </c>
      <c r="AK209" s="13" t="s">
        <v>2416</v>
      </c>
      <c r="AL209" s="13" t="s">
        <v>2077</v>
      </c>
      <c r="AM209" s="13" t="s">
        <v>2077</v>
      </c>
      <c r="AN209" s="13" t="s">
        <v>2077</v>
      </c>
      <c r="AO209" s="13" t="s">
        <v>2077</v>
      </c>
      <c r="AP209" s="13" t="s">
        <v>2077</v>
      </c>
      <c r="AQ209" s="13" t="s">
        <v>2077</v>
      </c>
      <c r="AR209" s="13" t="s">
        <v>2418</v>
      </c>
      <c r="AS209" s="13" t="s">
        <v>2419</v>
      </c>
      <c r="AT209" s="13" t="s">
        <v>2420</v>
      </c>
      <c r="AU209" s="13" t="s">
        <v>2421</v>
      </c>
      <c r="AV209" s="13" t="s">
        <v>2422</v>
      </c>
      <c r="AW209" s="13" t="s">
        <v>2416</v>
      </c>
      <c r="AX209" s="13" t="s">
        <v>2073</v>
      </c>
      <c r="AY209" s="13" t="s">
        <v>2073</v>
      </c>
      <c r="AZ209" s="13" t="s">
        <v>2073</v>
      </c>
      <c r="BA209" s="13" t="s">
        <v>2073</v>
      </c>
      <c r="BB209" s="13" t="s">
        <v>2073</v>
      </c>
      <c r="BC209" s="13" t="s">
        <v>2073</v>
      </c>
    </row>
    <row r="210" spans="1:55" ht="15.75" customHeight="1">
      <c r="A210" s="13">
        <v>2000</v>
      </c>
      <c r="B210" s="7" t="s">
        <v>1034</v>
      </c>
      <c r="C210" s="211" t="s">
        <v>2412</v>
      </c>
      <c r="D210" s="13" t="s">
        <v>1033</v>
      </c>
      <c r="E210" s="13" t="s">
        <v>1013</v>
      </c>
      <c r="F210" s="211" t="s">
        <v>2413</v>
      </c>
      <c r="G210" s="13" t="s">
        <v>2414</v>
      </c>
      <c r="H210" s="13" t="s">
        <v>2077</v>
      </c>
      <c r="I210" s="13" t="s">
        <v>2077</v>
      </c>
      <c r="J210" s="13" t="s">
        <v>2077</v>
      </c>
      <c r="K210" s="13" t="s">
        <v>2077</v>
      </c>
      <c r="L210" s="13" t="s">
        <v>2077</v>
      </c>
      <c r="M210" s="13" t="s">
        <v>2077</v>
      </c>
      <c r="N210" s="211" t="s">
        <v>2415</v>
      </c>
      <c r="O210" s="13" t="s">
        <v>2416</v>
      </c>
      <c r="P210" s="69" t="str">
        <f t="shared" ref="P210:Q210" si="206">D210</f>
        <v>SG PAINTING A5</v>
      </c>
      <c r="Q210" s="13" t="str">
        <f t="shared" si="206"/>
        <v>3GT</v>
      </c>
      <c r="R210" s="212" t="s">
        <v>23</v>
      </c>
      <c r="S210" s="213">
        <v>0.83333333333333337</v>
      </c>
      <c r="T210" s="13">
        <v>85</v>
      </c>
      <c r="U210" s="211" t="s">
        <v>83</v>
      </c>
      <c r="V210" s="13">
        <v>1</v>
      </c>
      <c r="W210" s="13" t="s">
        <v>2417</v>
      </c>
      <c r="X210" s="13" t="s">
        <v>1924</v>
      </c>
      <c r="Y210" s="13" t="s">
        <v>2073</v>
      </c>
      <c r="Z210" s="13" t="s">
        <v>2073</v>
      </c>
      <c r="AA210" s="13" t="s">
        <v>2073</v>
      </c>
      <c r="AB210" s="13" t="s">
        <v>1924</v>
      </c>
      <c r="AC210" s="211" t="s">
        <v>2415</v>
      </c>
      <c r="AD210" s="13" t="s">
        <v>2416</v>
      </c>
      <c r="AE210" s="69" t="s">
        <v>1036</v>
      </c>
      <c r="AF210" s="13" t="s">
        <v>2418</v>
      </c>
      <c r="AG210" s="13" t="s">
        <v>2419</v>
      </c>
      <c r="AH210" s="13" t="s">
        <v>2420</v>
      </c>
      <c r="AI210" s="13" t="s">
        <v>2421</v>
      </c>
      <c r="AJ210" s="13" t="s">
        <v>2422</v>
      </c>
      <c r="AK210" s="13" t="s">
        <v>2416</v>
      </c>
      <c r="AL210" s="13" t="s">
        <v>2077</v>
      </c>
      <c r="AM210" s="13" t="s">
        <v>2077</v>
      </c>
      <c r="AN210" s="13" t="s">
        <v>2077</v>
      </c>
      <c r="AO210" s="13" t="s">
        <v>2077</v>
      </c>
      <c r="AP210" s="13" t="s">
        <v>2077</v>
      </c>
      <c r="AQ210" s="13" t="s">
        <v>2077</v>
      </c>
      <c r="AR210" s="13" t="s">
        <v>2418</v>
      </c>
      <c r="AS210" s="13" t="s">
        <v>2419</v>
      </c>
      <c r="AT210" s="13" t="s">
        <v>2420</v>
      </c>
      <c r="AU210" s="13" t="s">
        <v>2421</v>
      </c>
      <c r="AV210" s="13" t="s">
        <v>2422</v>
      </c>
      <c r="AW210" s="13" t="s">
        <v>2416</v>
      </c>
      <c r="AX210" s="13" t="s">
        <v>2073</v>
      </c>
      <c r="AY210" s="13" t="s">
        <v>2073</v>
      </c>
      <c r="AZ210" s="13" t="s">
        <v>2073</v>
      </c>
      <c r="BA210" s="13" t="s">
        <v>2073</v>
      </c>
      <c r="BB210" s="13" t="s">
        <v>2073</v>
      </c>
      <c r="BC210" s="13" t="s">
        <v>2073</v>
      </c>
    </row>
    <row r="211" spans="1:55" ht="15.75" customHeight="1">
      <c r="A211" s="13">
        <v>2000</v>
      </c>
      <c r="B211" s="7" t="s">
        <v>1039</v>
      </c>
      <c r="C211" s="211" t="s">
        <v>2412</v>
      </c>
      <c r="D211" s="13" t="s">
        <v>1038</v>
      </c>
      <c r="E211" s="13" t="s">
        <v>1013</v>
      </c>
      <c r="F211" s="211" t="s">
        <v>2413</v>
      </c>
      <c r="G211" s="13" t="s">
        <v>2414</v>
      </c>
      <c r="H211" s="13" t="s">
        <v>2077</v>
      </c>
      <c r="I211" s="13" t="s">
        <v>2077</v>
      </c>
      <c r="J211" s="13" t="s">
        <v>2077</v>
      </c>
      <c r="K211" s="13" t="s">
        <v>2077</v>
      </c>
      <c r="L211" s="13" t="s">
        <v>2077</v>
      </c>
      <c r="M211" s="13" t="s">
        <v>2077</v>
      </c>
      <c r="N211" s="211" t="s">
        <v>2415</v>
      </c>
      <c r="O211" s="13" t="s">
        <v>2416</v>
      </c>
      <c r="P211" s="69" t="str">
        <f t="shared" ref="P211:Q211" si="207">D211</f>
        <v>SG PAINTING A6</v>
      </c>
      <c r="Q211" s="13" t="str">
        <f t="shared" si="207"/>
        <v>3GT</v>
      </c>
      <c r="R211" s="212" t="s">
        <v>23</v>
      </c>
      <c r="S211" s="213">
        <v>0.83333333333333337</v>
      </c>
      <c r="T211" s="13">
        <v>85</v>
      </c>
      <c r="U211" s="211" t="s">
        <v>83</v>
      </c>
      <c r="V211" s="13">
        <v>1</v>
      </c>
      <c r="W211" s="13" t="s">
        <v>2417</v>
      </c>
      <c r="X211" s="13" t="s">
        <v>1924</v>
      </c>
      <c r="Y211" s="13" t="s">
        <v>2073</v>
      </c>
      <c r="Z211" s="13" t="s">
        <v>2073</v>
      </c>
      <c r="AA211" s="13" t="s">
        <v>2073</v>
      </c>
      <c r="AB211" s="13" t="s">
        <v>1924</v>
      </c>
      <c r="AC211" s="211" t="s">
        <v>2415</v>
      </c>
      <c r="AD211" s="13" t="s">
        <v>2416</v>
      </c>
      <c r="AE211" s="69" t="s">
        <v>1041</v>
      </c>
      <c r="AF211" s="13" t="s">
        <v>2418</v>
      </c>
      <c r="AG211" s="13" t="s">
        <v>2419</v>
      </c>
      <c r="AH211" s="13" t="s">
        <v>2420</v>
      </c>
      <c r="AI211" s="13" t="s">
        <v>2421</v>
      </c>
      <c r="AJ211" s="13" t="s">
        <v>2422</v>
      </c>
      <c r="AK211" s="13" t="s">
        <v>2416</v>
      </c>
      <c r="AL211" s="13" t="s">
        <v>2077</v>
      </c>
      <c r="AM211" s="13" t="s">
        <v>2077</v>
      </c>
      <c r="AN211" s="13" t="s">
        <v>2077</v>
      </c>
      <c r="AO211" s="13" t="s">
        <v>2077</v>
      </c>
      <c r="AP211" s="13" t="s">
        <v>2077</v>
      </c>
      <c r="AQ211" s="13" t="s">
        <v>2077</v>
      </c>
      <c r="AR211" s="13" t="s">
        <v>2418</v>
      </c>
      <c r="AS211" s="13" t="s">
        <v>2419</v>
      </c>
      <c r="AT211" s="13" t="s">
        <v>2420</v>
      </c>
      <c r="AU211" s="13" t="s">
        <v>2421</v>
      </c>
      <c r="AV211" s="13" t="s">
        <v>2422</v>
      </c>
      <c r="AW211" s="13" t="s">
        <v>2416</v>
      </c>
      <c r="AX211" s="13" t="s">
        <v>2073</v>
      </c>
      <c r="AY211" s="13" t="s">
        <v>2073</v>
      </c>
      <c r="AZ211" s="13" t="s">
        <v>2073</v>
      </c>
      <c r="BA211" s="13" t="s">
        <v>2073</v>
      </c>
      <c r="BB211" s="13" t="s">
        <v>2073</v>
      </c>
      <c r="BC211" s="13" t="s">
        <v>2073</v>
      </c>
    </row>
    <row r="212" spans="1:55" ht="15.75" customHeight="1">
      <c r="A212" s="13">
        <v>2000</v>
      </c>
      <c r="B212" s="7" t="s">
        <v>1044</v>
      </c>
      <c r="C212" s="211" t="s">
        <v>2412</v>
      </c>
      <c r="D212" s="13" t="s">
        <v>1043</v>
      </c>
      <c r="E212" s="13" t="s">
        <v>1013</v>
      </c>
      <c r="F212" s="211" t="s">
        <v>2413</v>
      </c>
      <c r="G212" s="13" t="s">
        <v>2414</v>
      </c>
      <c r="H212" s="13" t="s">
        <v>2077</v>
      </c>
      <c r="I212" s="13" t="s">
        <v>2077</v>
      </c>
      <c r="J212" s="13" t="s">
        <v>2077</v>
      </c>
      <c r="K212" s="13" t="s">
        <v>2077</v>
      </c>
      <c r="L212" s="13" t="s">
        <v>2077</v>
      </c>
      <c r="M212" s="13" t="s">
        <v>2077</v>
      </c>
      <c r="N212" s="211" t="s">
        <v>2415</v>
      </c>
      <c r="O212" s="13" t="s">
        <v>2416</v>
      </c>
      <c r="P212" s="69" t="str">
        <f t="shared" ref="P212:Q212" si="208">D212</f>
        <v>SG PAINTING A7</v>
      </c>
      <c r="Q212" s="13" t="str">
        <f t="shared" si="208"/>
        <v>3GT</v>
      </c>
      <c r="R212" s="212" t="s">
        <v>23</v>
      </c>
      <c r="S212" s="213">
        <v>0.83333333333333337</v>
      </c>
      <c r="T212" s="13">
        <v>85</v>
      </c>
      <c r="U212" s="211" t="s">
        <v>83</v>
      </c>
      <c r="V212" s="13">
        <v>1</v>
      </c>
      <c r="W212" s="13" t="s">
        <v>2417</v>
      </c>
      <c r="X212" s="13" t="s">
        <v>1924</v>
      </c>
      <c r="Y212" s="13" t="s">
        <v>2073</v>
      </c>
      <c r="Z212" s="13" t="s">
        <v>2073</v>
      </c>
      <c r="AA212" s="13" t="s">
        <v>2073</v>
      </c>
      <c r="AB212" s="13" t="s">
        <v>1924</v>
      </c>
      <c r="AC212" s="211" t="s">
        <v>2415</v>
      </c>
      <c r="AD212" s="13" t="s">
        <v>2416</v>
      </c>
      <c r="AE212" s="69">
        <v>1112053108</v>
      </c>
      <c r="AF212" s="13" t="s">
        <v>2418</v>
      </c>
      <c r="AG212" s="13" t="s">
        <v>2419</v>
      </c>
      <c r="AH212" s="13" t="s">
        <v>2420</v>
      </c>
      <c r="AI212" s="13" t="s">
        <v>2421</v>
      </c>
      <c r="AJ212" s="13" t="s">
        <v>2422</v>
      </c>
      <c r="AK212" s="13" t="s">
        <v>2416</v>
      </c>
      <c r="AL212" s="13" t="s">
        <v>2077</v>
      </c>
      <c r="AM212" s="13" t="s">
        <v>2077</v>
      </c>
      <c r="AN212" s="13" t="s">
        <v>2077</v>
      </c>
      <c r="AO212" s="13" t="s">
        <v>2077</v>
      </c>
      <c r="AP212" s="13" t="s">
        <v>2077</v>
      </c>
      <c r="AQ212" s="13" t="s">
        <v>2077</v>
      </c>
      <c r="AR212" s="13" t="s">
        <v>2418</v>
      </c>
      <c r="AS212" s="13" t="s">
        <v>2419</v>
      </c>
      <c r="AT212" s="13" t="s">
        <v>2420</v>
      </c>
      <c r="AU212" s="13" t="s">
        <v>2421</v>
      </c>
      <c r="AV212" s="13" t="s">
        <v>2422</v>
      </c>
      <c r="AW212" s="13" t="s">
        <v>2416</v>
      </c>
      <c r="AX212" s="13" t="s">
        <v>2073</v>
      </c>
      <c r="AY212" s="13" t="s">
        <v>2073</v>
      </c>
      <c r="AZ212" s="13" t="s">
        <v>2073</v>
      </c>
      <c r="BA212" s="13" t="s">
        <v>2073</v>
      </c>
      <c r="BB212" s="13" t="s">
        <v>2073</v>
      </c>
      <c r="BC212" s="13" t="s">
        <v>2073</v>
      </c>
    </row>
    <row r="213" spans="1:55" ht="15.75" customHeight="1">
      <c r="A213" s="13">
        <v>2000</v>
      </c>
      <c r="B213" s="7" t="s">
        <v>1049</v>
      </c>
      <c r="C213" s="211" t="s">
        <v>2412</v>
      </c>
      <c r="D213" s="13" t="s">
        <v>1048</v>
      </c>
      <c r="E213" s="13" t="s">
        <v>1013</v>
      </c>
      <c r="F213" s="211" t="s">
        <v>2413</v>
      </c>
      <c r="G213" s="13" t="s">
        <v>2414</v>
      </c>
      <c r="H213" s="13" t="s">
        <v>2077</v>
      </c>
      <c r="I213" s="13" t="s">
        <v>2077</v>
      </c>
      <c r="J213" s="13" t="s">
        <v>2077</v>
      </c>
      <c r="K213" s="13" t="s">
        <v>2077</v>
      </c>
      <c r="L213" s="13" t="s">
        <v>2077</v>
      </c>
      <c r="M213" s="13" t="s">
        <v>2077</v>
      </c>
      <c r="N213" s="211" t="s">
        <v>2415</v>
      </c>
      <c r="O213" s="13" t="s">
        <v>2416</v>
      </c>
      <c r="P213" s="69" t="str">
        <f t="shared" ref="P213:Q213" si="209">D213</f>
        <v>SG PAINTING A8</v>
      </c>
      <c r="Q213" s="13" t="str">
        <f t="shared" si="209"/>
        <v>3GT</v>
      </c>
      <c r="R213" s="212" t="s">
        <v>23</v>
      </c>
      <c r="S213" s="213">
        <v>0.83333333333333337</v>
      </c>
      <c r="T213" s="13">
        <v>85</v>
      </c>
      <c r="U213" s="211" t="s">
        <v>83</v>
      </c>
      <c r="V213" s="13">
        <v>1</v>
      </c>
      <c r="W213" s="13" t="s">
        <v>2417</v>
      </c>
      <c r="X213" s="13" t="s">
        <v>1924</v>
      </c>
      <c r="Y213" s="13" t="s">
        <v>2073</v>
      </c>
      <c r="Z213" s="13" t="s">
        <v>2073</v>
      </c>
      <c r="AA213" s="13" t="s">
        <v>2073</v>
      </c>
      <c r="AB213" s="13" t="s">
        <v>1924</v>
      </c>
      <c r="AC213" s="211" t="s">
        <v>2415</v>
      </c>
      <c r="AD213" s="13" t="s">
        <v>2416</v>
      </c>
      <c r="AE213" s="69">
        <v>1112053109</v>
      </c>
      <c r="AF213" s="13" t="s">
        <v>2418</v>
      </c>
      <c r="AG213" s="13" t="s">
        <v>2419</v>
      </c>
      <c r="AH213" s="13" t="s">
        <v>2420</v>
      </c>
      <c r="AI213" s="13" t="s">
        <v>2421</v>
      </c>
      <c r="AJ213" s="13" t="s">
        <v>2422</v>
      </c>
      <c r="AK213" s="13" t="s">
        <v>2416</v>
      </c>
      <c r="AL213" s="13" t="s">
        <v>2077</v>
      </c>
      <c r="AM213" s="13" t="s">
        <v>2077</v>
      </c>
      <c r="AN213" s="13" t="s">
        <v>2077</v>
      </c>
      <c r="AO213" s="13" t="s">
        <v>2077</v>
      </c>
      <c r="AP213" s="13" t="s">
        <v>2077</v>
      </c>
      <c r="AQ213" s="13" t="s">
        <v>2077</v>
      </c>
      <c r="AR213" s="13" t="s">
        <v>2418</v>
      </c>
      <c r="AS213" s="13" t="s">
        <v>2419</v>
      </c>
      <c r="AT213" s="13" t="s">
        <v>2420</v>
      </c>
      <c r="AU213" s="13" t="s">
        <v>2421</v>
      </c>
      <c r="AV213" s="13" t="s">
        <v>2422</v>
      </c>
      <c r="AW213" s="13" t="s">
        <v>2416</v>
      </c>
      <c r="AX213" s="13" t="s">
        <v>2073</v>
      </c>
      <c r="AY213" s="13" t="s">
        <v>2073</v>
      </c>
      <c r="AZ213" s="13" t="s">
        <v>2073</v>
      </c>
      <c r="BA213" s="13" t="s">
        <v>2073</v>
      </c>
      <c r="BB213" s="13" t="s">
        <v>2073</v>
      </c>
      <c r="BC213" s="13" t="s">
        <v>2073</v>
      </c>
    </row>
    <row r="214" spans="1:55" ht="15.75" customHeight="1">
      <c r="A214" s="13">
        <v>2000</v>
      </c>
      <c r="B214" s="7" t="s">
        <v>1054</v>
      </c>
      <c r="C214" s="211" t="s">
        <v>2412</v>
      </c>
      <c r="D214" s="13" t="s">
        <v>1053</v>
      </c>
      <c r="E214" s="13" t="s">
        <v>1013</v>
      </c>
      <c r="F214" s="211" t="s">
        <v>2413</v>
      </c>
      <c r="G214" s="13" t="s">
        <v>2414</v>
      </c>
      <c r="H214" s="13" t="s">
        <v>2077</v>
      </c>
      <c r="I214" s="13" t="s">
        <v>2077</v>
      </c>
      <c r="J214" s="13" t="s">
        <v>2077</v>
      </c>
      <c r="K214" s="13" t="s">
        <v>2077</v>
      </c>
      <c r="L214" s="13" t="s">
        <v>2077</v>
      </c>
      <c r="M214" s="13" t="s">
        <v>2077</v>
      </c>
      <c r="N214" s="211" t="s">
        <v>2415</v>
      </c>
      <c r="O214" s="13" t="s">
        <v>2416</v>
      </c>
      <c r="P214" s="69" t="str">
        <f t="shared" ref="P214:Q214" si="210">D214</f>
        <v>SG PAINTING A9</v>
      </c>
      <c r="Q214" s="13" t="str">
        <f t="shared" si="210"/>
        <v>3GT</v>
      </c>
      <c r="R214" s="212" t="s">
        <v>23</v>
      </c>
      <c r="S214" s="213">
        <v>0.83333333333333337</v>
      </c>
      <c r="T214" s="13">
        <v>85</v>
      </c>
      <c r="U214" s="211" t="s">
        <v>83</v>
      </c>
      <c r="V214" s="13">
        <v>1</v>
      </c>
      <c r="W214" s="13" t="s">
        <v>2417</v>
      </c>
      <c r="X214" s="13" t="s">
        <v>1924</v>
      </c>
      <c r="Y214" s="13" t="s">
        <v>2073</v>
      </c>
      <c r="Z214" s="13" t="s">
        <v>2073</v>
      </c>
      <c r="AA214" s="13" t="s">
        <v>2073</v>
      </c>
      <c r="AB214" s="13" t="s">
        <v>1924</v>
      </c>
      <c r="AC214" s="211" t="s">
        <v>2415</v>
      </c>
      <c r="AD214" s="13" t="s">
        <v>2416</v>
      </c>
      <c r="AE214" s="69">
        <v>1112053110</v>
      </c>
      <c r="AF214" s="13" t="s">
        <v>2418</v>
      </c>
      <c r="AG214" s="13" t="s">
        <v>2419</v>
      </c>
      <c r="AH214" s="13" t="s">
        <v>2420</v>
      </c>
      <c r="AI214" s="13" t="s">
        <v>2421</v>
      </c>
      <c r="AJ214" s="13" t="s">
        <v>2422</v>
      </c>
      <c r="AK214" s="13" t="s">
        <v>2416</v>
      </c>
      <c r="AL214" s="13" t="s">
        <v>2077</v>
      </c>
      <c r="AM214" s="13" t="s">
        <v>2077</v>
      </c>
      <c r="AN214" s="13" t="s">
        <v>2077</v>
      </c>
      <c r="AO214" s="13" t="s">
        <v>2077</v>
      </c>
      <c r="AP214" s="13" t="s">
        <v>2077</v>
      </c>
      <c r="AQ214" s="13" t="s">
        <v>2077</v>
      </c>
      <c r="AR214" s="13" t="s">
        <v>2418</v>
      </c>
      <c r="AS214" s="13" t="s">
        <v>2419</v>
      </c>
      <c r="AT214" s="13" t="s">
        <v>2420</v>
      </c>
      <c r="AU214" s="13" t="s">
        <v>2421</v>
      </c>
      <c r="AV214" s="13" t="s">
        <v>2422</v>
      </c>
      <c r="AW214" s="13" t="s">
        <v>2416</v>
      </c>
      <c r="AX214" s="13" t="s">
        <v>2073</v>
      </c>
      <c r="AY214" s="13" t="s">
        <v>2073</v>
      </c>
      <c r="AZ214" s="13" t="s">
        <v>2073</v>
      </c>
      <c r="BA214" s="13" t="s">
        <v>2073</v>
      </c>
      <c r="BB214" s="13" t="s">
        <v>2073</v>
      </c>
      <c r="BC214" s="13" t="s">
        <v>2073</v>
      </c>
    </row>
    <row r="215" spans="1:55" ht="15.75" customHeight="1">
      <c r="A215" s="13">
        <v>2000</v>
      </c>
      <c r="B215" s="7" t="s">
        <v>1059</v>
      </c>
      <c r="C215" s="211" t="s">
        <v>2412</v>
      </c>
      <c r="D215" s="13" t="s">
        <v>1058</v>
      </c>
      <c r="E215" s="13" t="s">
        <v>1013</v>
      </c>
      <c r="F215" s="211" t="s">
        <v>2413</v>
      </c>
      <c r="G215" s="13" t="s">
        <v>2414</v>
      </c>
      <c r="H215" s="13" t="s">
        <v>2077</v>
      </c>
      <c r="I215" s="13" t="s">
        <v>2077</v>
      </c>
      <c r="J215" s="13" t="s">
        <v>2077</v>
      </c>
      <c r="K215" s="13" t="s">
        <v>2077</v>
      </c>
      <c r="L215" s="13" t="s">
        <v>2077</v>
      </c>
      <c r="M215" s="13" t="s">
        <v>2077</v>
      </c>
      <c r="N215" s="211" t="s">
        <v>2415</v>
      </c>
      <c r="O215" s="13" t="s">
        <v>2416</v>
      </c>
      <c r="P215" s="69" t="str">
        <f t="shared" ref="P215:Q215" si="211">D215</f>
        <v xml:space="preserve">SG PAINTING B1 </v>
      </c>
      <c r="Q215" s="13" t="str">
        <f t="shared" si="211"/>
        <v>3GT</v>
      </c>
      <c r="R215" s="212" t="s">
        <v>23</v>
      </c>
      <c r="S215" s="213">
        <v>0.83333333333333337</v>
      </c>
      <c r="T215" s="13">
        <v>85</v>
      </c>
      <c r="U215" s="211" t="s">
        <v>83</v>
      </c>
      <c r="V215" s="13">
        <v>1</v>
      </c>
      <c r="W215" s="13" t="s">
        <v>2417</v>
      </c>
      <c r="X215" s="13" t="s">
        <v>1924</v>
      </c>
      <c r="Y215" s="13" t="s">
        <v>2073</v>
      </c>
      <c r="Z215" s="13" t="s">
        <v>2073</v>
      </c>
      <c r="AA215" s="13" t="s">
        <v>2073</v>
      </c>
      <c r="AB215" s="13" t="s">
        <v>1924</v>
      </c>
      <c r="AC215" s="211" t="s">
        <v>2415</v>
      </c>
      <c r="AD215" s="13" t="s">
        <v>2416</v>
      </c>
      <c r="AE215" s="69">
        <v>1112053111</v>
      </c>
      <c r="AF215" s="13" t="s">
        <v>2418</v>
      </c>
      <c r="AG215" s="13" t="s">
        <v>2419</v>
      </c>
      <c r="AH215" s="13" t="s">
        <v>2420</v>
      </c>
      <c r="AI215" s="13" t="s">
        <v>2421</v>
      </c>
      <c r="AJ215" s="13" t="s">
        <v>2422</v>
      </c>
      <c r="AK215" s="13" t="s">
        <v>2416</v>
      </c>
      <c r="AL215" s="13" t="s">
        <v>2077</v>
      </c>
      <c r="AM215" s="13" t="s">
        <v>2077</v>
      </c>
      <c r="AN215" s="13" t="s">
        <v>2077</v>
      </c>
      <c r="AO215" s="13" t="s">
        <v>2077</v>
      </c>
      <c r="AP215" s="13" t="s">
        <v>2077</v>
      </c>
      <c r="AQ215" s="13" t="s">
        <v>2077</v>
      </c>
      <c r="AR215" s="13" t="s">
        <v>2418</v>
      </c>
      <c r="AS215" s="13" t="s">
        <v>2419</v>
      </c>
      <c r="AT215" s="13" t="s">
        <v>2420</v>
      </c>
      <c r="AU215" s="13" t="s">
        <v>2421</v>
      </c>
      <c r="AV215" s="13" t="s">
        <v>2422</v>
      </c>
      <c r="AW215" s="13" t="s">
        <v>2416</v>
      </c>
      <c r="AX215" s="13" t="s">
        <v>2073</v>
      </c>
      <c r="AY215" s="13" t="s">
        <v>2073</v>
      </c>
      <c r="AZ215" s="13" t="s">
        <v>2073</v>
      </c>
      <c r="BA215" s="13" t="s">
        <v>2073</v>
      </c>
      <c r="BB215" s="13" t="s">
        <v>2073</v>
      </c>
      <c r="BC215" s="13" t="s">
        <v>2073</v>
      </c>
    </row>
    <row r="216" spans="1:55" ht="15.75" customHeight="1">
      <c r="A216" s="13">
        <v>2000</v>
      </c>
      <c r="B216" s="7" t="s">
        <v>1064</v>
      </c>
      <c r="C216" s="211" t="s">
        <v>2412</v>
      </c>
      <c r="D216" s="13" t="s">
        <v>1063</v>
      </c>
      <c r="E216" s="13" t="s">
        <v>1013</v>
      </c>
      <c r="F216" s="211" t="s">
        <v>2413</v>
      </c>
      <c r="G216" s="13" t="s">
        <v>2414</v>
      </c>
      <c r="H216" s="13" t="s">
        <v>2077</v>
      </c>
      <c r="I216" s="13" t="s">
        <v>2077</v>
      </c>
      <c r="J216" s="13" t="s">
        <v>2077</v>
      </c>
      <c r="K216" s="13" t="s">
        <v>2077</v>
      </c>
      <c r="L216" s="13" t="s">
        <v>2077</v>
      </c>
      <c r="M216" s="13" t="s">
        <v>2077</v>
      </c>
      <c r="N216" s="211" t="s">
        <v>2415</v>
      </c>
      <c r="O216" s="13" t="s">
        <v>2416</v>
      </c>
      <c r="P216" s="69" t="str">
        <f t="shared" ref="P216:Q216" si="212">D216</f>
        <v>SG PAINTING B2</v>
      </c>
      <c r="Q216" s="13" t="str">
        <f t="shared" si="212"/>
        <v>3GT</v>
      </c>
      <c r="R216" s="212" t="s">
        <v>23</v>
      </c>
      <c r="S216" s="213">
        <v>0.83333333333333337</v>
      </c>
      <c r="T216" s="13">
        <v>85</v>
      </c>
      <c r="U216" s="211" t="s">
        <v>83</v>
      </c>
      <c r="V216" s="13">
        <v>1</v>
      </c>
      <c r="W216" s="13" t="s">
        <v>2417</v>
      </c>
      <c r="X216" s="13" t="s">
        <v>1924</v>
      </c>
      <c r="Y216" s="13" t="s">
        <v>2073</v>
      </c>
      <c r="Z216" s="13" t="s">
        <v>2073</v>
      </c>
      <c r="AA216" s="13" t="s">
        <v>2073</v>
      </c>
      <c r="AB216" s="13" t="s">
        <v>1924</v>
      </c>
      <c r="AC216" s="211" t="s">
        <v>2415</v>
      </c>
      <c r="AD216" s="13" t="s">
        <v>2416</v>
      </c>
      <c r="AE216" s="69">
        <v>1112053112</v>
      </c>
      <c r="AF216" s="13" t="s">
        <v>2418</v>
      </c>
      <c r="AG216" s="13" t="s">
        <v>2419</v>
      </c>
      <c r="AH216" s="13" t="s">
        <v>2420</v>
      </c>
      <c r="AI216" s="13" t="s">
        <v>2421</v>
      </c>
      <c r="AJ216" s="13" t="s">
        <v>2422</v>
      </c>
      <c r="AK216" s="13" t="s">
        <v>2416</v>
      </c>
      <c r="AL216" s="13" t="s">
        <v>2077</v>
      </c>
      <c r="AM216" s="13" t="s">
        <v>2077</v>
      </c>
      <c r="AN216" s="13" t="s">
        <v>2077</v>
      </c>
      <c r="AO216" s="13" t="s">
        <v>2077</v>
      </c>
      <c r="AP216" s="13" t="s">
        <v>2077</v>
      </c>
      <c r="AQ216" s="13" t="s">
        <v>2077</v>
      </c>
      <c r="AR216" s="13" t="s">
        <v>2418</v>
      </c>
      <c r="AS216" s="13" t="s">
        <v>2419</v>
      </c>
      <c r="AT216" s="13" t="s">
        <v>2420</v>
      </c>
      <c r="AU216" s="13" t="s">
        <v>2421</v>
      </c>
      <c r="AV216" s="13" t="s">
        <v>2422</v>
      </c>
      <c r="AW216" s="13" t="s">
        <v>2416</v>
      </c>
      <c r="AX216" s="13" t="s">
        <v>2073</v>
      </c>
      <c r="AY216" s="13" t="s">
        <v>2073</v>
      </c>
      <c r="AZ216" s="13" t="s">
        <v>2073</v>
      </c>
      <c r="BA216" s="13" t="s">
        <v>2073</v>
      </c>
      <c r="BB216" s="13" t="s">
        <v>2073</v>
      </c>
      <c r="BC216" s="13" t="s">
        <v>2073</v>
      </c>
    </row>
    <row r="217" spans="1:55" ht="15.75" customHeight="1">
      <c r="A217" s="13">
        <v>2000</v>
      </c>
      <c r="B217" s="7" t="s">
        <v>1069</v>
      </c>
      <c r="C217" s="211" t="s">
        <v>2412</v>
      </c>
      <c r="D217" s="13" t="s">
        <v>1068</v>
      </c>
      <c r="E217" s="13" t="s">
        <v>1013</v>
      </c>
      <c r="F217" s="211" t="s">
        <v>2413</v>
      </c>
      <c r="G217" s="13" t="s">
        <v>2414</v>
      </c>
      <c r="H217" s="13" t="s">
        <v>2077</v>
      </c>
      <c r="I217" s="13" t="s">
        <v>2077</v>
      </c>
      <c r="J217" s="13" t="s">
        <v>2077</v>
      </c>
      <c r="K217" s="13" t="s">
        <v>2077</v>
      </c>
      <c r="L217" s="13" t="s">
        <v>2077</v>
      </c>
      <c r="M217" s="13" t="s">
        <v>2077</v>
      </c>
      <c r="N217" s="211" t="s">
        <v>2415</v>
      </c>
      <c r="O217" s="13" t="s">
        <v>2416</v>
      </c>
      <c r="P217" s="69" t="str">
        <f t="shared" ref="P217:Q217" si="213">D217</f>
        <v>SG PAINTING B3</v>
      </c>
      <c r="Q217" s="13" t="str">
        <f t="shared" si="213"/>
        <v>3GT</v>
      </c>
      <c r="R217" s="212" t="s">
        <v>23</v>
      </c>
      <c r="S217" s="213">
        <v>0.83333333333333337</v>
      </c>
      <c r="T217" s="13">
        <v>85</v>
      </c>
      <c r="U217" s="211" t="s">
        <v>83</v>
      </c>
      <c r="V217" s="13">
        <v>1</v>
      </c>
      <c r="W217" s="13" t="s">
        <v>2417</v>
      </c>
      <c r="X217" s="13" t="s">
        <v>1924</v>
      </c>
      <c r="Y217" s="13" t="s">
        <v>2073</v>
      </c>
      <c r="Z217" s="13" t="s">
        <v>2073</v>
      </c>
      <c r="AA217" s="13" t="s">
        <v>2073</v>
      </c>
      <c r="AB217" s="13" t="s">
        <v>1924</v>
      </c>
      <c r="AC217" s="211" t="s">
        <v>2415</v>
      </c>
      <c r="AD217" s="13" t="s">
        <v>2416</v>
      </c>
      <c r="AE217" s="69">
        <v>1112053113</v>
      </c>
      <c r="AF217" s="13" t="s">
        <v>2418</v>
      </c>
      <c r="AG217" s="13" t="s">
        <v>2419</v>
      </c>
      <c r="AH217" s="13" t="s">
        <v>2420</v>
      </c>
      <c r="AI217" s="13" t="s">
        <v>2421</v>
      </c>
      <c r="AJ217" s="13" t="s">
        <v>2422</v>
      </c>
      <c r="AK217" s="13" t="s">
        <v>2416</v>
      </c>
      <c r="AL217" s="13" t="s">
        <v>2077</v>
      </c>
      <c r="AM217" s="13" t="s">
        <v>2077</v>
      </c>
      <c r="AN217" s="13" t="s">
        <v>2077</v>
      </c>
      <c r="AO217" s="13" t="s">
        <v>2077</v>
      </c>
      <c r="AP217" s="13" t="s">
        <v>2077</v>
      </c>
      <c r="AQ217" s="13" t="s">
        <v>2077</v>
      </c>
      <c r="AR217" s="13" t="s">
        <v>2418</v>
      </c>
      <c r="AS217" s="13" t="s">
        <v>2419</v>
      </c>
      <c r="AT217" s="13" t="s">
        <v>2420</v>
      </c>
      <c r="AU217" s="13" t="s">
        <v>2421</v>
      </c>
      <c r="AV217" s="13" t="s">
        <v>2422</v>
      </c>
      <c r="AW217" s="13" t="s">
        <v>2416</v>
      </c>
      <c r="AX217" s="13" t="s">
        <v>2073</v>
      </c>
      <c r="AY217" s="13" t="s">
        <v>2073</v>
      </c>
      <c r="AZ217" s="13" t="s">
        <v>2073</v>
      </c>
      <c r="BA217" s="13" t="s">
        <v>2073</v>
      </c>
      <c r="BB217" s="13" t="s">
        <v>2073</v>
      </c>
      <c r="BC217" s="13" t="s">
        <v>2073</v>
      </c>
    </row>
    <row r="218" spans="1:55" ht="15.75" customHeight="1">
      <c r="A218" s="13">
        <v>2000</v>
      </c>
      <c r="B218" s="7" t="s">
        <v>1074</v>
      </c>
      <c r="C218" s="211" t="s">
        <v>2412</v>
      </c>
      <c r="D218" s="13" t="s">
        <v>1073</v>
      </c>
      <c r="E218" s="13" t="s">
        <v>1013</v>
      </c>
      <c r="F218" s="211" t="s">
        <v>2413</v>
      </c>
      <c r="G218" s="13" t="s">
        <v>2414</v>
      </c>
      <c r="H218" s="13" t="s">
        <v>2077</v>
      </c>
      <c r="I218" s="13" t="s">
        <v>2077</v>
      </c>
      <c r="J218" s="13" t="s">
        <v>2077</v>
      </c>
      <c r="K218" s="13" t="s">
        <v>2077</v>
      </c>
      <c r="L218" s="13" t="s">
        <v>2077</v>
      </c>
      <c r="M218" s="13" t="s">
        <v>2077</v>
      </c>
      <c r="N218" s="211" t="s">
        <v>2415</v>
      </c>
      <c r="O218" s="13" t="s">
        <v>2416</v>
      </c>
      <c r="P218" s="69" t="str">
        <f t="shared" ref="P218:Q218" si="214">D218</f>
        <v>SG PAINTING B4</v>
      </c>
      <c r="Q218" s="13" t="str">
        <f t="shared" si="214"/>
        <v>3GT</v>
      </c>
      <c r="R218" s="212" t="s">
        <v>23</v>
      </c>
      <c r="S218" s="213">
        <v>0.83333333333333337</v>
      </c>
      <c r="T218" s="13">
        <v>85</v>
      </c>
      <c r="U218" s="211" t="s">
        <v>83</v>
      </c>
      <c r="V218" s="13">
        <v>1</v>
      </c>
      <c r="W218" s="13" t="s">
        <v>2417</v>
      </c>
      <c r="X218" s="13" t="s">
        <v>1924</v>
      </c>
      <c r="Y218" s="13" t="s">
        <v>2073</v>
      </c>
      <c r="Z218" s="13" t="s">
        <v>2073</v>
      </c>
      <c r="AA218" s="13" t="s">
        <v>2073</v>
      </c>
      <c r="AB218" s="13" t="s">
        <v>1924</v>
      </c>
      <c r="AC218" s="211" t="s">
        <v>2415</v>
      </c>
      <c r="AD218" s="13" t="s">
        <v>2416</v>
      </c>
      <c r="AE218" s="69">
        <v>1112053114</v>
      </c>
      <c r="AF218" s="13" t="s">
        <v>2418</v>
      </c>
      <c r="AG218" s="13" t="s">
        <v>2419</v>
      </c>
      <c r="AH218" s="13" t="s">
        <v>2420</v>
      </c>
      <c r="AI218" s="13" t="s">
        <v>2421</v>
      </c>
      <c r="AJ218" s="13" t="s">
        <v>2422</v>
      </c>
      <c r="AK218" s="13" t="s">
        <v>2416</v>
      </c>
      <c r="AL218" s="13" t="s">
        <v>2077</v>
      </c>
      <c r="AM218" s="13" t="s">
        <v>2077</v>
      </c>
      <c r="AN218" s="13" t="s">
        <v>2077</v>
      </c>
      <c r="AO218" s="13" t="s">
        <v>2077</v>
      </c>
      <c r="AP218" s="13" t="s">
        <v>2077</v>
      </c>
      <c r="AQ218" s="13" t="s">
        <v>2077</v>
      </c>
      <c r="AR218" s="13" t="s">
        <v>2418</v>
      </c>
      <c r="AS218" s="13" t="s">
        <v>2419</v>
      </c>
      <c r="AT218" s="13" t="s">
        <v>2420</v>
      </c>
      <c r="AU218" s="13" t="s">
        <v>2421</v>
      </c>
      <c r="AV218" s="13" t="s">
        <v>2422</v>
      </c>
      <c r="AW218" s="13" t="s">
        <v>2416</v>
      </c>
      <c r="AX218" s="13" t="s">
        <v>2073</v>
      </c>
      <c r="AY218" s="13" t="s">
        <v>2073</v>
      </c>
      <c r="AZ218" s="13" t="s">
        <v>2073</v>
      </c>
      <c r="BA218" s="13" t="s">
        <v>2073</v>
      </c>
      <c r="BB218" s="13" t="s">
        <v>2073</v>
      </c>
      <c r="BC218" s="13" t="s">
        <v>2073</v>
      </c>
    </row>
    <row r="219" spans="1:55" ht="15.75" customHeight="1">
      <c r="A219" s="13">
        <v>2000</v>
      </c>
      <c r="B219" s="7" t="s">
        <v>1079</v>
      </c>
      <c r="C219" s="211" t="s">
        <v>2412</v>
      </c>
      <c r="D219" s="13" t="s">
        <v>1078</v>
      </c>
      <c r="E219" s="13" t="s">
        <v>1013</v>
      </c>
      <c r="F219" s="211" t="s">
        <v>2413</v>
      </c>
      <c r="G219" s="13" t="s">
        <v>2414</v>
      </c>
      <c r="H219" s="13" t="s">
        <v>2077</v>
      </c>
      <c r="I219" s="13" t="s">
        <v>2077</v>
      </c>
      <c r="J219" s="13" t="s">
        <v>2077</v>
      </c>
      <c r="K219" s="13" t="s">
        <v>2077</v>
      </c>
      <c r="L219" s="13" t="s">
        <v>2077</v>
      </c>
      <c r="M219" s="13" t="s">
        <v>2077</v>
      </c>
      <c r="N219" s="211" t="s">
        <v>2415</v>
      </c>
      <c r="O219" s="13" t="s">
        <v>2416</v>
      </c>
      <c r="P219" s="69" t="str">
        <f t="shared" ref="P219:Q219" si="215">D219</f>
        <v>SG PAINTING B5</v>
      </c>
      <c r="Q219" s="13" t="str">
        <f t="shared" si="215"/>
        <v>3GT</v>
      </c>
      <c r="R219" s="212" t="s">
        <v>23</v>
      </c>
      <c r="S219" s="213">
        <v>0.83333333333333337</v>
      </c>
      <c r="T219" s="13">
        <v>85</v>
      </c>
      <c r="U219" s="211" t="s">
        <v>83</v>
      </c>
      <c r="V219" s="13">
        <v>1</v>
      </c>
      <c r="W219" s="13" t="s">
        <v>2417</v>
      </c>
      <c r="X219" s="13" t="s">
        <v>1924</v>
      </c>
      <c r="Y219" s="13" t="s">
        <v>2073</v>
      </c>
      <c r="Z219" s="13" t="s">
        <v>2073</v>
      </c>
      <c r="AA219" s="13" t="s">
        <v>2073</v>
      </c>
      <c r="AB219" s="13" t="s">
        <v>1924</v>
      </c>
      <c r="AC219" s="211" t="s">
        <v>2415</v>
      </c>
      <c r="AD219" s="13" t="s">
        <v>2416</v>
      </c>
      <c r="AE219" s="69">
        <v>1112053115</v>
      </c>
      <c r="AF219" s="13" t="s">
        <v>2418</v>
      </c>
      <c r="AG219" s="13" t="s">
        <v>2419</v>
      </c>
      <c r="AH219" s="13" t="s">
        <v>2420</v>
      </c>
      <c r="AI219" s="13" t="s">
        <v>2421</v>
      </c>
      <c r="AJ219" s="13" t="s">
        <v>2422</v>
      </c>
      <c r="AK219" s="13" t="s">
        <v>2416</v>
      </c>
      <c r="AL219" s="13" t="s">
        <v>2077</v>
      </c>
      <c r="AM219" s="13" t="s">
        <v>2077</v>
      </c>
      <c r="AN219" s="13" t="s">
        <v>2077</v>
      </c>
      <c r="AO219" s="13" t="s">
        <v>2077</v>
      </c>
      <c r="AP219" s="13" t="s">
        <v>2077</v>
      </c>
      <c r="AQ219" s="13" t="s">
        <v>2077</v>
      </c>
      <c r="AR219" s="13" t="s">
        <v>2418</v>
      </c>
      <c r="AS219" s="13" t="s">
        <v>2419</v>
      </c>
      <c r="AT219" s="13" t="s">
        <v>2420</v>
      </c>
      <c r="AU219" s="13" t="s">
        <v>2421</v>
      </c>
      <c r="AV219" s="13" t="s">
        <v>2422</v>
      </c>
      <c r="AW219" s="13" t="s">
        <v>2416</v>
      </c>
      <c r="AX219" s="13" t="s">
        <v>2073</v>
      </c>
      <c r="AY219" s="13" t="s">
        <v>2073</v>
      </c>
      <c r="AZ219" s="13" t="s">
        <v>2073</v>
      </c>
      <c r="BA219" s="13" t="s">
        <v>2073</v>
      </c>
      <c r="BB219" s="13" t="s">
        <v>2073</v>
      </c>
      <c r="BC219" s="13" t="s">
        <v>2073</v>
      </c>
    </row>
    <row r="220" spans="1:55" ht="15.75" customHeight="1">
      <c r="A220" s="13">
        <v>2000</v>
      </c>
      <c r="B220" s="7" t="s">
        <v>1084</v>
      </c>
      <c r="C220" s="211" t="s">
        <v>2412</v>
      </c>
      <c r="D220" s="13" t="s">
        <v>1083</v>
      </c>
      <c r="E220" s="13" t="s">
        <v>1013</v>
      </c>
      <c r="F220" s="211" t="s">
        <v>2413</v>
      </c>
      <c r="G220" s="13" t="s">
        <v>2414</v>
      </c>
      <c r="H220" s="13" t="s">
        <v>2077</v>
      </c>
      <c r="I220" s="13" t="s">
        <v>2077</v>
      </c>
      <c r="J220" s="13" t="s">
        <v>2077</v>
      </c>
      <c r="K220" s="13" t="s">
        <v>2077</v>
      </c>
      <c r="L220" s="13" t="s">
        <v>2077</v>
      </c>
      <c r="M220" s="13" t="s">
        <v>2077</v>
      </c>
      <c r="N220" s="211" t="s">
        <v>2415</v>
      </c>
      <c r="O220" s="13" t="s">
        <v>2416</v>
      </c>
      <c r="P220" s="69" t="str">
        <f t="shared" ref="P220:Q220" si="216">D220</f>
        <v>SG PAINTING B6</v>
      </c>
      <c r="Q220" s="13" t="str">
        <f t="shared" si="216"/>
        <v>3GT</v>
      </c>
      <c r="R220" s="212" t="s">
        <v>23</v>
      </c>
      <c r="S220" s="213">
        <v>0.83333333333333337</v>
      </c>
      <c r="T220" s="13">
        <v>85</v>
      </c>
      <c r="U220" s="211" t="s">
        <v>83</v>
      </c>
      <c r="V220" s="13">
        <v>1</v>
      </c>
      <c r="W220" s="13" t="s">
        <v>2417</v>
      </c>
      <c r="X220" s="13" t="s">
        <v>1924</v>
      </c>
      <c r="Y220" s="13" t="s">
        <v>2073</v>
      </c>
      <c r="Z220" s="13" t="s">
        <v>2073</v>
      </c>
      <c r="AA220" s="13" t="s">
        <v>2073</v>
      </c>
      <c r="AB220" s="13" t="s">
        <v>1924</v>
      </c>
      <c r="AC220" s="211" t="s">
        <v>2415</v>
      </c>
      <c r="AD220" s="13" t="s">
        <v>2416</v>
      </c>
      <c r="AE220" s="69">
        <v>1112053116</v>
      </c>
      <c r="AF220" s="13" t="s">
        <v>2418</v>
      </c>
      <c r="AG220" s="13" t="s">
        <v>2419</v>
      </c>
      <c r="AH220" s="13" t="s">
        <v>2420</v>
      </c>
      <c r="AI220" s="13" t="s">
        <v>2421</v>
      </c>
      <c r="AJ220" s="13" t="s">
        <v>2422</v>
      </c>
      <c r="AK220" s="13" t="s">
        <v>2416</v>
      </c>
      <c r="AL220" s="13" t="s">
        <v>2077</v>
      </c>
      <c r="AM220" s="13" t="s">
        <v>2077</v>
      </c>
      <c r="AN220" s="13" t="s">
        <v>2077</v>
      </c>
      <c r="AO220" s="13" t="s">
        <v>2077</v>
      </c>
      <c r="AP220" s="13" t="s">
        <v>2077</v>
      </c>
      <c r="AQ220" s="13" t="s">
        <v>2077</v>
      </c>
      <c r="AR220" s="13" t="s">
        <v>2418</v>
      </c>
      <c r="AS220" s="13" t="s">
        <v>2419</v>
      </c>
      <c r="AT220" s="13" t="s">
        <v>2420</v>
      </c>
      <c r="AU220" s="13" t="s">
        <v>2421</v>
      </c>
      <c r="AV220" s="13" t="s">
        <v>2422</v>
      </c>
      <c r="AW220" s="13" t="s">
        <v>2416</v>
      </c>
      <c r="AX220" s="13" t="s">
        <v>2073</v>
      </c>
      <c r="AY220" s="13" t="s">
        <v>2073</v>
      </c>
      <c r="AZ220" s="13" t="s">
        <v>2073</v>
      </c>
      <c r="BA220" s="13" t="s">
        <v>2073</v>
      </c>
      <c r="BB220" s="13" t="s">
        <v>2073</v>
      </c>
      <c r="BC220" s="13" t="s">
        <v>2073</v>
      </c>
    </row>
    <row r="221" spans="1:55" ht="15.75" customHeight="1">
      <c r="A221" s="13">
        <v>2000</v>
      </c>
      <c r="B221" s="7" t="s">
        <v>1089</v>
      </c>
      <c r="C221" s="211" t="s">
        <v>2412</v>
      </c>
      <c r="D221" s="13" t="s">
        <v>1088</v>
      </c>
      <c r="E221" s="13" t="s">
        <v>1013</v>
      </c>
      <c r="F221" s="211" t="s">
        <v>2413</v>
      </c>
      <c r="G221" s="13" t="s">
        <v>2414</v>
      </c>
      <c r="H221" s="13" t="s">
        <v>2077</v>
      </c>
      <c r="I221" s="13" t="s">
        <v>2077</v>
      </c>
      <c r="J221" s="13" t="s">
        <v>2077</v>
      </c>
      <c r="K221" s="13" t="s">
        <v>2077</v>
      </c>
      <c r="L221" s="13" t="s">
        <v>2077</v>
      </c>
      <c r="M221" s="13" t="s">
        <v>2077</v>
      </c>
      <c r="N221" s="211" t="s">
        <v>2415</v>
      </c>
      <c r="O221" s="13" t="s">
        <v>2416</v>
      </c>
      <c r="P221" s="69" t="str">
        <f t="shared" ref="P221:Q221" si="217">D221</f>
        <v>SG PAINTING B7</v>
      </c>
      <c r="Q221" s="13" t="str">
        <f t="shared" si="217"/>
        <v>3GT</v>
      </c>
      <c r="R221" s="212" t="s">
        <v>23</v>
      </c>
      <c r="S221" s="213">
        <v>0.83333333333333337</v>
      </c>
      <c r="T221" s="13">
        <v>85</v>
      </c>
      <c r="U221" s="211" t="s">
        <v>83</v>
      </c>
      <c r="V221" s="13">
        <v>1</v>
      </c>
      <c r="W221" s="13" t="s">
        <v>2417</v>
      </c>
      <c r="X221" s="13" t="s">
        <v>1924</v>
      </c>
      <c r="Y221" s="13" t="s">
        <v>2073</v>
      </c>
      <c r="Z221" s="13" t="s">
        <v>2073</v>
      </c>
      <c r="AA221" s="13" t="s">
        <v>2073</v>
      </c>
      <c r="AB221" s="13" t="s">
        <v>1924</v>
      </c>
      <c r="AC221" s="211" t="s">
        <v>2415</v>
      </c>
      <c r="AD221" s="13" t="s">
        <v>2416</v>
      </c>
      <c r="AE221" s="69">
        <v>1112053117</v>
      </c>
      <c r="AF221" s="13" t="s">
        <v>2418</v>
      </c>
      <c r="AG221" s="13" t="s">
        <v>2419</v>
      </c>
      <c r="AH221" s="13" t="s">
        <v>2420</v>
      </c>
      <c r="AI221" s="13" t="s">
        <v>2421</v>
      </c>
      <c r="AJ221" s="13" t="s">
        <v>2422</v>
      </c>
      <c r="AK221" s="13" t="s">
        <v>2416</v>
      </c>
      <c r="AL221" s="13" t="s">
        <v>2077</v>
      </c>
      <c r="AM221" s="13" t="s">
        <v>2077</v>
      </c>
      <c r="AN221" s="13" t="s">
        <v>2077</v>
      </c>
      <c r="AO221" s="13" t="s">
        <v>2077</v>
      </c>
      <c r="AP221" s="13" t="s">
        <v>2077</v>
      </c>
      <c r="AQ221" s="13" t="s">
        <v>2077</v>
      </c>
      <c r="AR221" s="13" t="s">
        <v>2418</v>
      </c>
      <c r="AS221" s="13" t="s">
        <v>2419</v>
      </c>
      <c r="AT221" s="13" t="s">
        <v>2420</v>
      </c>
      <c r="AU221" s="13" t="s">
        <v>2421</v>
      </c>
      <c r="AV221" s="13" t="s">
        <v>2422</v>
      </c>
      <c r="AW221" s="13" t="s">
        <v>2416</v>
      </c>
      <c r="AX221" s="13" t="s">
        <v>2073</v>
      </c>
      <c r="AY221" s="13" t="s">
        <v>2073</v>
      </c>
      <c r="AZ221" s="13" t="s">
        <v>2073</v>
      </c>
      <c r="BA221" s="13" t="s">
        <v>2073</v>
      </c>
      <c r="BB221" s="13" t="s">
        <v>2073</v>
      </c>
      <c r="BC221" s="13" t="s">
        <v>2073</v>
      </c>
    </row>
    <row r="222" spans="1:55" ht="15.75" customHeight="1">
      <c r="A222" s="13">
        <v>2000</v>
      </c>
      <c r="B222" s="7" t="s">
        <v>1094</v>
      </c>
      <c r="C222" s="211" t="s">
        <v>2412</v>
      </c>
      <c r="D222" s="13" t="s">
        <v>1093</v>
      </c>
      <c r="E222" s="13" t="s">
        <v>1013</v>
      </c>
      <c r="F222" s="211" t="s">
        <v>2413</v>
      </c>
      <c r="G222" s="13" t="s">
        <v>2414</v>
      </c>
      <c r="H222" s="13" t="s">
        <v>2077</v>
      </c>
      <c r="I222" s="13" t="s">
        <v>2077</v>
      </c>
      <c r="J222" s="13" t="s">
        <v>2077</v>
      </c>
      <c r="K222" s="13" t="s">
        <v>2077</v>
      </c>
      <c r="L222" s="13" t="s">
        <v>2077</v>
      </c>
      <c r="M222" s="13" t="s">
        <v>2077</v>
      </c>
      <c r="N222" s="211" t="s">
        <v>2415</v>
      </c>
      <c r="O222" s="13" t="s">
        <v>2416</v>
      </c>
      <c r="P222" s="69" t="str">
        <f t="shared" ref="P222:Q222" si="218">D222</f>
        <v>SG PAINTING B8</v>
      </c>
      <c r="Q222" s="13" t="str">
        <f t="shared" si="218"/>
        <v>3GT</v>
      </c>
      <c r="R222" s="212" t="s">
        <v>23</v>
      </c>
      <c r="S222" s="213">
        <v>0.83333333333333337</v>
      </c>
      <c r="T222" s="13">
        <v>85</v>
      </c>
      <c r="U222" s="211" t="s">
        <v>83</v>
      </c>
      <c r="V222" s="13">
        <v>1</v>
      </c>
      <c r="W222" s="13" t="s">
        <v>2417</v>
      </c>
      <c r="X222" s="13" t="s">
        <v>1924</v>
      </c>
      <c r="Y222" s="13" t="s">
        <v>2073</v>
      </c>
      <c r="Z222" s="13" t="s">
        <v>2073</v>
      </c>
      <c r="AA222" s="13" t="s">
        <v>2073</v>
      </c>
      <c r="AB222" s="13" t="s">
        <v>1924</v>
      </c>
      <c r="AC222" s="211" t="s">
        <v>2415</v>
      </c>
      <c r="AD222" s="13" t="s">
        <v>2416</v>
      </c>
      <c r="AE222" s="69">
        <v>1112053118</v>
      </c>
      <c r="AF222" s="13" t="s">
        <v>2418</v>
      </c>
      <c r="AG222" s="13" t="s">
        <v>2419</v>
      </c>
      <c r="AH222" s="13" t="s">
        <v>2420</v>
      </c>
      <c r="AI222" s="13" t="s">
        <v>2421</v>
      </c>
      <c r="AJ222" s="13" t="s">
        <v>2422</v>
      </c>
      <c r="AK222" s="13" t="s">
        <v>2416</v>
      </c>
      <c r="AL222" s="13" t="s">
        <v>2077</v>
      </c>
      <c r="AM222" s="13" t="s">
        <v>2077</v>
      </c>
      <c r="AN222" s="13" t="s">
        <v>2077</v>
      </c>
      <c r="AO222" s="13" t="s">
        <v>2077</v>
      </c>
      <c r="AP222" s="13" t="s">
        <v>2077</v>
      </c>
      <c r="AQ222" s="13" t="s">
        <v>2077</v>
      </c>
      <c r="AR222" s="13" t="s">
        <v>2418</v>
      </c>
      <c r="AS222" s="13" t="s">
        <v>2419</v>
      </c>
      <c r="AT222" s="13" t="s">
        <v>2420</v>
      </c>
      <c r="AU222" s="13" t="s">
        <v>2421</v>
      </c>
      <c r="AV222" s="13" t="s">
        <v>2422</v>
      </c>
      <c r="AW222" s="13" t="s">
        <v>2416</v>
      </c>
      <c r="AX222" s="13" t="s">
        <v>2073</v>
      </c>
      <c r="AY222" s="13" t="s">
        <v>2073</v>
      </c>
      <c r="AZ222" s="13" t="s">
        <v>2073</v>
      </c>
      <c r="BA222" s="13" t="s">
        <v>2073</v>
      </c>
      <c r="BB222" s="13" t="s">
        <v>2073</v>
      </c>
      <c r="BC222" s="13" t="s">
        <v>2073</v>
      </c>
    </row>
    <row r="223" spans="1:55" ht="15.75" customHeight="1">
      <c r="A223" s="13">
        <v>2000</v>
      </c>
      <c r="B223" s="7" t="s">
        <v>1099</v>
      </c>
      <c r="C223" s="211" t="s">
        <v>2412</v>
      </c>
      <c r="D223" s="13" t="s">
        <v>1098</v>
      </c>
      <c r="E223" s="13" t="s">
        <v>1013</v>
      </c>
      <c r="F223" s="211" t="s">
        <v>2413</v>
      </c>
      <c r="G223" s="13" t="s">
        <v>2414</v>
      </c>
      <c r="H223" s="13" t="s">
        <v>2077</v>
      </c>
      <c r="I223" s="13" t="s">
        <v>2077</v>
      </c>
      <c r="J223" s="13" t="s">
        <v>2077</v>
      </c>
      <c r="K223" s="13" t="s">
        <v>2077</v>
      </c>
      <c r="L223" s="13" t="s">
        <v>2077</v>
      </c>
      <c r="M223" s="13" t="s">
        <v>2077</v>
      </c>
      <c r="N223" s="211" t="s">
        <v>2415</v>
      </c>
      <c r="O223" s="13" t="s">
        <v>2416</v>
      </c>
      <c r="P223" s="69" t="str">
        <f t="shared" ref="P223:Q223" si="219">D223</f>
        <v>SG PAINTING B9</v>
      </c>
      <c r="Q223" s="13" t="str">
        <f t="shared" si="219"/>
        <v>3GT</v>
      </c>
      <c r="R223" s="212" t="s">
        <v>23</v>
      </c>
      <c r="S223" s="213">
        <v>0.83333333333333337</v>
      </c>
      <c r="T223" s="13">
        <v>85</v>
      </c>
      <c r="U223" s="211" t="s">
        <v>83</v>
      </c>
      <c r="V223" s="13">
        <v>1</v>
      </c>
      <c r="W223" s="13" t="s">
        <v>2417</v>
      </c>
      <c r="X223" s="13" t="s">
        <v>1924</v>
      </c>
      <c r="Y223" s="13" t="s">
        <v>2073</v>
      </c>
      <c r="Z223" s="13" t="s">
        <v>2073</v>
      </c>
      <c r="AA223" s="13" t="s">
        <v>2073</v>
      </c>
      <c r="AB223" s="13" t="s">
        <v>1924</v>
      </c>
      <c r="AC223" s="211" t="s">
        <v>2415</v>
      </c>
      <c r="AD223" s="13" t="s">
        <v>2416</v>
      </c>
      <c r="AE223" s="69">
        <v>1112053119</v>
      </c>
      <c r="AF223" s="13" t="s">
        <v>2418</v>
      </c>
      <c r="AG223" s="13" t="s">
        <v>2419</v>
      </c>
      <c r="AH223" s="13" t="s">
        <v>2420</v>
      </c>
      <c r="AI223" s="13" t="s">
        <v>2421</v>
      </c>
      <c r="AJ223" s="13" t="s">
        <v>2422</v>
      </c>
      <c r="AK223" s="13" t="s">
        <v>2416</v>
      </c>
      <c r="AL223" s="13" t="s">
        <v>2077</v>
      </c>
      <c r="AM223" s="13" t="s">
        <v>2077</v>
      </c>
      <c r="AN223" s="13" t="s">
        <v>2077</v>
      </c>
      <c r="AO223" s="13" t="s">
        <v>2077</v>
      </c>
      <c r="AP223" s="13" t="s">
        <v>2077</v>
      </c>
      <c r="AQ223" s="13" t="s">
        <v>2077</v>
      </c>
      <c r="AR223" s="13" t="s">
        <v>2418</v>
      </c>
      <c r="AS223" s="13" t="s">
        <v>2419</v>
      </c>
      <c r="AT223" s="13" t="s">
        <v>2420</v>
      </c>
      <c r="AU223" s="13" t="s">
        <v>2421</v>
      </c>
      <c r="AV223" s="13" t="s">
        <v>2422</v>
      </c>
      <c r="AW223" s="13" t="s">
        <v>2416</v>
      </c>
      <c r="AX223" s="13" t="s">
        <v>2073</v>
      </c>
      <c r="AY223" s="13" t="s">
        <v>2073</v>
      </c>
      <c r="AZ223" s="13" t="s">
        <v>2073</v>
      </c>
      <c r="BA223" s="13" t="s">
        <v>2073</v>
      </c>
      <c r="BB223" s="13" t="s">
        <v>2073</v>
      </c>
      <c r="BC223" s="13" t="s">
        <v>2073</v>
      </c>
    </row>
    <row r="224" spans="1:55" ht="15.75" customHeight="1">
      <c r="A224" s="13">
        <v>2000</v>
      </c>
      <c r="B224" s="7" t="s">
        <v>1114</v>
      </c>
      <c r="C224" s="211" t="s">
        <v>2412</v>
      </c>
      <c r="D224" s="13" t="s">
        <v>1113</v>
      </c>
      <c r="E224" s="13" t="s">
        <v>1013</v>
      </c>
      <c r="F224" s="211" t="s">
        <v>2413</v>
      </c>
      <c r="G224" s="13" t="s">
        <v>2414</v>
      </c>
      <c r="H224" s="13" t="s">
        <v>2077</v>
      </c>
      <c r="I224" s="13" t="s">
        <v>2077</v>
      </c>
      <c r="J224" s="13" t="s">
        <v>2077</v>
      </c>
      <c r="K224" s="13" t="s">
        <v>2077</v>
      </c>
      <c r="L224" s="13" t="s">
        <v>2077</v>
      </c>
      <c r="M224" s="13" t="s">
        <v>2077</v>
      </c>
      <c r="N224" s="211" t="s">
        <v>2415</v>
      </c>
      <c r="O224" s="13" t="s">
        <v>2416</v>
      </c>
      <c r="P224" s="69" t="str">
        <f t="shared" ref="P224:Q224" si="220">D224</f>
        <v>SG PACKING A1</v>
      </c>
      <c r="Q224" s="13" t="str">
        <f t="shared" si="220"/>
        <v>3GT</v>
      </c>
      <c r="R224" s="212" t="s">
        <v>23</v>
      </c>
      <c r="S224" s="213">
        <v>0.83333333333333337</v>
      </c>
      <c r="T224" s="13">
        <v>85</v>
      </c>
      <c r="U224" s="211" t="s">
        <v>83</v>
      </c>
      <c r="V224" s="13">
        <v>1</v>
      </c>
      <c r="W224" s="13" t="s">
        <v>2417</v>
      </c>
      <c r="X224" s="13" t="s">
        <v>1924</v>
      </c>
      <c r="Y224" s="13" t="s">
        <v>2073</v>
      </c>
      <c r="Z224" s="13" t="s">
        <v>2073</v>
      </c>
      <c r="AA224" s="13" t="s">
        <v>2073</v>
      </c>
      <c r="AB224" s="13" t="s">
        <v>1924</v>
      </c>
      <c r="AC224" s="211" t="s">
        <v>2415</v>
      </c>
      <c r="AD224" s="13" t="s">
        <v>2416</v>
      </c>
      <c r="AE224" s="69" t="s">
        <v>1115</v>
      </c>
      <c r="AF224" s="13" t="s">
        <v>2418</v>
      </c>
      <c r="AG224" s="13" t="s">
        <v>2419</v>
      </c>
      <c r="AH224" s="13" t="s">
        <v>2420</v>
      </c>
      <c r="AI224" s="13" t="s">
        <v>2421</v>
      </c>
      <c r="AJ224" s="13" t="s">
        <v>2422</v>
      </c>
      <c r="AK224" s="13" t="s">
        <v>2416</v>
      </c>
      <c r="AL224" s="13" t="s">
        <v>2077</v>
      </c>
      <c r="AM224" s="13" t="s">
        <v>2077</v>
      </c>
      <c r="AN224" s="13" t="s">
        <v>2077</v>
      </c>
      <c r="AO224" s="13" t="s">
        <v>2077</v>
      </c>
      <c r="AP224" s="13" t="s">
        <v>2077</v>
      </c>
      <c r="AQ224" s="13" t="s">
        <v>2077</v>
      </c>
      <c r="AR224" s="13" t="s">
        <v>2418</v>
      </c>
      <c r="AS224" s="13" t="s">
        <v>2419</v>
      </c>
      <c r="AT224" s="13" t="s">
        <v>2420</v>
      </c>
      <c r="AU224" s="13" t="s">
        <v>2421</v>
      </c>
      <c r="AV224" s="13" t="s">
        <v>2422</v>
      </c>
      <c r="AW224" s="13" t="s">
        <v>2416</v>
      </c>
      <c r="AX224" s="13" t="s">
        <v>2073</v>
      </c>
      <c r="AY224" s="13" t="s">
        <v>2073</v>
      </c>
      <c r="AZ224" s="13" t="s">
        <v>2073</v>
      </c>
      <c r="BA224" s="13" t="s">
        <v>2073</v>
      </c>
      <c r="BB224" s="13" t="s">
        <v>2073</v>
      </c>
      <c r="BC224" s="13" t="s">
        <v>2073</v>
      </c>
    </row>
    <row r="225" spans="1:55" ht="15.75" customHeight="1">
      <c r="A225" s="13">
        <v>2000</v>
      </c>
      <c r="B225" s="7" t="s">
        <v>1118</v>
      </c>
      <c r="C225" s="211" t="s">
        <v>2412</v>
      </c>
      <c r="D225" s="13" t="s">
        <v>1117</v>
      </c>
      <c r="E225" s="13" t="s">
        <v>1013</v>
      </c>
      <c r="F225" s="211" t="s">
        <v>2413</v>
      </c>
      <c r="G225" s="13" t="s">
        <v>2414</v>
      </c>
      <c r="H225" s="13" t="s">
        <v>2077</v>
      </c>
      <c r="I225" s="13" t="s">
        <v>2077</v>
      </c>
      <c r="J225" s="13" t="s">
        <v>2077</v>
      </c>
      <c r="K225" s="13" t="s">
        <v>2077</v>
      </c>
      <c r="L225" s="13" t="s">
        <v>2077</v>
      </c>
      <c r="M225" s="13" t="s">
        <v>2077</v>
      </c>
      <c r="N225" s="211" t="s">
        <v>2415</v>
      </c>
      <c r="O225" s="13" t="s">
        <v>2416</v>
      </c>
      <c r="P225" s="69" t="str">
        <f t="shared" ref="P225:Q225" si="221">D225</f>
        <v>SG PACKING A2</v>
      </c>
      <c r="Q225" s="13" t="str">
        <f t="shared" si="221"/>
        <v>3GT</v>
      </c>
      <c r="R225" s="212" t="s">
        <v>23</v>
      </c>
      <c r="S225" s="213">
        <v>0.83333333333333337</v>
      </c>
      <c r="T225" s="13">
        <v>85</v>
      </c>
      <c r="U225" s="211" t="s">
        <v>83</v>
      </c>
      <c r="V225" s="13">
        <v>1</v>
      </c>
      <c r="W225" s="13" t="s">
        <v>2417</v>
      </c>
      <c r="X225" s="13" t="s">
        <v>1924</v>
      </c>
      <c r="Y225" s="13" t="s">
        <v>2073</v>
      </c>
      <c r="Z225" s="13" t="s">
        <v>2073</v>
      </c>
      <c r="AA225" s="13" t="s">
        <v>2073</v>
      </c>
      <c r="AB225" s="13" t="s">
        <v>1924</v>
      </c>
      <c r="AC225" s="211" t="s">
        <v>2415</v>
      </c>
      <c r="AD225" s="13" t="s">
        <v>2416</v>
      </c>
      <c r="AE225" s="69" t="s">
        <v>1119</v>
      </c>
      <c r="AF225" s="13" t="s">
        <v>2418</v>
      </c>
      <c r="AG225" s="13" t="s">
        <v>2419</v>
      </c>
      <c r="AH225" s="13" t="s">
        <v>2420</v>
      </c>
      <c r="AI225" s="13" t="s">
        <v>2421</v>
      </c>
      <c r="AJ225" s="13" t="s">
        <v>2422</v>
      </c>
      <c r="AK225" s="13" t="s">
        <v>2416</v>
      </c>
      <c r="AL225" s="13" t="s">
        <v>2077</v>
      </c>
      <c r="AM225" s="13" t="s">
        <v>2077</v>
      </c>
      <c r="AN225" s="13" t="s">
        <v>2077</v>
      </c>
      <c r="AO225" s="13" t="s">
        <v>2077</v>
      </c>
      <c r="AP225" s="13" t="s">
        <v>2077</v>
      </c>
      <c r="AQ225" s="13" t="s">
        <v>2077</v>
      </c>
      <c r="AR225" s="13" t="s">
        <v>2418</v>
      </c>
      <c r="AS225" s="13" t="s">
        <v>2419</v>
      </c>
      <c r="AT225" s="13" t="s">
        <v>2420</v>
      </c>
      <c r="AU225" s="13" t="s">
        <v>2421</v>
      </c>
      <c r="AV225" s="13" t="s">
        <v>2422</v>
      </c>
      <c r="AW225" s="13" t="s">
        <v>2416</v>
      </c>
      <c r="AX225" s="13" t="s">
        <v>2073</v>
      </c>
      <c r="AY225" s="13" t="s">
        <v>2073</v>
      </c>
      <c r="AZ225" s="13" t="s">
        <v>2073</v>
      </c>
      <c r="BA225" s="13" t="s">
        <v>2073</v>
      </c>
      <c r="BB225" s="13" t="s">
        <v>2073</v>
      </c>
      <c r="BC225" s="13" t="s">
        <v>2073</v>
      </c>
    </row>
    <row r="226" spans="1:55" ht="15.75" customHeight="1">
      <c r="A226" s="13">
        <v>2000</v>
      </c>
      <c r="B226" s="7" t="s">
        <v>1122</v>
      </c>
      <c r="C226" s="211" t="s">
        <v>2412</v>
      </c>
      <c r="D226" s="13" t="s">
        <v>1121</v>
      </c>
      <c r="E226" s="13" t="s">
        <v>1013</v>
      </c>
      <c r="F226" s="211" t="s">
        <v>2413</v>
      </c>
      <c r="G226" s="13" t="s">
        <v>2414</v>
      </c>
      <c r="H226" s="13" t="s">
        <v>2077</v>
      </c>
      <c r="I226" s="13" t="s">
        <v>2077</v>
      </c>
      <c r="J226" s="13" t="s">
        <v>2077</v>
      </c>
      <c r="K226" s="13" t="s">
        <v>2077</v>
      </c>
      <c r="L226" s="13" t="s">
        <v>2077</v>
      </c>
      <c r="M226" s="13" t="s">
        <v>2077</v>
      </c>
      <c r="N226" s="211" t="s">
        <v>2415</v>
      </c>
      <c r="O226" s="13" t="s">
        <v>2416</v>
      </c>
      <c r="P226" s="69" t="str">
        <f t="shared" ref="P226:Q226" si="222">D226</f>
        <v>SG PACKING A3</v>
      </c>
      <c r="Q226" s="13" t="str">
        <f t="shared" si="222"/>
        <v>3GT</v>
      </c>
      <c r="R226" s="212" t="s">
        <v>23</v>
      </c>
      <c r="S226" s="213">
        <v>0.83333333333333337</v>
      </c>
      <c r="T226" s="13">
        <v>85</v>
      </c>
      <c r="U226" s="211" t="s">
        <v>83</v>
      </c>
      <c r="V226" s="13">
        <v>1</v>
      </c>
      <c r="W226" s="13" t="s">
        <v>2417</v>
      </c>
      <c r="X226" s="13" t="s">
        <v>1924</v>
      </c>
      <c r="Y226" s="13" t="s">
        <v>2073</v>
      </c>
      <c r="Z226" s="13" t="s">
        <v>2073</v>
      </c>
      <c r="AA226" s="13" t="s">
        <v>2073</v>
      </c>
      <c r="AB226" s="13" t="s">
        <v>1924</v>
      </c>
      <c r="AC226" s="211" t="s">
        <v>2415</v>
      </c>
      <c r="AD226" s="13" t="s">
        <v>2416</v>
      </c>
      <c r="AE226" s="69" t="s">
        <v>1123</v>
      </c>
      <c r="AF226" s="13" t="s">
        <v>2418</v>
      </c>
      <c r="AG226" s="13" t="s">
        <v>2419</v>
      </c>
      <c r="AH226" s="13" t="s">
        <v>2420</v>
      </c>
      <c r="AI226" s="13" t="s">
        <v>2421</v>
      </c>
      <c r="AJ226" s="13" t="s">
        <v>2422</v>
      </c>
      <c r="AK226" s="13" t="s">
        <v>2416</v>
      </c>
      <c r="AL226" s="13" t="s">
        <v>2077</v>
      </c>
      <c r="AM226" s="13" t="s">
        <v>2077</v>
      </c>
      <c r="AN226" s="13" t="s">
        <v>2077</v>
      </c>
      <c r="AO226" s="13" t="s">
        <v>2077</v>
      </c>
      <c r="AP226" s="13" t="s">
        <v>2077</v>
      </c>
      <c r="AQ226" s="13" t="s">
        <v>2077</v>
      </c>
      <c r="AR226" s="13" t="s">
        <v>2418</v>
      </c>
      <c r="AS226" s="13" t="s">
        <v>2419</v>
      </c>
      <c r="AT226" s="13" t="s">
        <v>2420</v>
      </c>
      <c r="AU226" s="13" t="s">
        <v>2421</v>
      </c>
      <c r="AV226" s="13" t="s">
        <v>2422</v>
      </c>
      <c r="AW226" s="13" t="s">
        <v>2416</v>
      </c>
      <c r="AX226" s="13" t="s">
        <v>2073</v>
      </c>
      <c r="AY226" s="13" t="s">
        <v>2073</v>
      </c>
      <c r="AZ226" s="13" t="s">
        <v>2073</v>
      </c>
      <c r="BA226" s="13" t="s">
        <v>2073</v>
      </c>
      <c r="BB226" s="13" t="s">
        <v>2073</v>
      </c>
      <c r="BC226" s="13" t="s">
        <v>2073</v>
      </c>
    </row>
    <row r="227" spans="1:55" ht="15.75" customHeight="1">
      <c r="A227" s="13">
        <v>2000</v>
      </c>
      <c r="B227" s="7" t="s">
        <v>1126</v>
      </c>
      <c r="C227" s="211" t="s">
        <v>2412</v>
      </c>
      <c r="D227" s="13" t="s">
        <v>1125</v>
      </c>
      <c r="E227" s="13" t="s">
        <v>1013</v>
      </c>
      <c r="F227" s="211" t="s">
        <v>2413</v>
      </c>
      <c r="G227" s="13" t="s">
        <v>2414</v>
      </c>
      <c r="H227" s="13" t="s">
        <v>2077</v>
      </c>
      <c r="I227" s="13" t="s">
        <v>2077</v>
      </c>
      <c r="J227" s="13" t="s">
        <v>2077</v>
      </c>
      <c r="K227" s="13" t="s">
        <v>2077</v>
      </c>
      <c r="L227" s="13" t="s">
        <v>2077</v>
      </c>
      <c r="M227" s="13" t="s">
        <v>2077</v>
      </c>
      <c r="N227" s="211" t="s">
        <v>2415</v>
      </c>
      <c r="O227" s="13" t="s">
        <v>2416</v>
      </c>
      <c r="P227" s="69" t="str">
        <f t="shared" ref="P227:Q227" si="223">D227</f>
        <v>SG PACKING A4</v>
      </c>
      <c r="Q227" s="13" t="str">
        <f t="shared" si="223"/>
        <v>3GT</v>
      </c>
      <c r="R227" s="212" t="s">
        <v>23</v>
      </c>
      <c r="S227" s="213">
        <v>0.83333333333333337</v>
      </c>
      <c r="T227" s="13">
        <v>85</v>
      </c>
      <c r="U227" s="211" t="s">
        <v>83</v>
      </c>
      <c r="V227" s="13">
        <v>1</v>
      </c>
      <c r="W227" s="13" t="s">
        <v>2417</v>
      </c>
      <c r="X227" s="13" t="s">
        <v>1924</v>
      </c>
      <c r="Y227" s="13" t="s">
        <v>2073</v>
      </c>
      <c r="Z227" s="13" t="s">
        <v>2073</v>
      </c>
      <c r="AA227" s="13" t="s">
        <v>2073</v>
      </c>
      <c r="AB227" s="13" t="s">
        <v>1924</v>
      </c>
      <c r="AC227" s="211" t="s">
        <v>2415</v>
      </c>
      <c r="AD227" s="13" t="s">
        <v>2416</v>
      </c>
      <c r="AE227" s="69" t="s">
        <v>1123</v>
      </c>
      <c r="AF227" s="13" t="s">
        <v>2418</v>
      </c>
      <c r="AG227" s="13" t="s">
        <v>2419</v>
      </c>
      <c r="AH227" s="13" t="s">
        <v>2420</v>
      </c>
      <c r="AI227" s="13" t="s">
        <v>2421</v>
      </c>
      <c r="AJ227" s="13" t="s">
        <v>2422</v>
      </c>
      <c r="AK227" s="13" t="s">
        <v>2416</v>
      </c>
      <c r="AL227" s="13" t="s">
        <v>2077</v>
      </c>
      <c r="AM227" s="13" t="s">
        <v>2077</v>
      </c>
      <c r="AN227" s="13" t="s">
        <v>2077</v>
      </c>
      <c r="AO227" s="13" t="s">
        <v>2077</v>
      </c>
      <c r="AP227" s="13" t="s">
        <v>2077</v>
      </c>
      <c r="AQ227" s="13" t="s">
        <v>2077</v>
      </c>
      <c r="AR227" s="13" t="s">
        <v>2418</v>
      </c>
      <c r="AS227" s="13" t="s">
        <v>2419</v>
      </c>
      <c r="AT227" s="13" t="s">
        <v>2420</v>
      </c>
      <c r="AU227" s="13" t="s">
        <v>2421</v>
      </c>
      <c r="AV227" s="13" t="s">
        <v>2422</v>
      </c>
      <c r="AW227" s="13" t="s">
        <v>2416</v>
      </c>
      <c r="AX227" s="13" t="s">
        <v>2073</v>
      </c>
      <c r="AY227" s="13" t="s">
        <v>2073</v>
      </c>
      <c r="AZ227" s="13" t="s">
        <v>2073</v>
      </c>
      <c r="BA227" s="13" t="s">
        <v>2073</v>
      </c>
      <c r="BB227" s="13" t="s">
        <v>2073</v>
      </c>
      <c r="BC227" s="13" t="s">
        <v>2073</v>
      </c>
    </row>
    <row r="228" spans="1:55" ht="15.75" customHeight="1">
      <c r="A228" s="13">
        <v>2000</v>
      </c>
      <c r="B228" s="7" t="s">
        <v>1129</v>
      </c>
      <c r="C228" s="211" t="s">
        <v>2412</v>
      </c>
      <c r="D228" s="13" t="s">
        <v>1128</v>
      </c>
      <c r="E228" s="13" t="s">
        <v>1013</v>
      </c>
      <c r="F228" s="211" t="s">
        <v>2413</v>
      </c>
      <c r="G228" s="13" t="s">
        <v>2414</v>
      </c>
      <c r="H228" s="13" t="s">
        <v>2077</v>
      </c>
      <c r="I228" s="13" t="s">
        <v>2077</v>
      </c>
      <c r="J228" s="13" t="s">
        <v>2077</v>
      </c>
      <c r="K228" s="13" t="s">
        <v>2077</v>
      </c>
      <c r="L228" s="13" t="s">
        <v>2077</v>
      </c>
      <c r="M228" s="13" t="s">
        <v>2077</v>
      </c>
      <c r="N228" s="211" t="s">
        <v>2415</v>
      </c>
      <c r="O228" s="13" t="s">
        <v>2416</v>
      </c>
      <c r="P228" s="69" t="str">
        <f t="shared" ref="P228:Q228" si="224">D228</f>
        <v>SG PACKING A5</v>
      </c>
      <c r="Q228" s="13" t="str">
        <f t="shared" si="224"/>
        <v>3GT</v>
      </c>
      <c r="R228" s="212" t="s">
        <v>23</v>
      </c>
      <c r="S228" s="213">
        <v>0.83333333333333337</v>
      </c>
      <c r="T228" s="13">
        <v>85</v>
      </c>
      <c r="U228" s="211" t="s">
        <v>83</v>
      </c>
      <c r="V228" s="13">
        <v>1</v>
      </c>
      <c r="W228" s="13" t="s">
        <v>2417</v>
      </c>
      <c r="X228" s="13" t="s">
        <v>1924</v>
      </c>
      <c r="Y228" s="13" t="s">
        <v>2073</v>
      </c>
      <c r="Z228" s="13" t="s">
        <v>2073</v>
      </c>
      <c r="AA228" s="13" t="s">
        <v>2073</v>
      </c>
      <c r="AB228" s="13" t="s">
        <v>1924</v>
      </c>
      <c r="AC228" s="211" t="s">
        <v>2415</v>
      </c>
      <c r="AD228" s="13" t="s">
        <v>2416</v>
      </c>
      <c r="AE228" s="69">
        <v>1112053204</v>
      </c>
      <c r="AF228" s="13" t="s">
        <v>2418</v>
      </c>
      <c r="AG228" s="13" t="s">
        <v>2419</v>
      </c>
      <c r="AH228" s="13" t="s">
        <v>2420</v>
      </c>
      <c r="AI228" s="13" t="s">
        <v>2421</v>
      </c>
      <c r="AJ228" s="13" t="s">
        <v>2422</v>
      </c>
      <c r="AK228" s="13" t="s">
        <v>2416</v>
      </c>
      <c r="AL228" s="13" t="s">
        <v>2077</v>
      </c>
      <c r="AM228" s="13" t="s">
        <v>2077</v>
      </c>
      <c r="AN228" s="13" t="s">
        <v>2077</v>
      </c>
      <c r="AO228" s="13" t="s">
        <v>2077</v>
      </c>
      <c r="AP228" s="13" t="s">
        <v>2077</v>
      </c>
      <c r="AQ228" s="13" t="s">
        <v>2077</v>
      </c>
      <c r="AR228" s="13" t="s">
        <v>2418</v>
      </c>
      <c r="AS228" s="13" t="s">
        <v>2419</v>
      </c>
      <c r="AT228" s="13" t="s">
        <v>2420</v>
      </c>
      <c r="AU228" s="13" t="s">
        <v>2421</v>
      </c>
      <c r="AV228" s="13" t="s">
        <v>2422</v>
      </c>
      <c r="AW228" s="13" t="s">
        <v>2416</v>
      </c>
      <c r="AX228" s="13" t="s">
        <v>2073</v>
      </c>
      <c r="AY228" s="13" t="s">
        <v>2073</v>
      </c>
      <c r="AZ228" s="13" t="s">
        <v>2073</v>
      </c>
      <c r="BA228" s="13" t="s">
        <v>2073</v>
      </c>
      <c r="BB228" s="13" t="s">
        <v>2073</v>
      </c>
      <c r="BC228" s="13" t="s">
        <v>2073</v>
      </c>
    </row>
    <row r="229" spans="1:55" ht="15.75" customHeight="1">
      <c r="A229" s="13">
        <v>2000</v>
      </c>
      <c r="B229" s="7" t="s">
        <v>1132</v>
      </c>
      <c r="C229" s="211" t="s">
        <v>2412</v>
      </c>
      <c r="D229" s="13" t="s">
        <v>1131</v>
      </c>
      <c r="E229" s="13" t="s">
        <v>1013</v>
      </c>
      <c r="F229" s="211" t="s">
        <v>2413</v>
      </c>
      <c r="G229" s="13" t="s">
        <v>2414</v>
      </c>
      <c r="H229" s="13" t="s">
        <v>2077</v>
      </c>
      <c r="I229" s="13" t="s">
        <v>2077</v>
      </c>
      <c r="J229" s="13" t="s">
        <v>2077</v>
      </c>
      <c r="K229" s="13" t="s">
        <v>2077</v>
      </c>
      <c r="L229" s="13" t="s">
        <v>2077</v>
      </c>
      <c r="M229" s="13" t="s">
        <v>2077</v>
      </c>
      <c r="N229" s="211" t="s">
        <v>2415</v>
      </c>
      <c r="O229" s="13" t="s">
        <v>2416</v>
      </c>
      <c r="P229" s="69" t="str">
        <f t="shared" ref="P229:Q229" si="225">D229</f>
        <v>SG PACKING B1</v>
      </c>
      <c r="Q229" s="13" t="str">
        <f t="shared" si="225"/>
        <v>3GT</v>
      </c>
      <c r="R229" s="212" t="s">
        <v>23</v>
      </c>
      <c r="S229" s="213">
        <v>0.83333333333333337</v>
      </c>
      <c r="T229" s="13">
        <v>85</v>
      </c>
      <c r="U229" s="211" t="s">
        <v>83</v>
      </c>
      <c r="V229" s="13">
        <v>1</v>
      </c>
      <c r="W229" s="13" t="s">
        <v>2417</v>
      </c>
      <c r="X229" s="13" t="s">
        <v>1924</v>
      </c>
      <c r="Y229" s="13" t="s">
        <v>2073</v>
      </c>
      <c r="Z229" s="13" t="s">
        <v>2073</v>
      </c>
      <c r="AA229" s="13" t="s">
        <v>2073</v>
      </c>
      <c r="AB229" s="13" t="s">
        <v>1924</v>
      </c>
      <c r="AC229" s="211" t="s">
        <v>2415</v>
      </c>
      <c r="AD229" s="13" t="s">
        <v>2416</v>
      </c>
      <c r="AE229" s="69">
        <v>1112053301</v>
      </c>
      <c r="AF229" s="13" t="s">
        <v>2418</v>
      </c>
      <c r="AG229" s="13" t="s">
        <v>2419</v>
      </c>
      <c r="AH229" s="13" t="s">
        <v>2420</v>
      </c>
      <c r="AI229" s="13" t="s">
        <v>2421</v>
      </c>
      <c r="AJ229" s="13" t="s">
        <v>2422</v>
      </c>
      <c r="AK229" s="13" t="s">
        <v>2416</v>
      </c>
      <c r="AL229" s="13" t="s">
        <v>2077</v>
      </c>
      <c r="AM229" s="13" t="s">
        <v>2077</v>
      </c>
      <c r="AN229" s="13" t="s">
        <v>2077</v>
      </c>
      <c r="AO229" s="13" t="s">
        <v>2077</v>
      </c>
      <c r="AP229" s="13" t="s">
        <v>2077</v>
      </c>
      <c r="AQ229" s="13" t="s">
        <v>2077</v>
      </c>
      <c r="AR229" s="13" t="s">
        <v>2418</v>
      </c>
      <c r="AS229" s="13" t="s">
        <v>2419</v>
      </c>
      <c r="AT229" s="13" t="s">
        <v>2420</v>
      </c>
      <c r="AU229" s="13" t="s">
        <v>2421</v>
      </c>
      <c r="AV229" s="13" t="s">
        <v>2422</v>
      </c>
      <c r="AW229" s="13" t="s">
        <v>2416</v>
      </c>
      <c r="AX229" s="13" t="s">
        <v>2073</v>
      </c>
      <c r="AY229" s="13" t="s">
        <v>2073</v>
      </c>
      <c r="AZ229" s="13" t="s">
        <v>2073</v>
      </c>
      <c r="BA229" s="13" t="s">
        <v>2073</v>
      </c>
      <c r="BB229" s="13" t="s">
        <v>2073</v>
      </c>
      <c r="BC229" s="13" t="s">
        <v>2073</v>
      </c>
    </row>
    <row r="230" spans="1:55" ht="15.75" customHeight="1">
      <c r="A230" s="13">
        <v>2000</v>
      </c>
      <c r="B230" s="7" t="s">
        <v>1136</v>
      </c>
      <c r="C230" s="211" t="s">
        <v>2412</v>
      </c>
      <c r="D230" s="13" t="s">
        <v>1137</v>
      </c>
      <c r="E230" s="13" t="s">
        <v>1140</v>
      </c>
      <c r="F230" s="211" t="s">
        <v>2413</v>
      </c>
      <c r="G230" s="13" t="s">
        <v>2414</v>
      </c>
      <c r="H230" s="13" t="s">
        <v>2077</v>
      </c>
      <c r="I230" s="13" t="s">
        <v>2077</v>
      </c>
      <c r="J230" s="13" t="s">
        <v>2077</v>
      </c>
      <c r="K230" s="13" t="s">
        <v>2077</v>
      </c>
      <c r="L230" s="13" t="s">
        <v>2077</v>
      </c>
      <c r="M230" s="13" t="s">
        <v>2077</v>
      </c>
      <c r="N230" s="211" t="s">
        <v>2415</v>
      </c>
      <c r="O230" s="13" t="s">
        <v>2416</v>
      </c>
      <c r="P230" s="69" t="str">
        <f t="shared" ref="P230:Q230" si="226">D230</f>
        <v>MF PREPARATION</v>
      </c>
      <c r="Q230" s="13" t="str">
        <f t="shared" si="226"/>
        <v>3C1</v>
      </c>
      <c r="R230" s="212" t="s">
        <v>23</v>
      </c>
      <c r="S230" s="213">
        <v>0.97916666666666663</v>
      </c>
      <c r="T230" s="13">
        <v>85</v>
      </c>
      <c r="U230" s="211" t="s">
        <v>83</v>
      </c>
      <c r="V230" s="13">
        <v>1</v>
      </c>
      <c r="W230" s="13" t="s">
        <v>2417</v>
      </c>
      <c r="X230" s="13" t="s">
        <v>1924</v>
      </c>
      <c r="Y230" s="13" t="s">
        <v>2073</v>
      </c>
      <c r="Z230" s="13" t="s">
        <v>2073</v>
      </c>
      <c r="AA230" s="13" t="s">
        <v>2073</v>
      </c>
      <c r="AB230" s="13" t="s">
        <v>1924</v>
      </c>
      <c r="AC230" s="211" t="s">
        <v>2415</v>
      </c>
      <c r="AD230" s="13" t="s">
        <v>2416</v>
      </c>
      <c r="AE230" s="69" t="s">
        <v>1138</v>
      </c>
      <c r="AF230" s="13" t="s">
        <v>2418</v>
      </c>
      <c r="AG230" s="13" t="s">
        <v>2419</v>
      </c>
      <c r="AH230" s="13" t="s">
        <v>2420</v>
      </c>
      <c r="AI230" s="13" t="s">
        <v>2421</v>
      </c>
      <c r="AJ230" s="13" t="s">
        <v>2422</v>
      </c>
      <c r="AK230" s="13" t="s">
        <v>2416</v>
      </c>
      <c r="AL230" s="13" t="s">
        <v>2077</v>
      </c>
      <c r="AM230" s="13" t="s">
        <v>2077</v>
      </c>
      <c r="AN230" s="13" t="s">
        <v>2077</v>
      </c>
      <c r="AO230" s="13" t="s">
        <v>2077</v>
      </c>
      <c r="AP230" s="13" t="s">
        <v>2077</v>
      </c>
      <c r="AQ230" s="13" t="s">
        <v>2077</v>
      </c>
      <c r="AR230" s="13" t="s">
        <v>2418</v>
      </c>
      <c r="AS230" s="13" t="s">
        <v>2419</v>
      </c>
      <c r="AT230" s="13" t="s">
        <v>2420</v>
      </c>
      <c r="AU230" s="13" t="s">
        <v>2421</v>
      </c>
      <c r="AV230" s="13" t="s">
        <v>2422</v>
      </c>
      <c r="AW230" s="13" t="s">
        <v>2416</v>
      </c>
      <c r="AX230" s="13" t="s">
        <v>2073</v>
      </c>
      <c r="AY230" s="13" t="s">
        <v>2073</v>
      </c>
      <c r="AZ230" s="13" t="s">
        <v>2073</v>
      </c>
      <c r="BA230" s="13" t="s">
        <v>2073</v>
      </c>
      <c r="BB230" s="13" t="s">
        <v>2073</v>
      </c>
      <c r="BC230" s="13" t="s">
        <v>2073</v>
      </c>
    </row>
    <row r="231" spans="1:55" ht="15.75" customHeight="1">
      <c r="A231" s="13">
        <v>2000</v>
      </c>
      <c r="B231" s="7" t="s">
        <v>1143</v>
      </c>
      <c r="C231" s="211" t="s">
        <v>2412</v>
      </c>
      <c r="D231" s="13" t="s">
        <v>1144</v>
      </c>
      <c r="E231" s="13" t="s">
        <v>1140</v>
      </c>
      <c r="F231" s="211" t="s">
        <v>2413</v>
      </c>
      <c r="G231" s="13" t="s">
        <v>2414</v>
      </c>
      <c r="H231" s="13" t="s">
        <v>2077</v>
      </c>
      <c r="I231" s="13" t="s">
        <v>2077</v>
      </c>
      <c r="J231" s="13" t="s">
        <v>2077</v>
      </c>
      <c r="K231" s="13" t="s">
        <v>2077</v>
      </c>
      <c r="L231" s="13" t="s">
        <v>2077</v>
      </c>
      <c r="M231" s="13" t="s">
        <v>2077</v>
      </c>
      <c r="N231" s="211" t="s">
        <v>2415</v>
      </c>
      <c r="O231" s="13" t="s">
        <v>2416</v>
      </c>
      <c r="P231" s="69" t="str">
        <f t="shared" ref="P231:Q231" si="227">D231</f>
        <v>MF CUTTING 2D 1</v>
      </c>
      <c r="Q231" s="13" t="str">
        <f t="shared" si="227"/>
        <v>3C1</v>
      </c>
      <c r="R231" s="212" t="s">
        <v>23</v>
      </c>
      <c r="S231" s="213">
        <v>0.97916666666666663</v>
      </c>
      <c r="T231" s="13">
        <v>85</v>
      </c>
      <c r="U231" s="211" t="s">
        <v>83</v>
      </c>
      <c r="V231" s="13">
        <v>1</v>
      </c>
      <c r="W231" s="13" t="s">
        <v>2417</v>
      </c>
      <c r="X231" s="13" t="s">
        <v>1924</v>
      </c>
      <c r="Y231" s="13" t="s">
        <v>2073</v>
      </c>
      <c r="Z231" s="13" t="s">
        <v>2073</v>
      </c>
      <c r="AA231" s="13" t="s">
        <v>2073</v>
      </c>
      <c r="AB231" s="13" t="s">
        <v>1924</v>
      </c>
      <c r="AC231" s="211" t="s">
        <v>2415</v>
      </c>
      <c r="AD231" s="13" t="s">
        <v>2416</v>
      </c>
      <c r="AE231" s="69">
        <v>1112012002</v>
      </c>
      <c r="AF231" s="13" t="s">
        <v>2418</v>
      </c>
      <c r="AG231" s="13" t="s">
        <v>2419</v>
      </c>
      <c r="AH231" s="13" t="s">
        <v>2420</v>
      </c>
      <c r="AI231" s="13" t="s">
        <v>2421</v>
      </c>
      <c r="AJ231" s="13" t="s">
        <v>2422</v>
      </c>
      <c r="AK231" s="13" t="s">
        <v>2416</v>
      </c>
      <c r="AL231" s="13" t="s">
        <v>2077</v>
      </c>
      <c r="AM231" s="13" t="s">
        <v>2077</v>
      </c>
      <c r="AN231" s="13" t="s">
        <v>2077</v>
      </c>
      <c r="AO231" s="13" t="s">
        <v>2077</v>
      </c>
      <c r="AP231" s="13" t="s">
        <v>2077</v>
      </c>
      <c r="AQ231" s="13" t="s">
        <v>2077</v>
      </c>
      <c r="AR231" s="13" t="s">
        <v>2418</v>
      </c>
      <c r="AS231" s="13" t="s">
        <v>2419</v>
      </c>
      <c r="AT231" s="13" t="s">
        <v>2420</v>
      </c>
      <c r="AU231" s="13" t="s">
        <v>2421</v>
      </c>
      <c r="AV231" s="13" t="s">
        <v>2422</v>
      </c>
      <c r="AW231" s="13" t="s">
        <v>2416</v>
      </c>
      <c r="AX231" s="13" t="s">
        <v>2073</v>
      </c>
      <c r="AY231" s="13" t="s">
        <v>2073</v>
      </c>
      <c r="AZ231" s="13" t="s">
        <v>2073</v>
      </c>
      <c r="BA231" s="13" t="s">
        <v>2073</v>
      </c>
      <c r="BB231" s="13" t="s">
        <v>2073</v>
      </c>
      <c r="BC231" s="13" t="s">
        <v>2073</v>
      </c>
    </row>
    <row r="232" spans="1:55" ht="15.75" customHeight="1">
      <c r="A232" s="13">
        <v>2000</v>
      </c>
      <c r="B232" s="7" t="s">
        <v>1147</v>
      </c>
      <c r="C232" s="211" t="s">
        <v>2412</v>
      </c>
      <c r="D232" s="13" t="s">
        <v>1148</v>
      </c>
      <c r="E232" s="13" t="s">
        <v>1140</v>
      </c>
      <c r="F232" s="211" t="s">
        <v>2413</v>
      </c>
      <c r="G232" s="13" t="s">
        <v>2414</v>
      </c>
      <c r="H232" s="13" t="s">
        <v>2077</v>
      </c>
      <c r="I232" s="13" t="s">
        <v>2077</v>
      </c>
      <c r="J232" s="13" t="s">
        <v>2077</v>
      </c>
      <c r="K232" s="13" t="s">
        <v>2077</v>
      </c>
      <c r="L232" s="13" t="s">
        <v>2077</v>
      </c>
      <c r="M232" s="13" t="s">
        <v>2077</v>
      </c>
      <c r="N232" s="211" t="s">
        <v>2415</v>
      </c>
      <c r="O232" s="13" t="s">
        <v>2416</v>
      </c>
      <c r="P232" s="69" t="str">
        <f t="shared" ref="P232:Q232" si="228">D232</f>
        <v>MF CUTTING 2D 2</v>
      </c>
      <c r="Q232" s="13" t="str">
        <f t="shared" si="228"/>
        <v>3C1</v>
      </c>
      <c r="R232" s="212" t="s">
        <v>23</v>
      </c>
      <c r="S232" s="213">
        <v>0.97916666666666663</v>
      </c>
      <c r="T232" s="13">
        <v>85</v>
      </c>
      <c r="U232" s="211" t="s">
        <v>83</v>
      </c>
      <c r="V232" s="13">
        <v>1</v>
      </c>
      <c r="W232" s="13" t="s">
        <v>2417</v>
      </c>
      <c r="X232" s="13" t="s">
        <v>1924</v>
      </c>
      <c r="Y232" s="13" t="s">
        <v>2073</v>
      </c>
      <c r="Z232" s="13" t="s">
        <v>2073</v>
      </c>
      <c r="AA232" s="13" t="s">
        <v>2073</v>
      </c>
      <c r="AB232" s="13" t="s">
        <v>1924</v>
      </c>
      <c r="AC232" s="211" t="s">
        <v>2415</v>
      </c>
      <c r="AD232" s="13" t="s">
        <v>2416</v>
      </c>
      <c r="AE232" s="69">
        <v>1112012003</v>
      </c>
      <c r="AF232" s="13" t="s">
        <v>2418</v>
      </c>
      <c r="AG232" s="13" t="s">
        <v>2419</v>
      </c>
      <c r="AH232" s="13" t="s">
        <v>2420</v>
      </c>
      <c r="AI232" s="13" t="s">
        <v>2421</v>
      </c>
      <c r="AJ232" s="13" t="s">
        <v>2422</v>
      </c>
      <c r="AK232" s="13" t="s">
        <v>2416</v>
      </c>
      <c r="AL232" s="13" t="s">
        <v>2077</v>
      </c>
      <c r="AM232" s="13" t="s">
        <v>2077</v>
      </c>
      <c r="AN232" s="13" t="s">
        <v>2077</v>
      </c>
      <c r="AO232" s="13" t="s">
        <v>2077</v>
      </c>
      <c r="AP232" s="13" t="s">
        <v>2077</v>
      </c>
      <c r="AQ232" s="13" t="s">
        <v>2077</v>
      </c>
      <c r="AR232" s="13" t="s">
        <v>2418</v>
      </c>
      <c r="AS232" s="13" t="s">
        <v>2419</v>
      </c>
      <c r="AT232" s="13" t="s">
        <v>2420</v>
      </c>
      <c r="AU232" s="13" t="s">
        <v>2421</v>
      </c>
      <c r="AV232" s="13" t="s">
        <v>2422</v>
      </c>
      <c r="AW232" s="13" t="s">
        <v>2416</v>
      </c>
      <c r="AX232" s="13" t="s">
        <v>2073</v>
      </c>
      <c r="AY232" s="13" t="s">
        <v>2073</v>
      </c>
      <c r="AZ232" s="13" t="s">
        <v>2073</v>
      </c>
      <c r="BA232" s="13" t="s">
        <v>2073</v>
      </c>
      <c r="BB232" s="13" t="s">
        <v>2073</v>
      </c>
      <c r="BC232" s="13" t="s">
        <v>2073</v>
      </c>
    </row>
    <row r="233" spans="1:55" ht="15.75" customHeight="1">
      <c r="A233" s="13">
        <v>2000</v>
      </c>
      <c r="B233" s="7" t="s">
        <v>1151</v>
      </c>
      <c r="C233" s="211" t="s">
        <v>2412</v>
      </c>
      <c r="D233" s="13" t="s">
        <v>1152</v>
      </c>
      <c r="E233" s="13" t="s">
        <v>1140</v>
      </c>
      <c r="F233" s="211" t="s">
        <v>2413</v>
      </c>
      <c r="G233" s="13" t="s">
        <v>2414</v>
      </c>
      <c r="H233" s="13" t="s">
        <v>2077</v>
      </c>
      <c r="I233" s="13" t="s">
        <v>2077</v>
      </c>
      <c r="J233" s="13" t="s">
        <v>2077</v>
      </c>
      <c r="K233" s="13" t="s">
        <v>2077</v>
      </c>
      <c r="L233" s="13" t="s">
        <v>2077</v>
      </c>
      <c r="M233" s="13" t="s">
        <v>2077</v>
      </c>
      <c r="N233" s="211" t="s">
        <v>2415</v>
      </c>
      <c r="O233" s="13" t="s">
        <v>2416</v>
      </c>
      <c r="P233" s="69" t="str">
        <f t="shared" ref="P233:Q233" si="229">D233</f>
        <v>MF CUTTING 3D 1</v>
      </c>
      <c r="Q233" s="13" t="str">
        <f t="shared" si="229"/>
        <v>3C1</v>
      </c>
      <c r="R233" s="212" t="s">
        <v>23</v>
      </c>
      <c r="S233" s="213">
        <v>0.97916666666666663</v>
      </c>
      <c r="T233" s="13">
        <v>85</v>
      </c>
      <c r="U233" s="211" t="s">
        <v>83</v>
      </c>
      <c r="V233" s="13">
        <v>1</v>
      </c>
      <c r="W233" s="13" t="s">
        <v>2417</v>
      </c>
      <c r="X233" s="13" t="s">
        <v>1924</v>
      </c>
      <c r="Y233" s="13" t="s">
        <v>2073</v>
      </c>
      <c r="Z233" s="13" t="s">
        <v>2073</v>
      </c>
      <c r="AA233" s="13" t="s">
        <v>2073</v>
      </c>
      <c r="AB233" s="13" t="s">
        <v>1924</v>
      </c>
      <c r="AC233" s="211" t="s">
        <v>2415</v>
      </c>
      <c r="AD233" s="13" t="s">
        <v>2416</v>
      </c>
      <c r="AE233" s="69">
        <v>1112012004</v>
      </c>
      <c r="AF233" s="13" t="s">
        <v>2418</v>
      </c>
      <c r="AG233" s="13" t="s">
        <v>2419</v>
      </c>
      <c r="AH233" s="13" t="s">
        <v>2420</v>
      </c>
      <c r="AI233" s="13" t="s">
        <v>2421</v>
      </c>
      <c r="AJ233" s="13" t="s">
        <v>2422</v>
      </c>
      <c r="AK233" s="13" t="s">
        <v>2416</v>
      </c>
      <c r="AL233" s="13" t="s">
        <v>2077</v>
      </c>
      <c r="AM233" s="13" t="s">
        <v>2077</v>
      </c>
      <c r="AN233" s="13" t="s">
        <v>2077</v>
      </c>
      <c r="AO233" s="13" t="s">
        <v>2077</v>
      </c>
      <c r="AP233" s="13" t="s">
        <v>2077</v>
      </c>
      <c r="AQ233" s="13" t="s">
        <v>2077</v>
      </c>
      <c r="AR233" s="13" t="s">
        <v>2418</v>
      </c>
      <c r="AS233" s="13" t="s">
        <v>2419</v>
      </c>
      <c r="AT233" s="13" t="s">
        <v>2420</v>
      </c>
      <c r="AU233" s="13" t="s">
        <v>2421</v>
      </c>
      <c r="AV233" s="13" t="s">
        <v>2422</v>
      </c>
      <c r="AW233" s="13" t="s">
        <v>2416</v>
      </c>
      <c r="AX233" s="13" t="s">
        <v>2073</v>
      </c>
      <c r="AY233" s="13" t="s">
        <v>2073</v>
      </c>
      <c r="AZ233" s="13" t="s">
        <v>2073</v>
      </c>
      <c r="BA233" s="13" t="s">
        <v>2073</v>
      </c>
      <c r="BB233" s="13" t="s">
        <v>2073</v>
      </c>
      <c r="BC233" s="13" t="s">
        <v>2073</v>
      </c>
    </row>
    <row r="234" spans="1:55" ht="15.75" customHeight="1">
      <c r="A234" s="13">
        <v>2000</v>
      </c>
      <c r="B234" s="7" t="s">
        <v>1155</v>
      </c>
      <c r="C234" s="211" t="s">
        <v>2412</v>
      </c>
      <c r="D234" s="13" t="s">
        <v>1156</v>
      </c>
      <c r="E234" s="13" t="s">
        <v>1140</v>
      </c>
      <c r="F234" s="211" t="s">
        <v>2413</v>
      </c>
      <c r="G234" s="13" t="s">
        <v>2414</v>
      </c>
      <c r="H234" s="13" t="s">
        <v>2077</v>
      </c>
      <c r="I234" s="13" t="s">
        <v>2077</v>
      </c>
      <c r="J234" s="13" t="s">
        <v>2077</v>
      </c>
      <c r="K234" s="13" t="s">
        <v>2077</v>
      </c>
      <c r="L234" s="13" t="s">
        <v>2077</v>
      </c>
      <c r="M234" s="13" t="s">
        <v>2077</v>
      </c>
      <c r="N234" s="211" t="s">
        <v>2415</v>
      </c>
      <c r="O234" s="13" t="s">
        <v>2416</v>
      </c>
      <c r="P234" s="69" t="str">
        <f t="shared" ref="P234:Q234" si="230">D234</f>
        <v>MF CUTTING 3D 2</v>
      </c>
      <c r="Q234" s="13" t="str">
        <f t="shared" si="230"/>
        <v>3C1</v>
      </c>
      <c r="R234" s="212" t="s">
        <v>23</v>
      </c>
      <c r="S234" s="213">
        <v>0.97916666666666663</v>
      </c>
      <c r="T234" s="13">
        <v>85</v>
      </c>
      <c r="U234" s="211" t="s">
        <v>83</v>
      </c>
      <c r="V234" s="13">
        <v>1</v>
      </c>
      <c r="W234" s="13" t="s">
        <v>2417</v>
      </c>
      <c r="X234" s="13" t="s">
        <v>1924</v>
      </c>
      <c r="Y234" s="13" t="s">
        <v>2073</v>
      </c>
      <c r="Z234" s="13" t="s">
        <v>2073</v>
      </c>
      <c r="AA234" s="13" t="s">
        <v>2073</v>
      </c>
      <c r="AB234" s="13" t="s">
        <v>1924</v>
      </c>
      <c r="AC234" s="211" t="s">
        <v>2415</v>
      </c>
      <c r="AD234" s="13" t="s">
        <v>2416</v>
      </c>
      <c r="AE234" s="69">
        <v>1112012005</v>
      </c>
      <c r="AF234" s="13" t="s">
        <v>2418</v>
      </c>
      <c r="AG234" s="13" t="s">
        <v>2419</v>
      </c>
      <c r="AH234" s="13" t="s">
        <v>2420</v>
      </c>
      <c r="AI234" s="13" t="s">
        <v>2421</v>
      </c>
      <c r="AJ234" s="13" t="s">
        <v>2422</v>
      </c>
      <c r="AK234" s="13" t="s">
        <v>2416</v>
      </c>
      <c r="AL234" s="13" t="s">
        <v>2077</v>
      </c>
      <c r="AM234" s="13" t="s">
        <v>2077</v>
      </c>
      <c r="AN234" s="13" t="s">
        <v>2077</v>
      </c>
      <c r="AO234" s="13" t="s">
        <v>2077</v>
      </c>
      <c r="AP234" s="13" t="s">
        <v>2077</v>
      </c>
      <c r="AQ234" s="13" t="s">
        <v>2077</v>
      </c>
      <c r="AR234" s="13" t="s">
        <v>2418</v>
      </c>
      <c r="AS234" s="13" t="s">
        <v>2419</v>
      </c>
      <c r="AT234" s="13" t="s">
        <v>2420</v>
      </c>
      <c r="AU234" s="13" t="s">
        <v>2421</v>
      </c>
      <c r="AV234" s="13" t="s">
        <v>2422</v>
      </c>
      <c r="AW234" s="13" t="s">
        <v>2416</v>
      </c>
      <c r="AX234" s="13" t="s">
        <v>2073</v>
      </c>
      <c r="AY234" s="13" t="s">
        <v>2073</v>
      </c>
      <c r="AZ234" s="13" t="s">
        <v>2073</v>
      </c>
      <c r="BA234" s="13" t="s">
        <v>2073</v>
      </c>
      <c r="BB234" s="13" t="s">
        <v>2073</v>
      </c>
      <c r="BC234" s="13" t="s">
        <v>2073</v>
      </c>
    </row>
    <row r="235" spans="1:55" ht="15.75" customHeight="1">
      <c r="A235" s="13">
        <v>2000</v>
      </c>
      <c r="B235" s="7" t="s">
        <v>1159</v>
      </c>
      <c r="C235" s="211" t="s">
        <v>2412</v>
      </c>
      <c r="D235" s="13" t="s">
        <v>1160</v>
      </c>
      <c r="E235" s="13" t="s">
        <v>1140</v>
      </c>
      <c r="F235" s="211" t="s">
        <v>2413</v>
      </c>
      <c r="G235" s="13" t="s">
        <v>2414</v>
      </c>
      <c r="H235" s="13" t="s">
        <v>2077</v>
      </c>
      <c r="I235" s="13" t="s">
        <v>2077</v>
      </c>
      <c r="J235" s="13" t="s">
        <v>2077</v>
      </c>
      <c r="K235" s="13" t="s">
        <v>2077</v>
      </c>
      <c r="L235" s="13" t="s">
        <v>2077</v>
      </c>
      <c r="M235" s="13" t="s">
        <v>2077</v>
      </c>
      <c r="N235" s="211" t="s">
        <v>2415</v>
      </c>
      <c r="O235" s="13" t="s">
        <v>2416</v>
      </c>
      <c r="P235" s="69" t="str">
        <f t="shared" ref="P235:Q235" si="231">D235</f>
        <v>MF CUTTING CNC 1</v>
      </c>
      <c r="Q235" s="13" t="str">
        <f t="shared" si="231"/>
        <v>3C1</v>
      </c>
      <c r="R235" s="212" t="s">
        <v>23</v>
      </c>
      <c r="S235" s="213">
        <v>0.97916666666666663</v>
      </c>
      <c r="T235" s="13">
        <v>85</v>
      </c>
      <c r="U235" s="211" t="s">
        <v>83</v>
      </c>
      <c r="V235" s="13">
        <v>1</v>
      </c>
      <c r="W235" s="13" t="s">
        <v>2417</v>
      </c>
      <c r="X235" s="13" t="s">
        <v>1924</v>
      </c>
      <c r="Y235" s="13" t="s">
        <v>2073</v>
      </c>
      <c r="Z235" s="13" t="s">
        <v>2073</v>
      </c>
      <c r="AA235" s="13" t="s">
        <v>2073</v>
      </c>
      <c r="AB235" s="13" t="s">
        <v>1924</v>
      </c>
      <c r="AC235" s="211" t="s">
        <v>2415</v>
      </c>
      <c r="AD235" s="13" t="s">
        <v>2416</v>
      </c>
      <c r="AE235" s="69">
        <v>1112012006</v>
      </c>
      <c r="AF235" s="13" t="s">
        <v>2418</v>
      </c>
      <c r="AG235" s="13" t="s">
        <v>2419</v>
      </c>
      <c r="AH235" s="13" t="s">
        <v>2420</v>
      </c>
      <c r="AI235" s="13" t="s">
        <v>2421</v>
      </c>
      <c r="AJ235" s="13" t="s">
        <v>2422</v>
      </c>
      <c r="AK235" s="13" t="s">
        <v>2416</v>
      </c>
      <c r="AL235" s="13" t="s">
        <v>2077</v>
      </c>
      <c r="AM235" s="13" t="s">
        <v>2077</v>
      </c>
      <c r="AN235" s="13" t="s">
        <v>2077</v>
      </c>
      <c r="AO235" s="13" t="s">
        <v>2077</v>
      </c>
      <c r="AP235" s="13" t="s">
        <v>2077</v>
      </c>
      <c r="AQ235" s="13" t="s">
        <v>2077</v>
      </c>
      <c r="AR235" s="13" t="s">
        <v>2418</v>
      </c>
      <c r="AS235" s="13" t="s">
        <v>2419</v>
      </c>
      <c r="AT235" s="13" t="s">
        <v>2420</v>
      </c>
      <c r="AU235" s="13" t="s">
        <v>2421</v>
      </c>
      <c r="AV235" s="13" t="s">
        <v>2422</v>
      </c>
      <c r="AW235" s="13" t="s">
        <v>2416</v>
      </c>
      <c r="AX235" s="13" t="s">
        <v>2073</v>
      </c>
      <c r="AY235" s="13" t="s">
        <v>2073</v>
      </c>
      <c r="AZ235" s="13" t="s">
        <v>2073</v>
      </c>
      <c r="BA235" s="13" t="s">
        <v>2073</v>
      </c>
      <c r="BB235" s="13" t="s">
        <v>2073</v>
      </c>
      <c r="BC235" s="13" t="s">
        <v>2073</v>
      </c>
    </row>
    <row r="236" spans="1:55" ht="15.75" customHeight="1">
      <c r="A236" s="13">
        <v>2000</v>
      </c>
      <c r="B236" s="7" t="s">
        <v>1163</v>
      </c>
      <c r="C236" s="211" t="s">
        <v>2412</v>
      </c>
      <c r="D236" s="13" t="s">
        <v>1164</v>
      </c>
      <c r="E236" s="13" t="s">
        <v>1140</v>
      </c>
      <c r="F236" s="211" t="s">
        <v>2413</v>
      </c>
      <c r="G236" s="13" t="s">
        <v>2414</v>
      </c>
      <c r="H236" s="13" t="s">
        <v>2077</v>
      </c>
      <c r="I236" s="13" t="s">
        <v>2077</v>
      </c>
      <c r="J236" s="13" t="s">
        <v>2077</v>
      </c>
      <c r="K236" s="13" t="s">
        <v>2077</v>
      </c>
      <c r="L236" s="13" t="s">
        <v>2077</v>
      </c>
      <c r="M236" s="13" t="s">
        <v>2077</v>
      </c>
      <c r="N236" s="211" t="s">
        <v>2415</v>
      </c>
      <c r="O236" s="13" t="s">
        <v>2416</v>
      </c>
      <c r="P236" s="69" t="str">
        <f t="shared" ref="P236:Q236" si="232">D236</f>
        <v>MF MANUAL</v>
      </c>
      <c r="Q236" s="13" t="str">
        <f t="shared" si="232"/>
        <v>3C1</v>
      </c>
      <c r="R236" s="212" t="s">
        <v>23</v>
      </c>
      <c r="S236" s="213">
        <v>0.97916666666666663</v>
      </c>
      <c r="T236" s="13">
        <v>85</v>
      </c>
      <c r="U236" s="211" t="s">
        <v>83</v>
      </c>
      <c r="V236" s="13">
        <v>1</v>
      </c>
      <c r="W236" s="13" t="s">
        <v>2417</v>
      </c>
      <c r="X236" s="13" t="s">
        <v>1924</v>
      </c>
      <c r="Y236" s="13" t="s">
        <v>2073</v>
      </c>
      <c r="Z236" s="13" t="s">
        <v>2073</v>
      </c>
      <c r="AA236" s="13" t="s">
        <v>2073</v>
      </c>
      <c r="AB236" s="13" t="s">
        <v>1924</v>
      </c>
      <c r="AC236" s="211" t="s">
        <v>2415</v>
      </c>
      <c r="AD236" s="13" t="s">
        <v>2416</v>
      </c>
      <c r="AE236" s="69">
        <v>1112012001</v>
      </c>
      <c r="AF236" s="13" t="s">
        <v>2418</v>
      </c>
      <c r="AG236" s="13" t="s">
        <v>2419</v>
      </c>
      <c r="AH236" s="13" t="s">
        <v>2420</v>
      </c>
      <c r="AI236" s="13" t="s">
        <v>2421</v>
      </c>
      <c r="AJ236" s="13" t="s">
        <v>2422</v>
      </c>
      <c r="AK236" s="13" t="s">
        <v>2416</v>
      </c>
      <c r="AL236" s="13" t="s">
        <v>2077</v>
      </c>
      <c r="AM236" s="13" t="s">
        <v>2077</v>
      </c>
      <c r="AN236" s="13" t="s">
        <v>2077</v>
      </c>
      <c r="AO236" s="13" t="s">
        <v>2077</v>
      </c>
      <c r="AP236" s="13" t="s">
        <v>2077</v>
      </c>
      <c r="AQ236" s="13" t="s">
        <v>2077</v>
      </c>
      <c r="AR236" s="13" t="s">
        <v>2418</v>
      </c>
      <c r="AS236" s="13" t="s">
        <v>2419</v>
      </c>
      <c r="AT236" s="13" t="s">
        <v>2420</v>
      </c>
      <c r="AU236" s="13" t="s">
        <v>2421</v>
      </c>
      <c r="AV236" s="13" t="s">
        <v>2422</v>
      </c>
      <c r="AW236" s="13" t="s">
        <v>2416</v>
      </c>
      <c r="AX236" s="13" t="s">
        <v>2073</v>
      </c>
      <c r="AY236" s="13" t="s">
        <v>2073</v>
      </c>
      <c r="AZ236" s="13" t="s">
        <v>2073</v>
      </c>
      <c r="BA236" s="13" t="s">
        <v>2073</v>
      </c>
      <c r="BB236" s="13" t="s">
        <v>2073</v>
      </c>
      <c r="BC236" s="13" t="s">
        <v>2073</v>
      </c>
    </row>
    <row r="237" spans="1:55" ht="15.75" customHeight="1">
      <c r="A237" s="13">
        <v>2000</v>
      </c>
      <c r="B237" s="7" t="s">
        <v>1167</v>
      </c>
      <c r="C237" s="211" t="s">
        <v>2412</v>
      </c>
      <c r="D237" s="13" t="s">
        <v>1168</v>
      </c>
      <c r="E237" s="13" t="s">
        <v>1140</v>
      </c>
      <c r="F237" s="211" t="s">
        <v>2413</v>
      </c>
      <c r="G237" s="13" t="s">
        <v>2414</v>
      </c>
      <c r="H237" s="13" t="s">
        <v>2077</v>
      </c>
      <c r="I237" s="13" t="s">
        <v>2077</v>
      </c>
      <c r="J237" s="13" t="s">
        <v>2077</v>
      </c>
      <c r="K237" s="13" t="s">
        <v>2077</v>
      </c>
      <c r="L237" s="13" t="s">
        <v>2077</v>
      </c>
      <c r="M237" s="13" t="s">
        <v>2077</v>
      </c>
      <c r="N237" s="211" t="s">
        <v>2415</v>
      </c>
      <c r="O237" s="13" t="s">
        <v>2416</v>
      </c>
      <c r="P237" s="69" t="str">
        <f t="shared" ref="P237:Q237" si="233">D237</f>
        <v>MF BENDING 1</v>
      </c>
      <c r="Q237" s="13" t="str">
        <f t="shared" si="233"/>
        <v>3C1</v>
      </c>
      <c r="R237" s="212" t="s">
        <v>23</v>
      </c>
      <c r="S237" s="213">
        <v>0.97916666666666663</v>
      </c>
      <c r="T237" s="13">
        <v>85</v>
      </c>
      <c r="U237" s="211" t="s">
        <v>83</v>
      </c>
      <c r="V237" s="13">
        <v>1</v>
      </c>
      <c r="W237" s="13" t="s">
        <v>2417</v>
      </c>
      <c r="X237" s="13" t="s">
        <v>1924</v>
      </c>
      <c r="Y237" s="13" t="s">
        <v>2073</v>
      </c>
      <c r="Z237" s="13" t="s">
        <v>2073</v>
      </c>
      <c r="AA237" s="13" t="s">
        <v>2073</v>
      </c>
      <c r="AB237" s="13" t="s">
        <v>1924</v>
      </c>
      <c r="AC237" s="211" t="s">
        <v>2415</v>
      </c>
      <c r="AD237" s="13" t="s">
        <v>2416</v>
      </c>
      <c r="AE237" s="69" t="s">
        <v>1169</v>
      </c>
      <c r="AF237" s="13" t="s">
        <v>2418</v>
      </c>
      <c r="AG237" s="13" t="s">
        <v>2419</v>
      </c>
      <c r="AH237" s="13" t="s">
        <v>2420</v>
      </c>
      <c r="AI237" s="13" t="s">
        <v>2421</v>
      </c>
      <c r="AJ237" s="13" t="s">
        <v>2422</v>
      </c>
      <c r="AK237" s="13" t="s">
        <v>2416</v>
      </c>
      <c r="AL237" s="13" t="s">
        <v>2077</v>
      </c>
      <c r="AM237" s="13" t="s">
        <v>2077</v>
      </c>
      <c r="AN237" s="13" t="s">
        <v>2077</v>
      </c>
      <c r="AO237" s="13" t="s">
        <v>2077</v>
      </c>
      <c r="AP237" s="13" t="s">
        <v>2077</v>
      </c>
      <c r="AQ237" s="13" t="s">
        <v>2077</v>
      </c>
      <c r="AR237" s="13" t="s">
        <v>2418</v>
      </c>
      <c r="AS237" s="13" t="s">
        <v>2419</v>
      </c>
      <c r="AT237" s="13" t="s">
        <v>2420</v>
      </c>
      <c r="AU237" s="13" t="s">
        <v>2421</v>
      </c>
      <c r="AV237" s="13" t="s">
        <v>2422</v>
      </c>
      <c r="AW237" s="13" t="s">
        <v>2416</v>
      </c>
      <c r="AX237" s="13" t="s">
        <v>2073</v>
      </c>
      <c r="AY237" s="13" t="s">
        <v>2073</v>
      </c>
      <c r="AZ237" s="13" t="s">
        <v>2073</v>
      </c>
      <c r="BA237" s="13" t="s">
        <v>2073</v>
      </c>
      <c r="BB237" s="13" t="s">
        <v>2073</v>
      </c>
      <c r="BC237" s="13" t="s">
        <v>2073</v>
      </c>
    </row>
    <row r="238" spans="1:55" ht="15.75" customHeight="1">
      <c r="A238" s="13">
        <v>2000</v>
      </c>
      <c r="B238" s="7" t="s">
        <v>1173</v>
      </c>
      <c r="C238" s="211" t="s">
        <v>2412</v>
      </c>
      <c r="D238" s="13" t="s">
        <v>1172</v>
      </c>
      <c r="E238" s="13" t="s">
        <v>1175</v>
      </c>
      <c r="F238" s="211" t="s">
        <v>2413</v>
      </c>
      <c r="G238" s="13" t="s">
        <v>2414</v>
      </c>
      <c r="H238" s="13" t="s">
        <v>2077</v>
      </c>
      <c r="I238" s="13" t="s">
        <v>2077</v>
      </c>
      <c r="J238" s="13" t="s">
        <v>2077</v>
      </c>
      <c r="K238" s="13" t="s">
        <v>2077</v>
      </c>
      <c r="L238" s="13" t="s">
        <v>2077</v>
      </c>
      <c r="M238" s="13" t="s">
        <v>2077</v>
      </c>
      <c r="N238" s="211" t="s">
        <v>2415</v>
      </c>
      <c r="O238" s="13" t="s">
        <v>2416</v>
      </c>
      <c r="P238" s="69" t="str">
        <f t="shared" ref="P238:Q238" si="234">D238</f>
        <v>MF SUB ASSY 1</v>
      </c>
      <c r="Q238" s="13" t="str">
        <f t="shared" si="234"/>
        <v>3MF</v>
      </c>
      <c r="R238" s="212" t="s">
        <v>23</v>
      </c>
      <c r="S238" s="213">
        <v>0.64583333333333337</v>
      </c>
      <c r="T238" s="13">
        <v>85</v>
      </c>
      <c r="U238" s="211" t="s">
        <v>24</v>
      </c>
      <c r="V238" s="13">
        <v>1</v>
      </c>
      <c r="W238" s="13" t="s">
        <v>2417</v>
      </c>
      <c r="X238" s="13" t="s">
        <v>1924</v>
      </c>
      <c r="Y238" s="13" t="s">
        <v>2073</v>
      </c>
      <c r="Z238" s="13" t="s">
        <v>2073</v>
      </c>
      <c r="AA238" s="13" t="s">
        <v>2073</v>
      </c>
      <c r="AB238" s="13" t="s">
        <v>1924</v>
      </c>
      <c r="AC238" s="211" t="s">
        <v>2415</v>
      </c>
      <c r="AD238" s="13" t="s">
        <v>2416</v>
      </c>
      <c r="AE238" s="69">
        <v>1112014201</v>
      </c>
      <c r="AF238" s="13" t="s">
        <v>2418</v>
      </c>
      <c r="AG238" s="13" t="s">
        <v>2419</v>
      </c>
      <c r="AH238" s="13" t="s">
        <v>2420</v>
      </c>
      <c r="AI238" s="13" t="s">
        <v>2421</v>
      </c>
      <c r="AJ238" s="13" t="s">
        <v>2422</v>
      </c>
      <c r="AK238" s="13" t="s">
        <v>2416</v>
      </c>
      <c r="AL238" s="13" t="s">
        <v>2077</v>
      </c>
      <c r="AM238" s="13" t="s">
        <v>2077</v>
      </c>
      <c r="AN238" s="13" t="s">
        <v>2077</v>
      </c>
      <c r="AO238" s="13" t="s">
        <v>2077</v>
      </c>
      <c r="AP238" s="13" t="s">
        <v>2077</v>
      </c>
      <c r="AQ238" s="13" t="s">
        <v>2077</v>
      </c>
      <c r="AR238" s="13" t="s">
        <v>2418</v>
      </c>
      <c r="AS238" s="13" t="s">
        <v>2419</v>
      </c>
      <c r="AT238" s="13" t="s">
        <v>2420</v>
      </c>
      <c r="AU238" s="13" t="s">
        <v>2421</v>
      </c>
      <c r="AV238" s="13" t="s">
        <v>2422</v>
      </c>
      <c r="AW238" s="13" t="s">
        <v>2416</v>
      </c>
      <c r="AX238" s="13" t="s">
        <v>2073</v>
      </c>
      <c r="AY238" s="13" t="s">
        <v>2073</v>
      </c>
      <c r="AZ238" s="13" t="s">
        <v>2073</v>
      </c>
      <c r="BA238" s="13" t="s">
        <v>2073</v>
      </c>
      <c r="BB238" s="13" t="s">
        <v>2073</v>
      </c>
      <c r="BC238" s="13" t="s">
        <v>2073</v>
      </c>
    </row>
    <row r="239" spans="1:55" ht="15.75" customHeight="1">
      <c r="A239" s="13">
        <v>2000</v>
      </c>
      <c r="B239" s="7" t="s">
        <v>1178</v>
      </c>
      <c r="C239" s="211" t="s">
        <v>2412</v>
      </c>
      <c r="D239" s="13" t="s">
        <v>1177</v>
      </c>
      <c r="E239" s="13" t="s">
        <v>1175</v>
      </c>
      <c r="F239" s="211" t="s">
        <v>2413</v>
      </c>
      <c r="G239" s="13" t="s">
        <v>2414</v>
      </c>
      <c r="H239" s="13" t="s">
        <v>2077</v>
      </c>
      <c r="I239" s="13" t="s">
        <v>2077</v>
      </c>
      <c r="J239" s="13" t="s">
        <v>2077</v>
      </c>
      <c r="K239" s="13" t="s">
        <v>2077</v>
      </c>
      <c r="L239" s="13" t="s">
        <v>2077</v>
      </c>
      <c r="M239" s="13" t="s">
        <v>2077</v>
      </c>
      <c r="N239" s="211" t="s">
        <v>2415</v>
      </c>
      <c r="O239" s="13" t="s">
        <v>2416</v>
      </c>
      <c r="P239" s="69" t="str">
        <f t="shared" ref="P239:Q239" si="235">D239</f>
        <v>MF SUB ASSY 2</v>
      </c>
      <c r="Q239" s="13" t="str">
        <f t="shared" si="235"/>
        <v>3MF</v>
      </c>
      <c r="R239" s="212" t="s">
        <v>23</v>
      </c>
      <c r="S239" s="213">
        <v>0.64583333333333337</v>
      </c>
      <c r="T239" s="13">
        <v>85</v>
      </c>
      <c r="U239" s="211" t="s">
        <v>24</v>
      </c>
      <c r="V239" s="13">
        <v>1</v>
      </c>
      <c r="W239" s="13" t="s">
        <v>2417</v>
      </c>
      <c r="X239" s="13" t="s">
        <v>1924</v>
      </c>
      <c r="Y239" s="13" t="s">
        <v>2073</v>
      </c>
      <c r="Z239" s="13" t="s">
        <v>2073</v>
      </c>
      <c r="AA239" s="13" t="s">
        <v>2073</v>
      </c>
      <c r="AB239" s="13" t="s">
        <v>1924</v>
      </c>
      <c r="AC239" s="211" t="s">
        <v>2415</v>
      </c>
      <c r="AD239" s="13" t="s">
        <v>2416</v>
      </c>
      <c r="AE239" s="69">
        <v>1112014202</v>
      </c>
      <c r="AF239" s="13" t="s">
        <v>2418</v>
      </c>
      <c r="AG239" s="13" t="s">
        <v>2419</v>
      </c>
      <c r="AH239" s="13" t="s">
        <v>2420</v>
      </c>
      <c r="AI239" s="13" t="s">
        <v>2421</v>
      </c>
      <c r="AJ239" s="13" t="s">
        <v>2422</v>
      </c>
      <c r="AK239" s="13" t="s">
        <v>2416</v>
      </c>
      <c r="AL239" s="13" t="s">
        <v>2077</v>
      </c>
      <c r="AM239" s="13" t="s">
        <v>2077</v>
      </c>
      <c r="AN239" s="13" t="s">
        <v>2077</v>
      </c>
      <c r="AO239" s="13" t="s">
        <v>2077</v>
      </c>
      <c r="AP239" s="13" t="s">
        <v>2077</v>
      </c>
      <c r="AQ239" s="13" t="s">
        <v>2077</v>
      </c>
      <c r="AR239" s="13" t="s">
        <v>2418</v>
      </c>
      <c r="AS239" s="13" t="s">
        <v>2419</v>
      </c>
      <c r="AT239" s="13" t="s">
        <v>2420</v>
      </c>
      <c r="AU239" s="13" t="s">
        <v>2421</v>
      </c>
      <c r="AV239" s="13" t="s">
        <v>2422</v>
      </c>
      <c r="AW239" s="13" t="s">
        <v>2416</v>
      </c>
      <c r="AX239" s="13" t="s">
        <v>2073</v>
      </c>
      <c r="AY239" s="13" t="s">
        <v>2073</v>
      </c>
      <c r="AZ239" s="13" t="s">
        <v>2073</v>
      </c>
      <c r="BA239" s="13" t="s">
        <v>2073</v>
      </c>
      <c r="BB239" s="13" t="s">
        <v>2073</v>
      </c>
      <c r="BC239" s="13" t="s">
        <v>2073</v>
      </c>
    </row>
    <row r="240" spans="1:55" ht="15.75" customHeight="1">
      <c r="A240" s="13">
        <v>2000</v>
      </c>
      <c r="B240" s="7" t="s">
        <v>1182</v>
      </c>
      <c r="C240" s="211" t="s">
        <v>2412</v>
      </c>
      <c r="D240" s="13" t="s">
        <v>1181</v>
      </c>
      <c r="E240" s="13" t="s">
        <v>1175</v>
      </c>
      <c r="F240" s="211" t="s">
        <v>2413</v>
      </c>
      <c r="G240" s="13" t="s">
        <v>2414</v>
      </c>
      <c r="H240" s="13" t="s">
        <v>2077</v>
      </c>
      <c r="I240" s="13" t="s">
        <v>2077</v>
      </c>
      <c r="J240" s="13" t="s">
        <v>2077</v>
      </c>
      <c r="K240" s="13" t="s">
        <v>2077</v>
      </c>
      <c r="L240" s="13" t="s">
        <v>2077</v>
      </c>
      <c r="M240" s="13" t="s">
        <v>2077</v>
      </c>
      <c r="N240" s="211" t="s">
        <v>2415</v>
      </c>
      <c r="O240" s="13" t="s">
        <v>2416</v>
      </c>
      <c r="P240" s="69" t="str">
        <f t="shared" ref="P240:Q240" si="236">D240</f>
        <v>MF SUB ASSY 3</v>
      </c>
      <c r="Q240" s="13" t="str">
        <f t="shared" si="236"/>
        <v>3MF</v>
      </c>
      <c r="R240" s="212" t="s">
        <v>23</v>
      </c>
      <c r="S240" s="213">
        <v>0.97916666666666663</v>
      </c>
      <c r="T240" s="13">
        <v>85</v>
      </c>
      <c r="U240" s="211" t="s">
        <v>83</v>
      </c>
      <c r="V240" s="13">
        <v>1</v>
      </c>
      <c r="W240" s="13" t="s">
        <v>2417</v>
      </c>
      <c r="X240" s="13" t="s">
        <v>1924</v>
      </c>
      <c r="Y240" s="13" t="s">
        <v>2073</v>
      </c>
      <c r="Z240" s="13" t="s">
        <v>2073</v>
      </c>
      <c r="AA240" s="13" t="s">
        <v>2073</v>
      </c>
      <c r="AB240" s="13" t="s">
        <v>1924</v>
      </c>
      <c r="AC240" s="211" t="s">
        <v>2415</v>
      </c>
      <c r="AD240" s="13" t="s">
        <v>2416</v>
      </c>
      <c r="AE240" s="69">
        <v>1112014203</v>
      </c>
      <c r="AF240" s="13" t="s">
        <v>2418</v>
      </c>
      <c r="AG240" s="13" t="s">
        <v>2419</v>
      </c>
      <c r="AH240" s="13" t="s">
        <v>2420</v>
      </c>
      <c r="AI240" s="13" t="s">
        <v>2421</v>
      </c>
      <c r="AJ240" s="13" t="s">
        <v>2422</v>
      </c>
      <c r="AK240" s="13" t="s">
        <v>2416</v>
      </c>
      <c r="AL240" s="13" t="s">
        <v>2077</v>
      </c>
      <c r="AM240" s="13" t="s">
        <v>2077</v>
      </c>
      <c r="AN240" s="13" t="s">
        <v>2077</v>
      </c>
      <c r="AO240" s="13" t="s">
        <v>2077</v>
      </c>
      <c r="AP240" s="13" t="s">
        <v>2077</v>
      </c>
      <c r="AQ240" s="13" t="s">
        <v>2077</v>
      </c>
      <c r="AR240" s="13" t="s">
        <v>2418</v>
      </c>
      <c r="AS240" s="13" t="s">
        <v>2419</v>
      </c>
      <c r="AT240" s="13" t="s">
        <v>2420</v>
      </c>
      <c r="AU240" s="13" t="s">
        <v>2421</v>
      </c>
      <c r="AV240" s="13" t="s">
        <v>2422</v>
      </c>
      <c r="AW240" s="13" t="s">
        <v>2416</v>
      </c>
      <c r="AX240" s="13" t="s">
        <v>2073</v>
      </c>
      <c r="AY240" s="13" t="s">
        <v>2073</v>
      </c>
      <c r="AZ240" s="13" t="s">
        <v>2073</v>
      </c>
      <c r="BA240" s="13" t="s">
        <v>2073</v>
      </c>
      <c r="BB240" s="13" t="s">
        <v>2073</v>
      </c>
      <c r="BC240" s="13" t="s">
        <v>2073</v>
      </c>
    </row>
    <row r="241" spans="1:55" ht="15.75" customHeight="1">
      <c r="A241" s="13">
        <v>2000</v>
      </c>
      <c r="B241" s="7" t="s">
        <v>1186</v>
      </c>
      <c r="C241" s="211" t="s">
        <v>2412</v>
      </c>
      <c r="D241" s="13" t="s">
        <v>1185</v>
      </c>
      <c r="E241" s="13" t="s">
        <v>1175</v>
      </c>
      <c r="F241" s="211" t="s">
        <v>2413</v>
      </c>
      <c r="G241" s="13" t="s">
        <v>2414</v>
      </c>
      <c r="H241" s="13" t="s">
        <v>2077</v>
      </c>
      <c r="I241" s="13" t="s">
        <v>2077</v>
      </c>
      <c r="J241" s="13" t="s">
        <v>2077</v>
      </c>
      <c r="K241" s="13" t="s">
        <v>2077</v>
      </c>
      <c r="L241" s="13" t="s">
        <v>2077</v>
      </c>
      <c r="M241" s="13" t="s">
        <v>2077</v>
      </c>
      <c r="N241" s="211" t="s">
        <v>2415</v>
      </c>
      <c r="O241" s="13" t="s">
        <v>2416</v>
      </c>
      <c r="P241" s="69" t="str">
        <f t="shared" ref="P241:Q241" si="237">D241</f>
        <v>MF SUB ASSY 4</v>
      </c>
      <c r="Q241" s="13" t="str">
        <f t="shared" si="237"/>
        <v>3MF</v>
      </c>
      <c r="R241" s="212" t="s">
        <v>23</v>
      </c>
      <c r="S241" s="213">
        <v>0.97916666666666663</v>
      </c>
      <c r="T241" s="13">
        <v>85</v>
      </c>
      <c r="U241" s="211" t="s">
        <v>83</v>
      </c>
      <c r="V241" s="13">
        <v>1</v>
      </c>
      <c r="W241" s="13" t="s">
        <v>2417</v>
      </c>
      <c r="X241" s="13" t="s">
        <v>1924</v>
      </c>
      <c r="Y241" s="13" t="s">
        <v>2073</v>
      </c>
      <c r="Z241" s="13" t="s">
        <v>2073</v>
      </c>
      <c r="AA241" s="13" t="s">
        <v>2073</v>
      </c>
      <c r="AB241" s="13" t="s">
        <v>1924</v>
      </c>
      <c r="AC241" s="211" t="s">
        <v>2415</v>
      </c>
      <c r="AD241" s="13" t="s">
        <v>2416</v>
      </c>
      <c r="AE241" s="69">
        <v>1112014204</v>
      </c>
      <c r="AF241" s="13" t="s">
        <v>2418</v>
      </c>
      <c r="AG241" s="13" t="s">
        <v>2419</v>
      </c>
      <c r="AH241" s="13" t="s">
        <v>2420</v>
      </c>
      <c r="AI241" s="13" t="s">
        <v>2421</v>
      </c>
      <c r="AJ241" s="13" t="s">
        <v>2422</v>
      </c>
      <c r="AK241" s="13" t="s">
        <v>2416</v>
      </c>
      <c r="AL241" s="13" t="s">
        <v>2077</v>
      </c>
      <c r="AM241" s="13" t="s">
        <v>2077</v>
      </c>
      <c r="AN241" s="13" t="s">
        <v>2077</v>
      </c>
      <c r="AO241" s="13" t="s">
        <v>2077</v>
      </c>
      <c r="AP241" s="13" t="s">
        <v>2077</v>
      </c>
      <c r="AQ241" s="13" t="s">
        <v>2077</v>
      </c>
      <c r="AR241" s="13" t="s">
        <v>2418</v>
      </c>
      <c r="AS241" s="13" t="s">
        <v>2419</v>
      </c>
      <c r="AT241" s="13" t="s">
        <v>2420</v>
      </c>
      <c r="AU241" s="13" t="s">
        <v>2421</v>
      </c>
      <c r="AV241" s="13" t="s">
        <v>2422</v>
      </c>
      <c r="AW241" s="13" t="s">
        <v>2416</v>
      </c>
      <c r="AX241" s="13" t="s">
        <v>2073</v>
      </c>
      <c r="AY241" s="13" t="s">
        <v>2073</v>
      </c>
      <c r="AZ241" s="13" t="s">
        <v>2073</v>
      </c>
      <c r="BA241" s="13" t="s">
        <v>2073</v>
      </c>
      <c r="BB241" s="13" t="s">
        <v>2073</v>
      </c>
      <c r="BC241" s="13" t="s">
        <v>2073</v>
      </c>
    </row>
    <row r="242" spans="1:55" ht="15.75" customHeight="1">
      <c r="A242" s="13">
        <v>2000</v>
      </c>
      <c r="B242" s="7" t="s">
        <v>1190</v>
      </c>
      <c r="C242" s="211" t="s">
        <v>2412</v>
      </c>
      <c r="D242" s="13" t="s">
        <v>1189</v>
      </c>
      <c r="E242" s="13" t="s">
        <v>1175</v>
      </c>
      <c r="F242" s="211" t="s">
        <v>2413</v>
      </c>
      <c r="G242" s="13" t="s">
        <v>2414</v>
      </c>
      <c r="H242" s="13" t="s">
        <v>2077</v>
      </c>
      <c r="I242" s="13" t="s">
        <v>2077</v>
      </c>
      <c r="J242" s="13" t="s">
        <v>2077</v>
      </c>
      <c r="K242" s="13" t="s">
        <v>2077</v>
      </c>
      <c r="L242" s="13" t="s">
        <v>2077</v>
      </c>
      <c r="M242" s="13" t="s">
        <v>2077</v>
      </c>
      <c r="N242" s="211" t="s">
        <v>2415</v>
      </c>
      <c r="O242" s="13" t="s">
        <v>2416</v>
      </c>
      <c r="P242" s="69" t="str">
        <f t="shared" ref="P242:Q242" si="238">D242</f>
        <v>MF SUB ASSY 5</v>
      </c>
      <c r="Q242" s="13" t="str">
        <f t="shared" si="238"/>
        <v>3MF</v>
      </c>
      <c r="R242" s="212" t="s">
        <v>23</v>
      </c>
      <c r="S242" s="213">
        <v>0.97916666666666663</v>
      </c>
      <c r="T242" s="13">
        <v>85</v>
      </c>
      <c r="U242" s="211" t="s">
        <v>83</v>
      </c>
      <c r="V242" s="13">
        <v>1</v>
      </c>
      <c r="W242" s="13" t="s">
        <v>2417</v>
      </c>
      <c r="X242" s="13" t="s">
        <v>1924</v>
      </c>
      <c r="Y242" s="13" t="s">
        <v>2073</v>
      </c>
      <c r="Z242" s="13" t="s">
        <v>2073</v>
      </c>
      <c r="AA242" s="13" t="s">
        <v>2073</v>
      </c>
      <c r="AB242" s="13" t="s">
        <v>1924</v>
      </c>
      <c r="AC242" s="211" t="s">
        <v>2415</v>
      </c>
      <c r="AD242" s="13" t="s">
        <v>2416</v>
      </c>
      <c r="AE242" s="69">
        <v>1112014205</v>
      </c>
      <c r="AF242" s="13" t="s">
        <v>2418</v>
      </c>
      <c r="AG242" s="13" t="s">
        <v>2419</v>
      </c>
      <c r="AH242" s="13" t="s">
        <v>2420</v>
      </c>
      <c r="AI242" s="13" t="s">
        <v>2421</v>
      </c>
      <c r="AJ242" s="13" t="s">
        <v>2422</v>
      </c>
      <c r="AK242" s="13" t="s">
        <v>2416</v>
      </c>
      <c r="AL242" s="13" t="s">
        <v>2077</v>
      </c>
      <c r="AM242" s="13" t="s">
        <v>2077</v>
      </c>
      <c r="AN242" s="13" t="s">
        <v>2077</v>
      </c>
      <c r="AO242" s="13" t="s">
        <v>2077</v>
      </c>
      <c r="AP242" s="13" t="s">
        <v>2077</v>
      </c>
      <c r="AQ242" s="13" t="s">
        <v>2077</v>
      </c>
      <c r="AR242" s="13" t="s">
        <v>2418</v>
      </c>
      <c r="AS242" s="13" t="s">
        <v>2419</v>
      </c>
      <c r="AT242" s="13" t="s">
        <v>2420</v>
      </c>
      <c r="AU242" s="13" t="s">
        <v>2421</v>
      </c>
      <c r="AV242" s="13" t="s">
        <v>2422</v>
      </c>
      <c r="AW242" s="13" t="s">
        <v>2416</v>
      </c>
      <c r="AX242" s="13" t="s">
        <v>2073</v>
      </c>
      <c r="AY242" s="13" t="s">
        <v>2073</v>
      </c>
      <c r="AZ242" s="13" t="s">
        <v>2073</v>
      </c>
      <c r="BA242" s="13" t="s">
        <v>2073</v>
      </c>
      <c r="BB242" s="13" t="s">
        <v>2073</v>
      </c>
      <c r="BC242" s="13" t="s">
        <v>2073</v>
      </c>
    </row>
    <row r="243" spans="1:55" ht="15.75" customHeight="1">
      <c r="A243" s="13">
        <v>2000</v>
      </c>
      <c r="B243" s="7" t="s">
        <v>1194</v>
      </c>
      <c r="C243" s="211" t="s">
        <v>2412</v>
      </c>
      <c r="D243" s="13" t="s">
        <v>1193</v>
      </c>
      <c r="E243" s="13" t="s">
        <v>1175</v>
      </c>
      <c r="F243" s="211" t="s">
        <v>2413</v>
      </c>
      <c r="G243" s="13" t="s">
        <v>2414</v>
      </c>
      <c r="H243" s="13" t="s">
        <v>2077</v>
      </c>
      <c r="I243" s="13" t="s">
        <v>2077</v>
      </c>
      <c r="J243" s="13" t="s">
        <v>2077</v>
      </c>
      <c r="K243" s="13" t="s">
        <v>2077</v>
      </c>
      <c r="L243" s="13" t="s">
        <v>2077</v>
      </c>
      <c r="M243" s="13" t="s">
        <v>2077</v>
      </c>
      <c r="N243" s="211" t="s">
        <v>2415</v>
      </c>
      <c r="O243" s="13" t="s">
        <v>2416</v>
      </c>
      <c r="P243" s="69" t="str">
        <f t="shared" ref="P243:Q243" si="239">D243</f>
        <v>MF SUB ASSY 6</v>
      </c>
      <c r="Q243" s="13" t="str">
        <f t="shared" si="239"/>
        <v>3MF</v>
      </c>
      <c r="R243" s="212" t="s">
        <v>23</v>
      </c>
      <c r="S243" s="213">
        <v>0.64583333333333337</v>
      </c>
      <c r="T243" s="13">
        <v>85</v>
      </c>
      <c r="U243" s="211" t="s">
        <v>24</v>
      </c>
      <c r="V243" s="13">
        <v>1</v>
      </c>
      <c r="W243" s="13" t="s">
        <v>2417</v>
      </c>
      <c r="X243" s="13" t="s">
        <v>1924</v>
      </c>
      <c r="Y243" s="13" t="s">
        <v>2073</v>
      </c>
      <c r="Z243" s="13" t="s">
        <v>2073</v>
      </c>
      <c r="AA243" s="13" t="s">
        <v>2073</v>
      </c>
      <c r="AB243" s="13" t="s">
        <v>1924</v>
      </c>
      <c r="AC243" s="211" t="s">
        <v>2415</v>
      </c>
      <c r="AD243" s="13" t="s">
        <v>2416</v>
      </c>
      <c r="AE243" s="69">
        <v>1112014206</v>
      </c>
      <c r="AF243" s="13" t="s">
        <v>2418</v>
      </c>
      <c r="AG243" s="13" t="s">
        <v>2419</v>
      </c>
      <c r="AH243" s="13" t="s">
        <v>2420</v>
      </c>
      <c r="AI243" s="13" t="s">
        <v>2421</v>
      </c>
      <c r="AJ243" s="13" t="s">
        <v>2422</v>
      </c>
      <c r="AK243" s="13" t="s">
        <v>2416</v>
      </c>
      <c r="AL243" s="13" t="s">
        <v>2077</v>
      </c>
      <c r="AM243" s="13" t="s">
        <v>2077</v>
      </c>
      <c r="AN243" s="13" t="s">
        <v>2077</v>
      </c>
      <c r="AO243" s="13" t="s">
        <v>2077</v>
      </c>
      <c r="AP243" s="13" t="s">
        <v>2077</v>
      </c>
      <c r="AQ243" s="13" t="s">
        <v>2077</v>
      </c>
      <c r="AR243" s="13" t="s">
        <v>2418</v>
      </c>
      <c r="AS243" s="13" t="s">
        <v>2419</v>
      </c>
      <c r="AT243" s="13" t="s">
        <v>2420</v>
      </c>
      <c r="AU243" s="13" t="s">
        <v>2421</v>
      </c>
      <c r="AV243" s="13" t="s">
        <v>2422</v>
      </c>
      <c r="AW243" s="13" t="s">
        <v>2416</v>
      </c>
      <c r="AX243" s="13" t="s">
        <v>2073</v>
      </c>
      <c r="AY243" s="13" t="s">
        <v>2073</v>
      </c>
      <c r="AZ243" s="13" t="s">
        <v>2073</v>
      </c>
      <c r="BA243" s="13" t="s">
        <v>2073</v>
      </c>
      <c r="BB243" s="13" t="s">
        <v>2073</v>
      </c>
      <c r="BC243" s="13" t="s">
        <v>2073</v>
      </c>
    </row>
    <row r="244" spans="1:55" ht="15.75" customHeight="1">
      <c r="A244" s="13">
        <v>2000</v>
      </c>
      <c r="B244" s="7" t="s">
        <v>1198</v>
      </c>
      <c r="C244" s="211" t="s">
        <v>2412</v>
      </c>
      <c r="D244" s="13" t="s">
        <v>1197</v>
      </c>
      <c r="E244" s="13" t="s">
        <v>1175</v>
      </c>
      <c r="F244" s="211" t="s">
        <v>2413</v>
      </c>
      <c r="G244" s="13" t="s">
        <v>2414</v>
      </c>
      <c r="H244" s="13" t="s">
        <v>2077</v>
      </c>
      <c r="I244" s="13" t="s">
        <v>2077</v>
      </c>
      <c r="J244" s="13" t="s">
        <v>2077</v>
      </c>
      <c r="K244" s="13" t="s">
        <v>2077</v>
      </c>
      <c r="L244" s="13" t="s">
        <v>2077</v>
      </c>
      <c r="M244" s="13" t="s">
        <v>2077</v>
      </c>
      <c r="N244" s="211" t="s">
        <v>2415</v>
      </c>
      <c r="O244" s="13" t="s">
        <v>2416</v>
      </c>
      <c r="P244" s="69" t="str">
        <f t="shared" ref="P244:Q244" si="240">D244</f>
        <v>MF ASSEMBLY UNIT 1</v>
      </c>
      <c r="Q244" s="13" t="str">
        <f t="shared" si="240"/>
        <v>3MF</v>
      </c>
      <c r="R244" s="212" t="s">
        <v>23</v>
      </c>
      <c r="S244" s="213">
        <v>0.64583333333333337</v>
      </c>
      <c r="T244" s="13">
        <v>85</v>
      </c>
      <c r="U244" s="211" t="s">
        <v>24</v>
      </c>
      <c r="V244" s="13">
        <v>1</v>
      </c>
      <c r="W244" s="13" t="s">
        <v>2417</v>
      </c>
      <c r="X244" s="13" t="s">
        <v>1924</v>
      </c>
      <c r="Y244" s="13" t="s">
        <v>2073</v>
      </c>
      <c r="Z244" s="13" t="s">
        <v>2073</v>
      </c>
      <c r="AA244" s="13" t="s">
        <v>2073</v>
      </c>
      <c r="AB244" s="13" t="s">
        <v>1924</v>
      </c>
      <c r="AC244" s="211" t="s">
        <v>2415</v>
      </c>
      <c r="AD244" s="13" t="s">
        <v>2416</v>
      </c>
      <c r="AE244" s="69">
        <v>1112014002</v>
      </c>
      <c r="AF244" s="13" t="s">
        <v>2418</v>
      </c>
      <c r="AG244" s="13" t="s">
        <v>2419</v>
      </c>
      <c r="AH244" s="13" t="s">
        <v>2420</v>
      </c>
      <c r="AI244" s="13" t="s">
        <v>2421</v>
      </c>
      <c r="AJ244" s="13" t="s">
        <v>2422</v>
      </c>
      <c r="AK244" s="13" t="s">
        <v>2416</v>
      </c>
      <c r="AL244" s="13" t="s">
        <v>2077</v>
      </c>
      <c r="AM244" s="13" t="s">
        <v>2077</v>
      </c>
      <c r="AN244" s="13" t="s">
        <v>2077</v>
      </c>
      <c r="AO244" s="13" t="s">
        <v>2077</v>
      </c>
      <c r="AP244" s="13" t="s">
        <v>2077</v>
      </c>
      <c r="AQ244" s="13" t="s">
        <v>2077</v>
      </c>
      <c r="AR244" s="13" t="s">
        <v>2418</v>
      </c>
      <c r="AS244" s="13" t="s">
        <v>2419</v>
      </c>
      <c r="AT244" s="13" t="s">
        <v>2420</v>
      </c>
      <c r="AU244" s="13" t="s">
        <v>2421</v>
      </c>
      <c r="AV244" s="13" t="s">
        <v>2422</v>
      </c>
      <c r="AW244" s="13" t="s">
        <v>2416</v>
      </c>
      <c r="AX244" s="13" t="s">
        <v>2073</v>
      </c>
      <c r="AY244" s="13" t="s">
        <v>2073</v>
      </c>
      <c r="AZ244" s="13" t="s">
        <v>2073</v>
      </c>
      <c r="BA244" s="13" t="s">
        <v>2073</v>
      </c>
      <c r="BB244" s="13" t="s">
        <v>2073</v>
      </c>
      <c r="BC244" s="13" t="s">
        <v>2073</v>
      </c>
    </row>
    <row r="245" spans="1:55" ht="15.75" customHeight="1">
      <c r="A245" s="13">
        <v>2000</v>
      </c>
      <c r="B245" s="7" t="s">
        <v>1202</v>
      </c>
      <c r="C245" s="211" t="s">
        <v>2412</v>
      </c>
      <c r="D245" s="13" t="s">
        <v>1201</v>
      </c>
      <c r="E245" s="13" t="s">
        <v>1175</v>
      </c>
      <c r="F245" s="211" t="s">
        <v>2413</v>
      </c>
      <c r="G245" s="13" t="s">
        <v>2414</v>
      </c>
      <c r="H245" s="13" t="s">
        <v>2077</v>
      </c>
      <c r="I245" s="13" t="s">
        <v>2077</v>
      </c>
      <c r="J245" s="13" t="s">
        <v>2077</v>
      </c>
      <c r="K245" s="13" t="s">
        <v>2077</v>
      </c>
      <c r="L245" s="13" t="s">
        <v>2077</v>
      </c>
      <c r="M245" s="13" t="s">
        <v>2077</v>
      </c>
      <c r="N245" s="211" t="s">
        <v>2415</v>
      </c>
      <c r="O245" s="13" t="s">
        <v>2416</v>
      </c>
      <c r="P245" s="69" t="str">
        <f t="shared" ref="P245:Q245" si="241">D245</f>
        <v>MF ASSEMBLY UNIT 2</v>
      </c>
      <c r="Q245" s="13" t="str">
        <f t="shared" si="241"/>
        <v>3MF</v>
      </c>
      <c r="R245" s="212" t="s">
        <v>23</v>
      </c>
      <c r="S245" s="213">
        <v>0.64583333333333337</v>
      </c>
      <c r="T245" s="13">
        <v>85</v>
      </c>
      <c r="U245" s="211" t="s">
        <v>24</v>
      </c>
      <c r="V245" s="13">
        <v>1</v>
      </c>
      <c r="W245" s="13" t="s">
        <v>2417</v>
      </c>
      <c r="X245" s="13" t="s">
        <v>1924</v>
      </c>
      <c r="Y245" s="13" t="s">
        <v>2073</v>
      </c>
      <c r="Z245" s="13" t="s">
        <v>2073</v>
      </c>
      <c r="AA245" s="13" t="s">
        <v>2073</v>
      </c>
      <c r="AB245" s="13" t="s">
        <v>1924</v>
      </c>
      <c r="AC245" s="211" t="s">
        <v>2415</v>
      </c>
      <c r="AD245" s="13" t="s">
        <v>2416</v>
      </c>
      <c r="AE245" s="69">
        <v>1112014003</v>
      </c>
      <c r="AF245" s="13" t="s">
        <v>2418</v>
      </c>
      <c r="AG245" s="13" t="s">
        <v>2419</v>
      </c>
      <c r="AH245" s="13" t="s">
        <v>2420</v>
      </c>
      <c r="AI245" s="13" t="s">
        <v>2421</v>
      </c>
      <c r="AJ245" s="13" t="s">
        <v>2422</v>
      </c>
      <c r="AK245" s="13" t="s">
        <v>2416</v>
      </c>
      <c r="AL245" s="13" t="s">
        <v>2077</v>
      </c>
      <c r="AM245" s="13" t="s">
        <v>2077</v>
      </c>
      <c r="AN245" s="13" t="s">
        <v>2077</v>
      </c>
      <c r="AO245" s="13" t="s">
        <v>2077</v>
      </c>
      <c r="AP245" s="13" t="s">
        <v>2077</v>
      </c>
      <c r="AQ245" s="13" t="s">
        <v>2077</v>
      </c>
      <c r="AR245" s="13" t="s">
        <v>2418</v>
      </c>
      <c r="AS245" s="13" t="s">
        <v>2419</v>
      </c>
      <c r="AT245" s="13" t="s">
        <v>2420</v>
      </c>
      <c r="AU245" s="13" t="s">
        <v>2421</v>
      </c>
      <c r="AV245" s="13" t="s">
        <v>2422</v>
      </c>
      <c r="AW245" s="13" t="s">
        <v>2416</v>
      </c>
      <c r="AX245" s="13" t="s">
        <v>2073</v>
      </c>
      <c r="AY245" s="13" t="s">
        <v>2073</v>
      </c>
      <c r="AZ245" s="13" t="s">
        <v>2073</v>
      </c>
      <c r="BA245" s="13" t="s">
        <v>2073</v>
      </c>
      <c r="BB245" s="13" t="s">
        <v>2073</v>
      </c>
      <c r="BC245" s="13" t="s">
        <v>2073</v>
      </c>
    </row>
    <row r="246" spans="1:55" ht="15.75" customHeight="1">
      <c r="A246" s="13">
        <v>2000</v>
      </c>
      <c r="B246" s="7" t="s">
        <v>1205</v>
      </c>
      <c r="C246" s="211" t="s">
        <v>2412</v>
      </c>
      <c r="D246" s="13" t="s">
        <v>1204</v>
      </c>
      <c r="E246" s="13" t="s">
        <v>1175</v>
      </c>
      <c r="F246" s="211" t="s">
        <v>2413</v>
      </c>
      <c r="G246" s="13" t="s">
        <v>2414</v>
      </c>
      <c r="H246" s="13" t="s">
        <v>2077</v>
      </c>
      <c r="I246" s="13" t="s">
        <v>2077</v>
      </c>
      <c r="J246" s="13" t="s">
        <v>2077</v>
      </c>
      <c r="K246" s="13" t="s">
        <v>2077</v>
      </c>
      <c r="L246" s="13" t="s">
        <v>2077</v>
      </c>
      <c r="M246" s="13" t="s">
        <v>2077</v>
      </c>
      <c r="N246" s="211" t="s">
        <v>2415</v>
      </c>
      <c r="O246" s="13" t="s">
        <v>2416</v>
      </c>
      <c r="P246" s="69" t="str">
        <f t="shared" ref="P246:Q246" si="242">D246</f>
        <v>MF ASSEMBLY UNIT 3</v>
      </c>
      <c r="Q246" s="13" t="str">
        <f t="shared" si="242"/>
        <v>3MF</v>
      </c>
      <c r="R246" s="212" t="s">
        <v>23</v>
      </c>
      <c r="S246" s="213">
        <v>0.64583333333333337</v>
      </c>
      <c r="T246" s="13">
        <v>85</v>
      </c>
      <c r="U246" s="211" t="s">
        <v>24</v>
      </c>
      <c r="V246" s="13">
        <v>1</v>
      </c>
      <c r="W246" s="13" t="s">
        <v>2417</v>
      </c>
      <c r="X246" s="13" t="s">
        <v>1924</v>
      </c>
      <c r="Y246" s="13" t="s">
        <v>2073</v>
      </c>
      <c r="Z246" s="13" t="s">
        <v>2073</v>
      </c>
      <c r="AA246" s="13" t="s">
        <v>2073</v>
      </c>
      <c r="AB246" s="13" t="s">
        <v>1924</v>
      </c>
      <c r="AC246" s="211" t="s">
        <v>2415</v>
      </c>
      <c r="AD246" s="13" t="s">
        <v>2416</v>
      </c>
      <c r="AE246" s="69">
        <v>1112014004</v>
      </c>
      <c r="AF246" s="13" t="s">
        <v>2418</v>
      </c>
      <c r="AG246" s="13" t="s">
        <v>2419</v>
      </c>
      <c r="AH246" s="13" t="s">
        <v>2420</v>
      </c>
      <c r="AI246" s="13" t="s">
        <v>2421</v>
      </c>
      <c r="AJ246" s="13" t="s">
        <v>2422</v>
      </c>
      <c r="AK246" s="13" t="s">
        <v>2416</v>
      </c>
      <c r="AL246" s="13" t="s">
        <v>2077</v>
      </c>
      <c r="AM246" s="13" t="s">
        <v>2077</v>
      </c>
      <c r="AN246" s="13" t="s">
        <v>2077</v>
      </c>
      <c r="AO246" s="13" t="s">
        <v>2077</v>
      </c>
      <c r="AP246" s="13" t="s">
        <v>2077</v>
      </c>
      <c r="AQ246" s="13" t="s">
        <v>2077</v>
      </c>
      <c r="AR246" s="13" t="s">
        <v>2418</v>
      </c>
      <c r="AS246" s="13" t="s">
        <v>2419</v>
      </c>
      <c r="AT246" s="13" t="s">
        <v>2420</v>
      </c>
      <c r="AU246" s="13" t="s">
        <v>2421</v>
      </c>
      <c r="AV246" s="13" t="s">
        <v>2422</v>
      </c>
      <c r="AW246" s="13" t="s">
        <v>2416</v>
      </c>
      <c r="AX246" s="13" t="s">
        <v>2073</v>
      </c>
      <c r="AY246" s="13" t="s">
        <v>2073</v>
      </c>
      <c r="AZ246" s="13" t="s">
        <v>2073</v>
      </c>
      <c r="BA246" s="13" t="s">
        <v>2073</v>
      </c>
      <c r="BB246" s="13" t="s">
        <v>2073</v>
      </c>
      <c r="BC246" s="13" t="s">
        <v>2073</v>
      </c>
    </row>
    <row r="247" spans="1:55" ht="15.75" customHeight="1">
      <c r="A247" s="13">
        <v>2000</v>
      </c>
      <c r="B247" s="7" t="s">
        <v>1208</v>
      </c>
      <c r="C247" s="211" t="s">
        <v>2412</v>
      </c>
      <c r="D247" s="13" t="s">
        <v>1207</v>
      </c>
      <c r="E247" s="13" t="s">
        <v>1175</v>
      </c>
      <c r="F247" s="211" t="s">
        <v>2413</v>
      </c>
      <c r="G247" s="13" t="s">
        <v>2414</v>
      </c>
      <c r="H247" s="13" t="s">
        <v>2077</v>
      </c>
      <c r="I247" s="13" t="s">
        <v>2077</v>
      </c>
      <c r="J247" s="13" t="s">
        <v>2077</v>
      </c>
      <c r="K247" s="13" t="s">
        <v>2077</v>
      </c>
      <c r="L247" s="13" t="s">
        <v>2077</v>
      </c>
      <c r="M247" s="13" t="s">
        <v>2077</v>
      </c>
      <c r="N247" s="211" t="s">
        <v>2415</v>
      </c>
      <c r="O247" s="13" t="s">
        <v>2416</v>
      </c>
      <c r="P247" s="69" t="str">
        <f t="shared" ref="P247:Q247" si="243">D247</f>
        <v>MF ASSEMBLY UNIT 4</v>
      </c>
      <c r="Q247" s="13" t="str">
        <f t="shared" si="243"/>
        <v>3MF</v>
      </c>
      <c r="R247" s="212" t="s">
        <v>23</v>
      </c>
      <c r="S247" s="213">
        <v>0.64583333333333337</v>
      </c>
      <c r="T247" s="13">
        <v>85</v>
      </c>
      <c r="U247" s="211" t="s">
        <v>24</v>
      </c>
      <c r="V247" s="13">
        <v>1</v>
      </c>
      <c r="W247" s="13" t="s">
        <v>2417</v>
      </c>
      <c r="X247" s="13" t="s">
        <v>1924</v>
      </c>
      <c r="Y247" s="13" t="s">
        <v>2073</v>
      </c>
      <c r="Z247" s="13" t="s">
        <v>2073</v>
      </c>
      <c r="AA247" s="13" t="s">
        <v>2073</v>
      </c>
      <c r="AB247" s="13" t="s">
        <v>1924</v>
      </c>
      <c r="AC247" s="211" t="s">
        <v>2415</v>
      </c>
      <c r="AD247" s="13" t="s">
        <v>2416</v>
      </c>
      <c r="AE247" s="69">
        <v>1112014005</v>
      </c>
      <c r="AF247" s="13" t="s">
        <v>2418</v>
      </c>
      <c r="AG247" s="13" t="s">
        <v>2419</v>
      </c>
      <c r="AH247" s="13" t="s">
        <v>2420</v>
      </c>
      <c r="AI247" s="13" t="s">
        <v>2421</v>
      </c>
      <c r="AJ247" s="13" t="s">
        <v>2422</v>
      </c>
      <c r="AK247" s="13" t="s">
        <v>2416</v>
      </c>
      <c r="AL247" s="13" t="s">
        <v>2077</v>
      </c>
      <c r="AM247" s="13" t="s">
        <v>2077</v>
      </c>
      <c r="AN247" s="13" t="s">
        <v>2077</v>
      </c>
      <c r="AO247" s="13" t="s">
        <v>2077</v>
      </c>
      <c r="AP247" s="13" t="s">
        <v>2077</v>
      </c>
      <c r="AQ247" s="13" t="s">
        <v>2077</v>
      </c>
      <c r="AR247" s="13" t="s">
        <v>2418</v>
      </c>
      <c r="AS247" s="13" t="s">
        <v>2419</v>
      </c>
      <c r="AT247" s="13" t="s">
        <v>2420</v>
      </c>
      <c r="AU247" s="13" t="s">
        <v>2421</v>
      </c>
      <c r="AV247" s="13" t="s">
        <v>2422</v>
      </c>
      <c r="AW247" s="13" t="s">
        <v>2416</v>
      </c>
      <c r="AX247" s="13" t="s">
        <v>2073</v>
      </c>
      <c r="AY247" s="13" t="s">
        <v>2073</v>
      </c>
      <c r="AZ247" s="13" t="s">
        <v>2073</v>
      </c>
      <c r="BA247" s="13" t="s">
        <v>2073</v>
      </c>
      <c r="BB247" s="13" t="s">
        <v>2073</v>
      </c>
      <c r="BC247" s="13" t="s">
        <v>2073</v>
      </c>
    </row>
    <row r="248" spans="1:55" ht="15.75" customHeight="1">
      <c r="A248" s="13">
        <v>2000</v>
      </c>
      <c r="B248" s="7" t="s">
        <v>1211</v>
      </c>
      <c r="C248" s="211" t="s">
        <v>2412</v>
      </c>
      <c r="D248" s="13" t="s">
        <v>1210</v>
      </c>
      <c r="E248" s="13" t="s">
        <v>1175</v>
      </c>
      <c r="F248" s="211" t="s">
        <v>2413</v>
      </c>
      <c r="G248" s="13" t="s">
        <v>2414</v>
      </c>
      <c r="H248" s="13" t="s">
        <v>2077</v>
      </c>
      <c r="I248" s="13" t="s">
        <v>2077</v>
      </c>
      <c r="J248" s="13" t="s">
        <v>2077</v>
      </c>
      <c r="K248" s="13" t="s">
        <v>2077</v>
      </c>
      <c r="L248" s="13" t="s">
        <v>2077</v>
      </c>
      <c r="M248" s="13" t="s">
        <v>2077</v>
      </c>
      <c r="N248" s="211" t="s">
        <v>2415</v>
      </c>
      <c r="O248" s="13" t="s">
        <v>2416</v>
      </c>
      <c r="P248" s="69" t="str">
        <f t="shared" ref="P248:Q248" si="244">D248</f>
        <v>MF ASSEMBLY UNIT 5</v>
      </c>
      <c r="Q248" s="13" t="str">
        <f t="shared" si="244"/>
        <v>3MF</v>
      </c>
      <c r="R248" s="212" t="s">
        <v>23</v>
      </c>
      <c r="S248" s="213">
        <v>0.64583333333333337</v>
      </c>
      <c r="T248" s="13">
        <v>85</v>
      </c>
      <c r="U248" s="211" t="s">
        <v>24</v>
      </c>
      <c r="V248" s="13">
        <v>1</v>
      </c>
      <c r="W248" s="13" t="s">
        <v>2417</v>
      </c>
      <c r="X248" s="13" t="s">
        <v>1924</v>
      </c>
      <c r="Y248" s="13" t="s">
        <v>2073</v>
      </c>
      <c r="Z248" s="13" t="s">
        <v>2073</v>
      </c>
      <c r="AA248" s="13" t="s">
        <v>2073</v>
      </c>
      <c r="AB248" s="13" t="s">
        <v>1924</v>
      </c>
      <c r="AC248" s="211" t="s">
        <v>2415</v>
      </c>
      <c r="AD248" s="13" t="s">
        <v>2416</v>
      </c>
      <c r="AE248" s="69">
        <v>1112014006</v>
      </c>
      <c r="AF248" s="13" t="s">
        <v>2418</v>
      </c>
      <c r="AG248" s="13" t="s">
        <v>2419</v>
      </c>
      <c r="AH248" s="13" t="s">
        <v>2420</v>
      </c>
      <c r="AI248" s="13" t="s">
        <v>2421</v>
      </c>
      <c r="AJ248" s="13" t="s">
        <v>2422</v>
      </c>
      <c r="AK248" s="13" t="s">
        <v>2416</v>
      </c>
      <c r="AL248" s="13" t="s">
        <v>2077</v>
      </c>
      <c r="AM248" s="13" t="s">
        <v>2077</v>
      </c>
      <c r="AN248" s="13" t="s">
        <v>2077</v>
      </c>
      <c r="AO248" s="13" t="s">
        <v>2077</v>
      </c>
      <c r="AP248" s="13" t="s">
        <v>2077</v>
      </c>
      <c r="AQ248" s="13" t="s">
        <v>2077</v>
      </c>
      <c r="AR248" s="13" t="s">
        <v>2418</v>
      </c>
      <c r="AS248" s="13" t="s">
        <v>2419</v>
      </c>
      <c r="AT248" s="13" t="s">
        <v>2420</v>
      </c>
      <c r="AU248" s="13" t="s">
        <v>2421</v>
      </c>
      <c r="AV248" s="13" t="s">
        <v>2422</v>
      </c>
      <c r="AW248" s="13" t="s">
        <v>2416</v>
      </c>
      <c r="AX248" s="13" t="s">
        <v>2073</v>
      </c>
      <c r="AY248" s="13" t="s">
        <v>2073</v>
      </c>
      <c r="AZ248" s="13" t="s">
        <v>2073</v>
      </c>
      <c r="BA248" s="13" t="s">
        <v>2073</v>
      </c>
      <c r="BB248" s="13" t="s">
        <v>2073</v>
      </c>
      <c r="BC248" s="13" t="s">
        <v>2073</v>
      </c>
    </row>
    <row r="249" spans="1:55" ht="15.75" customHeight="1">
      <c r="A249" s="13">
        <v>2000</v>
      </c>
      <c r="B249" s="7" t="s">
        <v>1214</v>
      </c>
      <c r="C249" s="211" t="s">
        <v>2412</v>
      </c>
      <c r="D249" s="13" t="s">
        <v>1213</v>
      </c>
      <c r="E249" s="13" t="s">
        <v>1175</v>
      </c>
      <c r="F249" s="211" t="s">
        <v>2413</v>
      </c>
      <c r="G249" s="13" t="s">
        <v>2414</v>
      </c>
      <c r="H249" s="13" t="s">
        <v>2077</v>
      </c>
      <c r="I249" s="13" t="s">
        <v>2077</v>
      </c>
      <c r="J249" s="13" t="s">
        <v>2077</v>
      </c>
      <c r="K249" s="13" t="s">
        <v>2077</v>
      </c>
      <c r="L249" s="13" t="s">
        <v>2077</v>
      </c>
      <c r="M249" s="13" t="s">
        <v>2077</v>
      </c>
      <c r="N249" s="211" t="s">
        <v>2415</v>
      </c>
      <c r="O249" s="13" t="s">
        <v>2416</v>
      </c>
      <c r="P249" s="69" t="str">
        <f t="shared" ref="P249:Q249" si="245">D249</f>
        <v>MF ASSEMBLY UNIT 6</v>
      </c>
      <c r="Q249" s="13" t="str">
        <f t="shared" si="245"/>
        <v>3MF</v>
      </c>
      <c r="R249" s="212" t="s">
        <v>23</v>
      </c>
      <c r="S249" s="213">
        <v>0.64583333333333337</v>
      </c>
      <c r="T249" s="13">
        <v>85</v>
      </c>
      <c r="U249" s="211" t="s">
        <v>24</v>
      </c>
      <c r="V249" s="13">
        <v>1</v>
      </c>
      <c r="W249" s="13" t="s">
        <v>2417</v>
      </c>
      <c r="X249" s="13" t="s">
        <v>1924</v>
      </c>
      <c r="Y249" s="13" t="s">
        <v>2073</v>
      </c>
      <c r="Z249" s="13" t="s">
        <v>2073</v>
      </c>
      <c r="AA249" s="13" t="s">
        <v>2073</v>
      </c>
      <c r="AB249" s="13" t="s">
        <v>1924</v>
      </c>
      <c r="AC249" s="211" t="s">
        <v>2415</v>
      </c>
      <c r="AD249" s="13" t="s">
        <v>2416</v>
      </c>
      <c r="AE249" s="69">
        <v>1112014007</v>
      </c>
      <c r="AF249" s="13" t="s">
        <v>2418</v>
      </c>
      <c r="AG249" s="13" t="s">
        <v>2419</v>
      </c>
      <c r="AH249" s="13" t="s">
        <v>2420</v>
      </c>
      <c r="AI249" s="13" t="s">
        <v>2421</v>
      </c>
      <c r="AJ249" s="13" t="s">
        <v>2422</v>
      </c>
      <c r="AK249" s="13" t="s">
        <v>2416</v>
      </c>
      <c r="AL249" s="13" t="s">
        <v>2077</v>
      </c>
      <c r="AM249" s="13" t="s">
        <v>2077</v>
      </c>
      <c r="AN249" s="13" t="s">
        <v>2077</v>
      </c>
      <c r="AO249" s="13" t="s">
        <v>2077</v>
      </c>
      <c r="AP249" s="13" t="s">
        <v>2077</v>
      </c>
      <c r="AQ249" s="13" t="s">
        <v>2077</v>
      </c>
      <c r="AR249" s="13" t="s">
        <v>2418</v>
      </c>
      <c r="AS249" s="13" t="s">
        <v>2419</v>
      </c>
      <c r="AT249" s="13" t="s">
        <v>2420</v>
      </c>
      <c r="AU249" s="13" t="s">
        <v>2421</v>
      </c>
      <c r="AV249" s="13" t="s">
        <v>2422</v>
      </c>
      <c r="AW249" s="13" t="s">
        <v>2416</v>
      </c>
      <c r="AX249" s="13" t="s">
        <v>2073</v>
      </c>
      <c r="AY249" s="13" t="s">
        <v>2073</v>
      </c>
      <c r="AZ249" s="13" t="s">
        <v>2073</v>
      </c>
      <c r="BA249" s="13" t="s">
        <v>2073</v>
      </c>
      <c r="BB249" s="13" t="s">
        <v>2073</v>
      </c>
      <c r="BC249" s="13" t="s">
        <v>2073</v>
      </c>
    </row>
    <row r="250" spans="1:55" ht="15.75" customHeight="1">
      <c r="A250" s="13">
        <v>2000</v>
      </c>
      <c r="B250" s="7" t="s">
        <v>1217</v>
      </c>
      <c r="C250" s="211" t="s">
        <v>2412</v>
      </c>
      <c r="D250" s="13" t="s">
        <v>1216</v>
      </c>
      <c r="E250" s="13" t="s">
        <v>1175</v>
      </c>
      <c r="F250" s="211" t="s">
        <v>2413</v>
      </c>
      <c r="G250" s="13" t="s">
        <v>2414</v>
      </c>
      <c r="H250" s="13" t="s">
        <v>2077</v>
      </c>
      <c r="I250" s="13" t="s">
        <v>2077</v>
      </c>
      <c r="J250" s="13" t="s">
        <v>2077</v>
      </c>
      <c r="K250" s="13" t="s">
        <v>2077</v>
      </c>
      <c r="L250" s="13" t="s">
        <v>2077</v>
      </c>
      <c r="M250" s="13" t="s">
        <v>2077</v>
      </c>
      <c r="N250" s="211" t="s">
        <v>2415</v>
      </c>
      <c r="O250" s="13" t="s">
        <v>2416</v>
      </c>
      <c r="P250" s="69" t="str">
        <f t="shared" ref="P250:Q250" si="246">D250</f>
        <v>MF ASSEMBLY UNIT 7</v>
      </c>
      <c r="Q250" s="13" t="str">
        <f t="shared" si="246"/>
        <v>3MF</v>
      </c>
      <c r="R250" s="212" t="s">
        <v>23</v>
      </c>
      <c r="S250" s="213">
        <v>0.64583333333333337</v>
      </c>
      <c r="T250" s="13">
        <v>85</v>
      </c>
      <c r="U250" s="211" t="s">
        <v>24</v>
      </c>
      <c r="V250" s="13">
        <v>1</v>
      </c>
      <c r="W250" s="13" t="s">
        <v>2417</v>
      </c>
      <c r="X250" s="13" t="s">
        <v>1924</v>
      </c>
      <c r="Y250" s="13" t="s">
        <v>2073</v>
      </c>
      <c r="Z250" s="13" t="s">
        <v>2073</v>
      </c>
      <c r="AA250" s="13" t="s">
        <v>2073</v>
      </c>
      <c r="AB250" s="13" t="s">
        <v>1924</v>
      </c>
      <c r="AC250" s="211" t="s">
        <v>2415</v>
      </c>
      <c r="AD250" s="13" t="s">
        <v>2416</v>
      </c>
      <c r="AE250" s="69">
        <v>1112014008</v>
      </c>
      <c r="AF250" s="13" t="s">
        <v>2418</v>
      </c>
      <c r="AG250" s="13" t="s">
        <v>2419</v>
      </c>
      <c r="AH250" s="13" t="s">
        <v>2420</v>
      </c>
      <c r="AI250" s="13" t="s">
        <v>2421</v>
      </c>
      <c r="AJ250" s="13" t="s">
        <v>2422</v>
      </c>
      <c r="AK250" s="13" t="s">
        <v>2416</v>
      </c>
      <c r="AL250" s="13" t="s">
        <v>2077</v>
      </c>
      <c r="AM250" s="13" t="s">
        <v>2077</v>
      </c>
      <c r="AN250" s="13" t="s">
        <v>2077</v>
      </c>
      <c r="AO250" s="13" t="s">
        <v>2077</v>
      </c>
      <c r="AP250" s="13" t="s">
        <v>2077</v>
      </c>
      <c r="AQ250" s="13" t="s">
        <v>2077</v>
      </c>
      <c r="AR250" s="13" t="s">
        <v>2418</v>
      </c>
      <c r="AS250" s="13" t="s">
        <v>2419</v>
      </c>
      <c r="AT250" s="13" t="s">
        <v>2420</v>
      </c>
      <c r="AU250" s="13" t="s">
        <v>2421</v>
      </c>
      <c r="AV250" s="13" t="s">
        <v>2422</v>
      </c>
      <c r="AW250" s="13" t="s">
        <v>2416</v>
      </c>
      <c r="AX250" s="13" t="s">
        <v>2073</v>
      </c>
      <c r="AY250" s="13" t="s">
        <v>2073</v>
      </c>
      <c r="AZ250" s="13" t="s">
        <v>2073</v>
      </c>
      <c r="BA250" s="13" t="s">
        <v>2073</v>
      </c>
      <c r="BB250" s="13" t="s">
        <v>2073</v>
      </c>
      <c r="BC250" s="13" t="s">
        <v>2073</v>
      </c>
    </row>
    <row r="251" spans="1:55" ht="15.75" customHeight="1">
      <c r="A251" s="13">
        <v>2000</v>
      </c>
      <c r="B251" s="7" t="s">
        <v>1220</v>
      </c>
      <c r="C251" s="211" t="s">
        <v>2412</v>
      </c>
      <c r="D251" s="13" t="s">
        <v>1219</v>
      </c>
      <c r="E251" s="13" t="s">
        <v>1175</v>
      </c>
      <c r="F251" s="211" t="s">
        <v>2413</v>
      </c>
      <c r="G251" s="13" t="s">
        <v>2414</v>
      </c>
      <c r="H251" s="13" t="s">
        <v>2077</v>
      </c>
      <c r="I251" s="13" t="s">
        <v>2077</v>
      </c>
      <c r="J251" s="13" t="s">
        <v>2077</v>
      </c>
      <c r="K251" s="13" t="s">
        <v>2077</v>
      </c>
      <c r="L251" s="13" t="s">
        <v>2077</v>
      </c>
      <c r="M251" s="13" t="s">
        <v>2077</v>
      </c>
      <c r="N251" s="211" t="s">
        <v>2415</v>
      </c>
      <c r="O251" s="13" t="s">
        <v>2416</v>
      </c>
      <c r="P251" s="69" t="str">
        <f t="shared" ref="P251:Q251" si="247">D251</f>
        <v>MF ASSEMBLY UNIT 8</v>
      </c>
      <c r="Q251" s="13" t="str">
        <f t="shared" si="247"/>
        <v>3MF</v>
      </c>
      <c r="R251" s="212" t="s">
        <v>23</v>
      </c>
      <c r="S251" s="213">
        <v>0.64583333333333337</v>
      </c>
      <c r="T251" s="13">
        <v>85</v>
      </c>
      <c r="U251" s="211" t="s">
        <v>24</v>
      </c>
      <c r="V251" s="13">
        <v>1</v>
      </c>
      <c r="W251" s="13" t="s">
        <v>2417</v>
      </c>
      <c r="X251" s="13" t="s">
        <v>1924</v>
      </c>
      <c r="Y251" s="13" t="s">
        <v>2073</v>
      </c>
      <c r="Z251" s="13" t="s">
        <v>2073</v>
      </c>
      <c r="AA251" s="13" t="s">
        <v>2073</v>
      </c>
      <c r="AB251" s="13" t="s">
        <v>1924</v>
      </c>
      <c r="AC251" s="211" t="s">
        <v>2415</v>
      </c>
      <c r="AD251" s="13" t="s">
        <v>2416</v>
      </c>
      <c r="AE251" s="69">
        <v>1112014009</v>
      </c>
      <c r="AF251" s="13" t="s">
        <v>2418</v>
      </c>
      <c r="AG251" s="13" t="s">
        <v>2419</v>
      </c>
      <c r="AH251" s="13" t="s">
        <v>2420</v>
      </c>
      <c r="AI251" s="13" t="s">
        <v>2421</v>
      </c>
      <c r="AJ251" s="13" t="s">
        <v>2422</v>
      </c>
      <c r="AK251" s="13" t="s">
        <v>2416</v>
      </c>
      <c r="AL251" s="13" t="s">
        <v>2077</v>
      </c>
      <c r="AM251" s="13" t="s">
        <v>2077</v>
      </c>
      <c r="AN251" s="13" t="s">
        <v>2077</v>
      </c>
      <c r="AO251" s="13" t="s">
        <v>2077</v>
      </c>
      <c r="AP251" s="13" t="s">
        <v>2077</v>
      </c>
      <c r="AQ251" s="13" t="s">
        <v>2077</v>
      </c>
      <c r="AR251" s="13" t="s">
        <v>2418</v>
      </c>
      <c r="AS251" s="13" t="s">
        <v>2419</v>
      </c>
      <c r="AT251" s="13" t="s">
        <v>2420</v>
      </c>
      <c r="AU251" s="13" t="s">
        <v>2421</v>
      </c>
      <c r="AV251" s="13" t="s">
        <v>2422</v>
      </c>
      <c r="AW251" s="13" t="s">
        <v>2416</v>
      </c>
      <c r="AX251" s="13" t="s">
        <v>2073</v>
      </c>
      <c r="AY251" s="13" t="s">
        <v>2073</v>
      </c>
      <c r="AZ251" s="13" t="s">
        <v>2073</v>
      </c>
      <c r="BA251" s="13" t="s">
        <v>2073</v>
      </c>
      <c r="BB251" s="13" t="s">
        <v>2073</v>
      </c>
      <c r="BC251" s="13" t="s">
        <v>2073</v>
      </c>
    </row>
    <row r="252" spans="1:55" ht="15.75" customHeight="1">
      <c r="A252" s="13">
        <v>2000</v>
      </c>
      <c r="B252" s="7" t="s">
        <v>1224</v>
      </c>
      <c r="C252" s="211" t="s">
        <v>2412</v>
      </c>
      <c r="D252" s="13" t="s">
        <v>1223</v>
      </c>
      <c r="E252" s="13" t="s">
        <v>1175</v>
      </c>
      <c r="F252" s="211" t="s">
        <v>2413</v>
      </c>
      <c r="G252" s="13" t="s">
        <v>2414</v>
      </c>
      <c r="H252" s="13" t="s">
        <v>2077</v>
      </c>
      <c r="I252" s="13" t="s">
        <v>2077</v>
      </c>
      <c r="J252" s="13" t="s">
        <v>2077</v>
      </c>
      <c r="K252" s="13" t="s">
        <v>2077</v>
      </c>
      <c r="L252" s="13" t="s">
        <v>2077</v>
      </c>
      <c r="M252" s="13" t="s">
        <v>2077</v>
      </c>
      <c r="N252" s="211" t="s">
        <v>2415</v>
      </c>
      <c r="O252" s="13" t="s">
        <v>2416</v>
      </c>
      <c r="P252" s="69" t="str">
        <f t="shared" ref="P252:Q252" si="248">D252</f>
        <v>MF POLESH UNIT 1</v>
      </c>
      <c r="Q252" s="13" t="str">
        <f t="shared" si="248"/>
        <v>3MF</v>
      </c>
      <c r="R252" s="212" t="s">
        <v>23</v>
      </c>
      <c r="S252" s="213">
        <v>0.97916666666666663</v>
      </c>
      <c r="T252" s="13">
        <v>85</v>
      </c>
      <c r="U252" s="211" t="s">
        <v>83</v>
      </c>
      <c r="V252" s="13">
        <v>1</v>
      </c>
      <c r="W252" s="13" t="s">
        <v>2417</v>
      </c>
      <c r="X252" s="13" t="s">
        <v>1924</v>
      </c>
      <c r="Y252" s="13" t="s">
        <v>2073</v>
      </c>
      <c r="Z252" s="13" t="s">
        <v>2073</v>
      </c>
      <c r="AA252" s="13" t="s">
        <v>2073</v>
      </c>
      <c r="AB252" s="13" t="s">
        <v>1924</v>
      </c>
      <c r="AC252" s="211" t="s">
        <v>2415</v>
      </c>
      <c r="AD252" s="13" t="s">
        <v>2416</v>
      </c>
      <c r="AE252" s="69">
        <v>1112014101</v>
      </c>
      <c r="AF252" s="13" t="s">
        <v>2418</v>
      </c>
      <c r="AG252" s="13" t="s">
        <v>2419</v>
      </c>
      <c r="AH252" s="13" t="s">
        <v>2420</v>
      </c>
      <c r="AI252" s="13" t="s">
        <v>2421</v>
      </c>
      <c r="AJ252" s="13" t="s">
        <v>2422</v>
      </c>
      <c r="AK252" s="13" t="s">
        <v>2416</v>
      </c>
      <c r="AL252" s="13" t="s">
        <v>2077</v>
      </c>
      <c r="AM252" s="13" t="s">
        <v>2077</v>
      </c>
      <c r="AN252" s="13" t="s">
        <v>2077</v>
      </c>
      <c r="AO252" s="13" t="s">
        <v>2077</v>
      </c>
      <c r="AP252" s="13" t="s">
        <v>2077</v>
      </c>
      <c r="AQ252" s="13" t="s">
        <v>2077</v>
      </c>
      <c r="AR252" s="13" t="s">
        <v>2418</v>
      </c>
      <c r="AS252" s="13" t="s">
        <v>2419</v>
      </c>
      <c r="AT252" s="13" t="s">
        <v>2420</v>
      </c>
      <c r="AU252" s="13" t="s">
        <v>2421</v>
      </c>
      <c r="AV252" s="13" t="s">
        <v>2422</v>
      </c>
      <c r="AW252" s="13" t="s">
        <v>2416</v>
      </c>
      <c r="AX252" s="13" t="s">
        <v>2073</v>
      </c>
      <c r="AY252" s="13" t="s">
        <v>2073</v>
      </c>
      <c r="AZ252" s="13" t="s">
        <v>2073</v>
      </c>
      <c r="BA252" s="13" t="s">
        <v>2073</v>
      </c>
      <c r="BB252" s="13" t="s">
        <v>2073</v>
      </c>
      <c r="BC252" s="13" t="s">
        <v>2073</v>
      </c>
    </row>
    <row r="253" spans="1:55" ht="15.75" customHeight="1">
      <c r="A253" s="13">
        <v>2000</v>
      </c>
      <c r="B253" s="7" t="s">
        <v>1228</v>
      </c>
      <c r="C253" s="211" t="s">
        <v>2412</v>
      </c>
      <c r="D253" s="13" t="s">
        <v>1227</v>
      </c>
      <c r="E253" s="13" t="s">
        <v>1175</v>
      </c>
      <c r="F253" s="211" t="s">
        <v>2413</v>
      </c>
      <c r="G253" s="13" t="s">
        <v>2414</v>
      </c>
      <c r="H253" s="13" t="s">
        <v>2077</v>
      </c>
      <c r="I253" s="13" t="s">
        <v>2077</v>
      </c>
      <c r="J253" s="13" t="s">
        <v>2077</v>
      </c>
      <c r="K253" s="13" t="s">
        <v>2077</v>
      </c>
      <c r="L253" s="13" t="s">
        <v>2077</v>
      </c>
      <c r="M253" s="13" t="s">
        <v>2077</v>
      </c>
      <c r="N253" s="211" t="s">
        <v>2415</v>
      </c>
      <c r="O253" s="13" t="s">
        <v>2416</v>
      </c>
      <c r="P253" s="69" t="str">
        <f t="shared" ref="P253:Q253" si="249">D253</f>
        <v>MF POLESH UNIT 2</v>
      </c>
      <c r="Q253" s="13" t="str">
        <f t="shared" si="249"/>
        <v>3MF</v>
      </c>
      <c r="R253" s="212" t="s">
        <v>23</v>
      </c>
      <c r="S253" s="213">
        <v>0.64583333333333337</v>
      </c>
      <c r="T253" s="13">
        <v>85</v>
      </c>
      <c r="U253" s="211" t="s">
        <v>24</v>
      </c>
      <c r="V253" s="13">
        <v>1</v>
      </c>
      <c r="W253" s="13" t="s">
        <v>2417</v>
      </c>
      <c r="X253" s="13" t="s">
        <v>1924</v>
      </c>
      <c r="Y253" s="13" t="s">
        <v>2073</v>
      </c>
      <c r="Z253" s="13" t="s">
        <v>2073</v>
      </c>
      <c r="AA253" s="13" t="s">
        <v>2073</v>
      </c>
      <c r="AB253" s="13" t="s">
        <v>1924</v>
      </c>
      <c r="AC253" s="211" t="s">
        <v>2415</v>
      </c>
      <c r="AD253" s="13" t="s">
        <v>2416</v>
      </c>
      <c r="AE253" s="69">
        <v>1112014102</v>
      </c>
      <c r="AF253" s="13" t="s">
        <v>2418</v>
      </c>
      <c r="AG253" s="13" t="s">
        <v>2419</v>
      </c>
      <c r="AH253" s="13" t="s">
        <v>2420</v>
      </c>
      <c r="AI253" s="13" t="s">
        <v>2421</v>
      </c>
      <c r="AJ253" s="13" t="s">
        <v>2422</v>
      </c>
      <c r="AK253" s="13" t="s">
        <v>2416</v>
      </c>
      <c r="AL253" s="13" t="s">
        <v>2077</v>
      </c>
      <c r="AM253" s="13" t="s">
        <v>2077</v>
      </c>
      <c r="AN253" s="13" t="s">
        <v>2077</v>
      </c>
      <c r="AO253" s="13" t="s">
        <v>2077</v>
      </c>
      <c r="AP253" s="13" t="s">
        <v>2077</v>
      </c>
      <c r="AQ253" s="13" t="s">
        <v>2077</v>
      </c>
      <c r="AR253" s="13" t="s">
        <v>2418</v>
      </c>
      <c r="AS253" s="13" t="s">
        <v>2419</v>
      </c>
      <c r="AT253" s="13" t="s">
        <v>2420</v>
      </c>
      <c r="AU253" s="13" t="s">
        <v>2421</v>
      </c>
      <c r="AV253" s="13" t="s">
        <v>2422</v>
      </c>
      <c r="AW253" s="13" t="s">
        <v>2416</v>
      </c>
      <c r="AX253" s="13" t="s">
        <v>2073</v>
      </c>
      <c r="AY253" s="13" t="s">
        <v>2073</v>
      </c>
      <c r="AZ253" s="13" t="s">
        <v>2073</v>
      </c>
      <c r="BA253" s="13" t="s">
        <v>2073</v>
      </c>
      <c r="BB253" s="13" t="s">
        <v>2073</v>
      </c>
      <c r="BC253" s="13" t="s">
        <v>2073</v>
      </c>
    </row>
    <row r="254" spans="1:55" ht="15.75" customHeight="1">
      <c r="A254" s="13">
        <v>2000</v>
      </c>
      <c r="B254" s="7" t="s">
        <v>1232</v>
      </c>
      <c r="C254" s="211" t="s">
        <v>2412</v>
      </c>
      <c r="D254" s="13" t="s">
        <v>1231</v>
      </c>
      <c r="E254" s="13" t="s">
        <v>1175</v>
      </c>
      <c r="F254" s="211" t="s">
        <v>2413</v>
      </c>
      <c r="G254" s="13" t="s">
        <v>2414</v>
      </c>
      <c r="H254" s="13" t="s">
        <v>2077</v>
      </c>
      <c r="I254" s="13" t="s">
        <v>2077</v>
      </c>
      <c r="J254" s="13" t="s">
        <v>2077</v>
      </c>
      <c r="K254" s="13" t="s">
        <v>2077</v>
      </c>
      <c r="L254" s="13" t="s">
        <v>2077</v>
      </c>
      <c r="M254" s="13" t="s">
        <v>2077</v>
      </c>
      <c r="N254" s="211" t="s">
        <v>2415</v>
      </c>
      <c r="O254" s="13" t="s">
        <v>2416</v>
      </c>
      <c r="P254" s="69" t="str">
        <f t="shared" ref="P254:Q254" si="250">D254</f>
        <v>MF POLESH UNIT 3</v>
      </c>
      <c r="Q254" s="13" t="str">
        <f t="shared" si="250"/>
        <v>3MF</v>
      </c>
      <c r="R254" s="212" t="s">
        <v>23</v>
      </c>
      <c r="S254" s="213">
        <v>0.64583333333333337</v>
      </c>
      <c r="T254" s="13">
        <v>85</v>
      </c>
      <c r="U254" s="211" t="s">
        <v>24</v>
      </c>
      <c r="V254" s="13">
        <v>1</v>
      </c>
      <c r="W254" s="13" t="s">
        <v>2417</v>
      </c>
      <c r="X254" s="13" t="s">
        <v>1924</v>
      </c>
      <c r="Y254" s="13" t="s">
        <v>2073</v>
      </c>
      <c r="Z254" s="13" t="s">
        <v>2073</v>
      </c>
      <c r="AA254" s="13" t="s">
        <v>2073</v>
      </c>
      <c r="AB254" s="13" t="s">
        <v>1924</v>
      </c>
      <c r="AC254" s="211" t="s">
        <v>2415</v>
      </c>
      <c r="AD254" s="13" t="s">
        <v>2416</v>
      </c>
      <c r="AE254" s="69">
        <v>1112014103</v>
      </c>
      <c r="AF254" s="13" t="s">
        <v>2418</v>
      </c>
      <c r="AG254" s="13" t="s">
        <v>2419</v>
      </c>
      <c r="AH254" s="13" t="s">
        <v>2420</v>
      </c>
      <c r="AI254" s="13" t="s">
        <v>2421</v>
      </c>
      <c r="AJ254" s="13" t="s">
        <v>2422</v>
      </c>
      <c r="AK254" s="13" t="s">
        <v>2416</v>
      </c>
      <c r="AL254" s="13" t="s">
        <v>2077</v>
      </c>
      <c r="AM254" s="13" t="s">
        <v>2077</v>
      </c>
      <c r="AN254" s="13" t="s">
        <v>2077</v>
      </c>
      <c r="AO254" s="13" t="s">
        <v>2077</v>
      </c>
      <c r="AP254" s="13" t="s">
        <v>2077</v>
      </c>
      <c r="AQ254" s="13" t="s">
        <v>2077</v>
      </c>
      <c r="AR254" s="13" t="s">
        <v>2418</v>
      </c>
      <c r="AS254" s="13" t="s">
        <v>2419</v>
      </c>
      <c r="AT254" s="13" t="s">
        <v>2420</v>
      </c>
      <c r="AU254" s="13" t="s">
        <v>2421</v>
      </c>
      <c r="AV254" s="13" t="s">
        <v>2422</v>
      </c>
      <c r="AW254" s="13" t="s">
        <v>2416</v>
      </c>
      <c r="AX254" s="13" t="s">
        <v>2073</v>
      </c>
      <c r="AY254" s="13" t="s">
        <v>2073</v>
      </c>
      <c r="AZ254" s="13" t="s">
        <v>2073</v>
      </c>
      <c r="BA254" s="13" t="s">
        <v>2073</v>
      </c>
      <c r="BB254" s="13" t="s">
        <v>2073</v>
      </c>
      <c r="BC254" s="13" t="s">
        <v>2073</v>
      </c>
    </row>
    <row r="255" spans="1:55" ht="15.75" customHeight="1">
      <c r="A255" s="13">
        <v>2000</v>
      </c>
      <c r="B255" s="7" t="s">
        <v>1236</v>
      </c>
      <c r="C255" s="211" t="s">
        <v>2412</v>
      </c>
      <c r="D255" s="13" t="s">
        <v>1248</v>
      </c>
      <c r="E255" s="13" t="s">
        <v>1175</v>
      </c>
      <c r="F255" s="211" t="s">
        <v>2413</v>
      </c>
      <c r="G255" s="13" t="s">
        <v>2414</v>
      </c>
      <c r="H255" s="13" t="s">
        <v>2077</v>
      </c>
      <c r="I255" s="13" t="s">
        <v>2077</v>
      </c>
      <c r="J255" s="13" t="s">
        <v>2077</v>
      </c>
      <c r="K255" s="13" t="s">
        <v>2077</v>
      </c>
      <c r="L255" s="13" t="s">
        <v>2077</v>
      </c>
      <c r="M255" s="13" t="s">
        <v>2077</v>
      </c>
      <c r="N255" s="211" t="s">
        <v>2415</v>
      </c>
      <c r="O255" s="13" t="s">
        <v>2416</v>
      </c>
      <c r="P255" s="69" t="str">
        <f t="shared" ref="P255:Q255" si="251">D255</f>
        <v>MF POWDER COATING</v>
      </c>
      <c r="Q255" s="13" t="str">
        <f t="shared" si="251"/>
        <v>3MF</v>
      </c>
      <c r="R255" s="212" t="s">
        <v>23</v>
      </c>
      <c r="S255" s="213">
        <v>0.70833333333333337</v>
      </c>
      <c r="T255" s="13">
        <v>85</v>
      </c>
      <c r="U255" s="211" t="s">
        <v>24</v>
      </c>
      <c r="V255" s="13">
        <v>1</v>
      </c>
      <c r="W255" s="13" t="s">
        <v>2417</v>
      </c>
      <c r="X255" s="13" t="s">
        <v>1924</v>
      </c>
      <c r="Y255" s="13" t="s">
        <v>2073</v>
      </c>
      <c r="Z255" s="13" t="s">
        <v>2073</v>
      </c>
      <c r="AA255" s="13" t="s">
        <v>2073</v>
      </c>
      <c r="AB255" s="13" t="s">
        <v>1924</v>
      </c>
      <c r="AC255" s="211" t="s">
        <v>2415</v>
      </c>
      <c r="AD255" s="13" t="s">
        <v>2416</v>
      </c>
      <c r="AE255" s="69" t="s">
        <v>1249</v>
      </c>
      <c r="AF255" s="13" t="s">
        <v>2418</v>
      </c>
      <c r="AG255" s="13" t="s">
        <v>2419</v>
      </c>
      <c r="AH255" s="13" t="s">
        <v>2420</v>
      </c>
      <c r="AI255" s="13" t="s">
        <v>2421</v>
      </c>
      <c r="AJ255" s="13" t="s">
        <v>2422</v>
      </c>
      <c r="AK255" s="13" t="s">
        <v>2416</v>
      </c>
      <c r="AL255" s="13" t="s">
        <v>2077</v>
      </c>
      <c r="AM255" s="13" t="s">
        <v>2077</v>
      </c>
      <c r="AN255" s="13" t="s">
        <v>2077</v>
      </c>
      <c r="AO255" s="13" t="s">
        <v>2077</v>
      </c>
      <c r="AP255" s="13" t="s">
        <v>2077</v>
      </c>
      <c r="AQ255" s="13" t="s">
        <v>2077</v>
      </c>
      <c r="AR255" s="13" t="s">
        <v>2418</v>
      </c>
      <c r="AS255" s="13" t="s">
        <v>2419</v>
      </c>
      <c r="AT255" s="13" t="s">
        <v>2420</v>
      </c>
      <c r="AU255" s="13" t="s">
        <v>2421</v>
      </c>
      <c r="AV255" s="13" t="s">
        <v>2422</v>
      </c>
      <c r="AW255" s="13" t="s">
        <v>2416</v>
      </c>
      <c r="AX255" s="13" t="s">
        <v>2073</v>
      </c>
      <c r="AY255" s="13" t="s">
        <v>2073</v>
      </c>
      <c r="AZ255" s="13" t="s">
        <v>2073</v>
      </c>
      <c r="BA255" s="13" t="s">
        <v>2073</v>
      </c>
      <c r="BB255" s="13" t="s">
        <v>2073</v>
      </c>
      <c r="BC255" s="13" t="s">
        <v>2073</v>
      </c>
    </row>
    <row r="256" spans="1:55" ht="15.75" customHeight="1">
      <c r="A256" s="13">
        <v>2000</v>
      </c>
      <c r="B256" s="7" t="s">
        <v>1240</v>
      </c>
      <c r="C256" s="211" t="s">
        <v>2412</v>
      </c>
      <c r="D256" s="13" t="s">
        <v>1252</v>
      </c>
      <c r="E256" s="13" t="s">
        <v>1175</v>
      </c>
      <c r="F256" s="211" t="s">
        <v>2413</v>
      </c>
      <c r="G256" s="13" t="s">
        <v>2414</v>
      </c>
      <c r="H256" s="13" t="s">
        <v>2077</v>
      </c>
      <c r="I256" s="13" t="s">
        <v>2077</v>
      </c>
      <c r="J256" s="13" t="s">
        <v>2077</v>
      </c>
      <c r="K256" s="13" t="s">
        <v>2077</v>
      </c>
      <c r="L256" s="13" t="s">
        <v>2077</v>
      </c>
      <c r="M256" s="13" t="s">
        <v>2077</v>
      </c>
      <c r="N256" s="211" t="s">
        <v>2415</v>
      </c>
      <c r="O256" s="13" t="s">
        <v>2416</v>
      </c>
      <c r="P256" s="69" t="str">
        <f t="shared" ref="P256:Q256" si="252">D256</f>
        <v>MF SANDING A</v>
      </c>
      <c r="Q256" s="13" t="str">
        <f t="shared" si="252"/>
        <v>3MF</v>
      </c>
      <c r="R256" s="212" t="s">
        <v>23</v>
      </c>
      <c r="S256" s="212" t="s">
        <v>2423</v>
      </c>
      <c r="T256" s="13">
        <v>85</v>
      </c>
      <c r="U256" s="211" t="s">
        <v>83</v>
      </c>
      <c r="V256" s="13">
        <v>1</v>
      </c>
      <c r="W256" s="13" t="s">
        <v>2417</v>
      </c>
      <c r="X256" s="13" t="s">
        <v>1924</v>
      </c>
      <c r="Y256" s="13" t="s">
        <v>2073</v>
      </c>
      <c r="Z256" s="13" t="s">
        <v>2073</v>
      </c>
      <c r="AA256" s="13" t="s">
        <v>2073</v>
      </c>
      <c r="AB256" s="13" t="s">
        <v>1924</v>
      </c>
      <c r="AC256" s="211" t="s">
        <v>2415</v>
      </c>
      <c r="AD256" s="13" t="s">
        <v>2416</v>
      </c>
      <c r="AE256" s="69" t="s">
        <v>1253</v>
      </c>
      <c r="AF256" s="13" t="s">
        <v>2418</v>
      </c>
      <c r="AG256" s="13" t="s">
        <v>2419</v>
      </c>
      <c r="AH256" s="13" t="s">
        <v>2420</v>
      </c>
      <c r="AI256" s="13" t="s">
        <v>2421</v>
      </c>
      <c r="AJ256" s="13" t="s">
        <v>2422</v>
      </c>
      <c r="AK256" s="13" t="s">
        <v>2416</v>
      </c>
      <c r="AL256" s="13" t="s">
        <v>2077</v>
      </c>
      <c r="AM256" s="13" t="s">
        <v>2077</v>
      </c>
      <c r="AN256" s="13" t="s">
        <v>2077</v>
      </c>
      <c r="AO256" s="13" t="s">
        <v>2077</v>
      </c>
      <c r="AP256" s="13" t="s">
        <v>2077</v>
      </c>
      <c r="AQ256" s="13" t="s">
        <v>2077</v>
      </c>
      <c r="AR256" s="13" t="s">
        <v>2418</v>
      </c>
      <c r="AS256" s="13" t="s">
        <v>2419</v>
      </c>
      <c r="AT256" s="13" t="s">
        <v>2420</v>
      </c>
      <c r="AU256" s="13" t="s">
        <v>2421</v>
      </c>
      <c r="AV256" s="13" t="s">
        <v>2422</v>
      </c>
      <c r="AW256" s="13" t="s">
        <v>2416</v>
      </c>
      <c r="AX256" s="13" t="s">
        <v>2073</v>
      </c>
      <c r="AY256" s="13" t="s">
        <v>2073</v>
      </c>
      <c r="AZ256" s="13" t="s">
        <v>2073</v>
      </c>
      <c r="BA256" s="13" t="s">
        <v>2073</v>
      </c>
      <c r="BB256" s="13" t="s">
        <v>2073</v>
      </c>
      <c r="BC256" s="13" t="s">
        <v>2073</v>
      </c>
    </row>
    <row r="257" spans="1:55" ht="15.75" customHeight="1">
      <c r="A257" s="13">
        <v>2000</v>
      </c>
      <c r="B257" s="7" t="s">
        <v>1244</v>
      </c>
      <c r="C257" s="211" t="s">
        <v>2412</v>
      </c>
      <c r="D257" s="13" t="s">
        <v>1256</v>
      </c>
      <c r="E257" s="13" t="s">
        <v>1175</v>
      </c>
      <c r="F257" s="211" t="s">
        <v>2413</v>
      </c>
      <c r="G257" s="13" t="s">
        <v>2414</v>
      </c>
      <c r="H257" s="13" t="s">
        <v>2077</v>
      </c>
      <c r="I257" s="13" t="s">
        <v>2077</v>
      </c>
      <c r="J257" s="13" t="s">
        <v>2077</v>
      </c>
      <c r="K257" s="13" t="s">
        <v>2077</v>
      </c>
      <c r="L257" s="13" t="s">
        <v>2077</v>
      </c>
      <c r="M257" s="13" t="s">
        <v>2077</v>
      </c>
      <c r="N257" s="211" t="s">
        <v>2415</v>
      </c>
      <c r="O257" s="13" t="s">
        <v>2416</v>
      </c>
      <c r="P257" s="69" t="str">
        <f t="shared" ref="P257:Q257" si="253">D257</f>
        <v>MF SANDING B</v>
      </c>
      <c r="Q257" s="13" t="str">
        <f t="shared" si="253"/>
        <v>3MF</v>
      </c>
      <c r="R257" s="212" t="s">
        <v>23</v>
      </c>
      <c r="S257" s="212" t="s">
        <v>2423</v>
      </c>
      <c r="T257" s="13">
        <v>85</v>
      </c>
      <c r="U257" s="211" t="s">
        <v>83</v>
      </c>
      <c r="V257" s="13">
        <v>1</v>
      </c>
      <c r="W257" s="13" t="s">
        <v>2417</v>
      </c>
      <c r="X257" s="13" t="s">
        <v>1924</v>
      </c>
      <c r="Y257" s="13" t="s">
        <v>2073</v>
      </c>
      <c r="Z257" s="13" t="s">
        <v>2073</v>
      </c>
      <c r="AA257" s="13" t="s">
        <v>2073</v>
      </c>
      <c r="AB257" s="13" t="s">
        <v>1924</v>
      </c>
      <c r="AC257" s="211" t="s">
        <v>2415</v>
      </c>
      <c r="AD257" s="13" t="s">
        <v>2416</v>
      </c>
      <c r="AE257" s="69" t="s">
        <v>1257</v>
      </c>
      <c r="AF257" s="13" t="s">
        <v>2418</v>
      </c>
      <c r="AG257" s="13" t="s">
        <v>2419</v>
      </c>
      <c r="AH257" s="13" t="s">
        <v>2420</v>
      </c>
      <c r="AI257" s="13" t="s">
        <v>2421</v>
      </c>
      <c r="AJ257" s="13" t="s">
        <v>2422</v>
      </c>
      <c r="AK257" s="13" t="s">
        <v>2416</v>
      </c>
      <c r="AL257" s="13" t="s">
        <v>2077</v>
      </c>
      <c r="AM257" s="13" t="s">
        <v>2077</v>
      </c>
      <c r="AN257" s="13" t="s">
        <v>2077</v>
      </c>
      <c r="AO257" s="13" t="s">
        <v>2077</v>
      </c>
      <c r="AP257" s="13" t="s">
        <v>2077</v>
      </c>
      <c r="AQ257" s="13" t="s">
        <v>2077</v>
      </c>
      <c r="AR257" s="13" t="s">
        <v>2418</v>
      </c>
      <c r="AS257" s="13" t="s">
        <v>2419</v>
      </c>
      <c r="AT257" s="13" t="s">
        <v>2420</v>
      </c>
      <c r="AU257" s="13" t="s">
        <v>2421</v>
      </c>
      <c r="AV257" s="13" t="s">
        <v>2422</v>
      </c>
      <c r="AW257" s="13" t="s">
        <v>2416</v>
      </c>
      <c r="AX257" s="13" t="s">
        <v>2073</v>
      </c>
      <c r="AY257" s="13" t="s">
        <v>2073</v>
      </c>
      <c r="AZ257" s="13" t="s">
        <v>2073</v>
      </c>
      <c r="BA257" s="13" t="s">
        <v>2073</v>
      </c>
      <c r="BB257" s="13" t="s">
        <v>2073</v>
      </c>
      <c r="BC257" s="13" t="s">
        <v>2073</v>
      </c>
    </row>
    <row r="258" spans="1:55" ht="15.75" customHeight="1">
      <c r="A258" s="13">
        <v>2000</v>
      </c>
      <c r="B258" s="7" t="s">
        <v>1260</v>
      </c>
      <c r="C258" s="211" t="s">
        <v>2412</v>
      </c>
      <c r="D258" s="13" t="s">
        <v>1261</v>
      </c>
      <c r="E258" s="13" t="s">
        <v>1175</v>
      </c>
      <c r="F258" s="211" t="s">
        <v>2413</v>
      </c>
      <c r="G258" s="13" t="s">
        <v>2414</v>
      </c>
      <c r="H258" s="13" t="s">
        <v>2077</v>
      </c>
      <c r="I258" s="13" t="s">
        <v>2077</v>
      </c>
      <c r="J258" s="13" t="s">
        <v>2077</v>
      </c>
      <c r="K258" s="13" t="s">
        <v>2077</v>
      </c>
      <c r="L258" s="13" t="s">
        <v>2077</v>
      </c>
      <c r="M258" s="13" t="s">
        <v>2077</v>
      </c>
      <c r="N258" s="211" t="s">
        <v>2415</v>
      </c>
      <c r="O258" s="13" t="s">
        <v>2416</v>
      </c>
      <c r="P258" s="69" t="str">
        <f t="shared" ref="P258:Q258" si="254">D258</f>
        <v>MF SANDING C</v>
      </c>
      <c r="Q258" s="13" t="str">
        <f t="shared" si="254"/>
        <v>3MF</v>
      </c>
      <c r="R258" s="212" t="s">
        <v>23</v>
      </c>
      <c r="S258" s="213">
        <v>0.75</v>
      </c>
      <c r="T258" s="13">
        <v>85</v>
      </c>
      <c r="U258" s="211" t="s">
        <v>24</v>
      </c>
      <c r="V258" s="13">
        <v>1</v>
      </c>
      <c r="W258" s="13" t="s">
        <v>2417</v>
      </c>
      <c r="X258" s="13" t="s">
        <v>1924</v>
      </c>
      <c r="Y258" s="13" t="s">
        <v>2073</v>
      </c>
      <c r="Z258" s="13" t="s">
        <v>2073</v>
      </c>
      <c r="AA258" s="13" t="s">
        <v>2073</v>
      </c>
      <c r="AB258" s="13" t="s">
        <v>1924</v>
      </c>
      <c r="AC258" s="211" t="s">
        <v>2415</v>
      </c>
      <c r="AD258" s="13" t="s">
        <v>2416</v>
      </c>
      <c r="AE258" s="69">
        <v>1112015004</v>
      </c>
      <c r="AF258" s="13" t="s">
        <v>2418</v>
      </c>
      <c r="AG258" s="13" t="s">
        <v>2419</v>
      </c>
      <c r="AH258" s="13" t="s">
        <v>2420</v>
      </c>
      <c r="AI258" s="13" t="s">
        <v>2421</v>
      </c>
      <c r="AJ258" s="13" t="s">
        <v>2422</v>
      </c>
      <c r="AK258" s="13" t="s">
        <v>2416</v>
      </c>
      <c r="AL258" s="13" t="s">
        <v>2077</v>
      </c>
      <c r="AM258" s="13" t="s">
        <v>2077</v>
      </c>
      <c r="AN258" s="13" t="s">
        <v>2077</v>
      </c>
      <c r="AO258" s="13" t="s">
        <v>2077</v>
      </c>
      <c r="AP258" s="13" t="s">
        <v>2077</v>
      </c>
      <c r="AQ258" s="13" t="s">
        <v>2077</v>
      </c>
      <c r="AR258" s="13" t="s">
        <v>2418</v>
      </c>
      <c r="AS258" s="13" t="s">
        <v>2419</v>
      </c>
      <c r="AT258" s="13" t="s">
        <v>2420</v>
      </c>
      <c r="AU258" s="13" t="s">
        <v>2421</v>
      </c>
      <c r="AV258" s="13" t="s">
        <v>2422</v>
      </c>
      <c r="AW258" s="13" t="s">
        <v>2416</v>
      </c>
      <c r="AX258" s="13" t="s">
        <v>2073</v>
      </c>
      <c r="AY258" s="13" t="s">
        <v>2073</v>
      </c>
      <c r="AZ258" s="13" t="s">
        <v>2073</v>
      </c>
      <c r="BA258" s="13" t="s">
        <v>2073</v>
      </c>
      <c r="BB258" s="13" t="s">
        <v>2073</v>
      </c>
      <c r="BC258" s="13" t="s">
        <v>2073</v>
      </c>
    </row>
    <row r="259" spans="1:55" ht="15.75" customHeight="1">
      <c r="A259" s="13">
        <v>2000</v>
      </c>
      <c r="B259" s="7" t="s">
        <v>1264</v>
      </c>
      <c r="C259" s="211" t="s">
        <v>2412</v>
      </c>
      <c r="D259" s="13" t="s">
        <v>1265</v>
      </c>
      <c r="E259" s="13" t="s">
        <v>1175</v>
      </c>
      <c r="F259" s="211" t="s">
        <v>2413</v>
      </c>
      <c r="G259" s="13" t="s">
        <v>2414</v>
      </c>
      <c r="H259" s="13" t="s">
        <v>2077</v>
      </c>
      <c r="I259" s="13" t="s">
        <v>2077</v>
      </c>
      <c r="J259" s="13" t="s">
        <v>2077</v>
      </c>
      <c r="K259" s="13" t="s">
        <v>2077</v>
      </c>
      <c r="L259" s="13" t="s">
        <v>2077</v>
      </c>
      <c r="M259" s="13" t="s">
        <v>2077</v>
      </c>
      <c r="N259" s="211" t="s">
        <v>2415</v>
      </c>
      <c r="O259" s="13" t="s">
        <v>2416</v>
      </c>
      <c r="P259" s="69" t="str">
        <f t="shared" ref="P259:Q259" si="255">D259</f>
        <v>MF SANDING D</v>
      </c>
      <c r="Q259" s="13" t="str">
        <f t="shared" si="255"/>
        <v>3MF</v>
      </c>
      <c r="R259" s="212" t="s">
        <v>23</v>
      </c>
      <c r="S259" s="213">
        <v>0.75</v>
      </c>
      <c r="T259" s="13">
        <v>85</v>
      </c>
      <c r="U259" s="211" t="s">
        <v>24</v>
      </c>
      <c r="V259" s="13">
        <v>1</v>
      </c>
      <c r="W259" s="13" t="s">
        <v>2417</v>
      </c>
      <c r="X259" s="13" t="s">
        <v>1924</v>
      </c>
      <c r="Y259" s="13" t="s">
        <v>2073</v>
      </c>
      <c r="Z259" s="13" t="s">
        <v>2073</v>
      </c>
      <c r="AA259" s="13" t="s">
        <v>2073</v>
      </c>
      <c r="AB259" s="13" t="s">
        <v>1924</v>
      </c>
      <c r="AC259" s="211" t="s">
        <v>2415</v>
      </c>
      <c r="AD259" s="13" t="s">
        <v>2416</v>
      </c>
      <c r="AE259" s="69">
        <v>1112015005</v>
      </c>
      <c r="AF259" s="13" t="s">
        <v>2418</v>
      </c>
      <c r="AG259" s="13" t="s">
        <v>2419</v>
      </c>
      <c r="AH259" s="13" t="s">
        <v>2420</v>
      </c>
      <c r="AI259" s="13" t="s">
        <v>2421</v>
      </c>
      <c r="AJ259" s="13" t="s">
        <v>2422</v>
      </c>
      <c r="AK259" s="13" t="s">
        <v>2416</v>
      </c>
      <c r="AL259" s="13" t="s">
        <v>2077</v>
      </c>
      <c r="AM259" s="13" t="s">
        <v>2077</v>
      </c>
      <c r="AN259" s="13" t="s">
        <v>2077</v>
      </c>
      <c r="AO259" s="13" t="s">
        <v>2077</v>
      </c>
      <c r="AP259" s="13" t="s">
        <v>2077</v>
      </c>
      <c r="AQ259" s="13" t="s">
        <v>2077</v>
      </c>
      <c r="AR259" s="13" t="s">
        <v>2418</v>
      </c>
      <c r="AS259" s="13" t="s">
        <v>2419</v>
      </c>
      <c r="AT259" s="13" t="s">
        <v>2420</v>
      </c>
      <c r="AU259" s="13" t="s">
        <v>2421</v>
      </c>
      <c r="AV259" s="13" t="s">
        <v>2422</v>
      </c>
      <c r="AW259" s="13" t="s">
        <v>2416</v>
      </c>
      <c r="AX259" s="13" t="s">
        <v>2073</v>
      </c>
      <c r="AY259" s="13" t="s">
        <v>2073</v>
      </c>
      <c r="AZ259" s="13" t="s">
        <v>2073</v>
      </c>
      <c r="BA259" s="13" t="s">
        <v>2073</v>
      </c>
      <c r="BB259" s="13" t="s">
        <v>2073</v>
      </c>
      <c r="BC259" s="13" t="s">
        <v>2073</v>
      </c>
    </row>
    <row r="260" spans="1:55" ht="15.75" customHeight="1">
      <c r="A260" s="13">
        <v>2000</v>
      </c>
      <c r="B260" s="7" t="s">
        <v>1025</v>
      </c>
      <c r="C260" s="211" t="s">
        <v>2412</v>
      </c>
      <c r="D260" s="13" t="s">
        <v>1268</v>
      </c>
      <c r="E260" s="13" t="s">
        <v>1175</v>
      </c>
      <c r="F260" s="211" t="s">
        <v>2413</v>
      </c>
      <c r="G260" s="13" t="s">
        <v>2414</v>
      </c>
      <c r="H260" s="13" t="s">
        <v>2077</v>
      </c>
      <c r="I260" s="13" t="s">
        <v>2077</v>
      </c>
      <c r="J260" s="13" t="s">
        <v>2077</v>
      </c>
      <c r="K260" s="13" t="s">
        <v>2077</v>
      </c>
      <c r="L260" s="13" t="s">
        <v>2077</v>
      </c>
      <c r="M260" s="13" t="s">
        <v>2077</v>
      </c>
      <c r="N260" s="211" t="s">
        <v>2415</v>
      </c>
      <c r="O260" s="13" t="s">
        <v>2416</v>
      </c>
      <c r="P260" s="69" t="str">
        <f t="shared" ref="P260:Q260" si="256">D260</f>
        <v>MF COLOURING 1</v>
      </c>
      <c r="Q260" s="13" t="str">
        <f t="shared" si="256"/>
        <v>3MF</v>
      </c>
      <c r="R260" s="212" t="s">
        <v>23</v>
      </c>
      <c r="S260" s="212" t="s">
        <v>2423</v>
      </c>
      <c r="T260" s="13">
        <v>85</v>
      </c>
      <c r="U260" s="211" t="s">
        <v>83</v>
      </c>
      <c r="V260" s="13">
        <v>1</v>
      </c>
      <c r="W260" s="13" t="s">
        <v>2417</v>
      </c>
      <c r="X260" s="13" t="s">
        <v>1924</v>
      </c>
      <c r="Y260" s="13" t="s">
        <v>2073</v>
      </c>
      <c r="Z260" s="13" t="s">
        <v>2073</v>
      </c>
      <c r="AA260" s="13" t="s">
        <v>2073</v>
      </c>
      <c r="AB260" s="13" t="s">
        <v>1924</v>
      </c>
      <c r="AC260" s="211" t="s">
        <v>2415</v>
      </c>
      <c r="AD260" s="13" t="s">
        <v>2416</v>
      </c>
      <c r="AE260" s="69" t="s">
        <v>1269</v>
      </c>
      <c r="AF260" s="13" t="s">
        <v>2418</v>
      </c>
      <c r="AG260" s="13" t="s">
        <v>2419</v>
      </c>
      <c r="AH260" s="13" t="s">
        <v>2420</v>
      </c>
      <c r="AI260" s="13" t="s">
        <v>2421</v>
      </c>
      <c r="AJ260" s="13" t="s">
        <v>2422</v>
      </c>
      <c r="AK260" s="13" t="s">
        <v>2416</v>
      </c>
      <c r="AL260" s="13" t="s">
        <v>2077</v>
      </c>
      <c r="AM260" s="13" t="s">
        <v>2077</v>
      </c>
      <c r="AN260" s="13" t="s">
        <v>2077</v>
      </c>
      <c r="AO260" s="13" t="s">
        <v>2077</v>
      </c>
      <c r="AP260" s="13" t="s">
        <v>2077</v>
      </c>
      <c r="AQ260" s="13" t="s">
        <v>2077</v>
      </c>
      <c r="AR260" s="13" t="s">
        <v>2418</v>
      </c>
      <c r="AS260" s="13" t="s">
        <v>2419</v>
      </c>
      <c r="AT260" s="13" t="s">
        <v>2420</v>
      </c>
      <c r="AU260" s="13" t="s">
        <v>2421</v>
      </c>
      <c r="AV260" s="13" t="s">
        <v>2422</v>
      </c>
      <c r="AW260" s="13" t="s">
        <v>2416</v>
      </c>
      <c r="AX260" s="13" t="s">
        <v>2073</v>
      </c>
      <c r="AY260" s="13" t="s">
        <v>2073</v>
      </c>
      <c r="AZ260" s="13" t="s">
        <v>2073</v>
      </c>
      <c r="BA260" s="13" t="s">
        <v>2073</v>
      </c>
      <c r="BB260" s="13" t="s">
        <v>2073</v>
      </c>
      <c r="BC260" s="13" t="s">
        <v>2073</v>
      </c>
    </row>
    <row r="261" spans="1:55" ht="15.75" customHeight="1">
      <c r="A261" s="13">
        <v>2000</v>
      </c>
      <c r="B261" s="7" t="s">
        <v>1030</v>
      </c>
      <c r="C261" s="211" t="s">
        <v>2412</v>
      </c>
      <c r="D261" s="13" t="s">
        <v>1271</v>
      </c>
      <c r="E261" s="13" t="s">
        <v>1175</v>
      </c>
      <c r="F261" s="211" t="s">
        <v>2413</v>
      </c>
      <c r="G261" s="13" t="s">
        <v>2414</v>
      </c>
      <c r="H261" s="13" t="s">
        <v>2077</v>
      </c>
      <c r="I261" s="13" t="s">
        <v>2077</v>
      </c>
      <c r="J261" s="13" t="s">
        <v>2077</v>
      </c>
      <c r="K261" s="13" t="s">
        <v>2077</v>
      </c>
      <c r="L261" s="13" t="s">
        <v>2077</v>
      </c>
      <c r="M261" s="13" t="s">
        <v>2077</v>
      </c>
      <c r="N261" s="211" t="s">
        <v>2415</v>
      </c>
      <c r="O261" s="13" t="s">
        <v>2416</v>
      </c>
      <c r="P261" s="69" t="str">
        <f t="shared" ref="P261:Q261" si="257">D261</f>
        <v>MF COLOURING 2</v>
      </c>
      <c r="Q261" s="13" t="str">
        <f t="shared" si="257"/>
        <v>3MF</v>
      </c>
      <c r="R261" s="212" t="s">
        <v>23</v>
      </c>
      <c r="S261" s="212" t="s">
        <v>2423</v>
      </c>
      <c r="T261" s="13">
        <v>85</v>
      </c>
      <c r="U261" s="211" t="s">
        <v>83</v>
      </c>
      <c r="V261" s="13">
        <v>1</v>
      </c>
      <c r="W261" s="13" t="s">
        <v>2417</v>
      </c>
      <c r="X261" s="13" t="s">
        <v>1924</v>
      </c>
      <c r="Y261" s="13" t="s">
        <v>2073</v>
      </c>
      <c r="Z261" s="13" t="s">
        <v>2073</v>
      </c>
      <c r="AA261" s="13" t="s">
        <v>2073</v>
      </c>
      <c r="AB261" s="13" t="s">
        <v>1924</v>
      </c>
      <c r="AC261" s="211" t="s">
        <v>2415</v>
      </c>
      <c r="AD261" s="13" t="s">
        <v>2416</v>
      </c>
      <c r="AE261" s="69" t="s">
        <v>1272</v>
      </c>
      <c r="AF261" s="13" t="s">
        <v>2418</v>
      </c>
      <c r="AG261" s="13" t="s">
        <v>2419</v>
      </c>
      <c r="AH261" s="13" t="s">
        <v>2420</v>
      </c>
      <c r="AI261" s="13" t="s">
        <v>2421</v>
      </c>
      <c r="AJ261" s="13" t="s">
        <v>2422</v>
      </c>
      <c r="AK261" s="13" t="s">
        <v>2416</v>
      </c>
      <c r="AL261" s="13" t="s">
        <v>2077</v>
      </c>
      <c r="AM261" s="13" t="s">
        <v>2077</v>
      </c>
      <c r="AN261" s="13" t="s">
        <v>2077</v>
      </c>
      <c r="AO261" s="13" t="s">
        <v>2077</v>
      </c>
      <c r="AP261" s="13" t="s">
        <v>2077</v>
      </c>
      <c r="AQ261" s="13" t="s">
        <v>2077</v>
      </c>
      <c r="AR261" s="13" t="s">
        <v>2418</v>
      </c>
      <c r="AS261" s="13" t="s">
        <v>2419</v>
      </c>
      <c r="AT261" s="13" t="s">
        <v>2420</v>
      </c>
      <c r="AU261" s="13" t="s">
        <v>2421</v>
      </c>
      <c r="AV261" s="13" t="s">
        <v>2422</v>
      </c>
      <c r="AW261" s="13" t="s">
        <v>2416</v>
      </c>
      <c r="AX261" s="13" t="s">
        <v>2073</v>
      </c>
      <c r="AY261" s="13" t="s">
        <v>2073</v>
      </c>
      <c r="AZ261" s="13" t="s">
        <v>2073</v>
      </c>
      <c r="BA261" s="13" t="s">
        <v>2073</v>
      </c>
      <c r="BB261" s="13" t="s">
        <v>2073</v>
      </c>
      <c r="BC261" s="13" t="s">
        <v>2073</v>
      </c>
    </row>
    <row r="262" spans="1:55" ht="15.75" customHeight="1">
      <c r="A262" s="13">
        <v>2000</v>
      </c>
      <c r="B262" s="7" t="s">
        <v>1275</v>
      </c>
      <c r="C262" s="211" t="s">
        <v>2412</v>
      </c>
      <c r="D262" s="13" t="s">
        <v>1274</v>
      </c>
      <c r="E262" s="13" t="s">
        <v>1175</v>
      </c>
      <c r="F262" s="211" t="s">
        <v>2413</v>
      </c>
      <c r="G262" s="13" t="s">
        <v>2414</v>
      </c>
      <c r="H262" s="13" t="s">
        <v>2077</v>
      </c>
      <c r="I262" s="13" t="s">
        <v>2077</v>
      </c>
      <c r="J262" s="13" t="s">
        <v>2077</v>
      </c>
      <c r="K262" s="13" t="s">
        <v>2077</v>
      </c>
      <c r="L262" s="13" t="s">
        <v>2077</v>
      </c>
      <c r="M262" s="13" t="s">
        <v>2077</v>
      </c>
      <c r="N262" s="211" t="s">
        <v>2415</v>
      </c>
      <c r="O262" s="13" t="s">
        <v>2416</v>
      </c>
      <c r="P262" s="69" t="str">
        <f t="shared" ref="P262:Q262" si="258">D262</f>
        <v>MF COLOURING 3</v>
      </c>
      <c r="Q262" s="13" t="str">
        <f t="shared" si="258"/>
        <v>3MF</v>
      </c>
      <c r="R262" s="212" t="s">
        <v>23</v>
      </c>
      <c r="S262" s="212" t="s">
        <v>2423</v>
      </c>
      <c r="T262" s="13">
        <v>85</v>
      </c>
      <c r="U262" s="211" t="s">
        <v>83</v>
      </c>
      <c r="V262" s="13">
        <v>1</v>
      </c>
      <c r="W262" s="13" t="s">
        <v>2417</v>
      </c>
      <c r="X262" s="13" t="s">
        <v>1924</v>
      </c>
      <c r="Y262" s="13" t="s">
        <v>2073</v>
      </c>
      <c r="Z262" s="13" t="s">
        <v>2073</v>
      </c>
      <c r="AA262" s="13" t="s">
        <v>2073</v>
      </c>
      <c r="AB262" s="13" t="s">
        <v>1924</v>
      </c>
      <c r="AC262" s="211" t="s">
        <v>2415</v>
      </c>
      <c r="AD262" s="13" t="s">
        <v>2416</v>
      </c>
      <c r="AE262" s="69" t="s">
        <v>1276</v>
      </c>
      <c r="AF262" s="13" t="s">
        <v>2418</v>
      </c>
      <c r="AG262" s="13" t="s">
        <v>2419</v>
      </c>
      <c r="AH262" s="13" t="s">
        <v>2420</v>
      </c>
      <c r="AI262" s="13" t="s">
        <v>2421</v>
      </c>
      <c r="AJ262" s="13" t="s">
        <v>2422</v>
      </c>
      <c r="AK262" s="13" t="s">
        <v>2416</v>
      </c>
      <c r="AL262" s="13" t="s">
        <v>2077</v>
      </c>
      <c r="AM262" s="13" t="s">
        <v>2077</v>
      </c>
      <c r="AN262" s="13" t="s">
        <v>2077</v>
      </c>
      <c r="AO262" s="13" t="s">
        <v>2077</v>
      </c>
      <c r="AP262" s="13" t="s">
        <v>2077</v>
      </c>
      <c r="AQ262" s="13" t="s">
        <v>2077</v>
      </c>
      <c r="AR262" s="13" t="s">
        <v>2418</v>
      </c>
      <c r="AS262" s="13" t="s">
        <v>2419</v>
      </c>
      <c r="AT262" s="13" t="s">
        <v>2420</v>
      </c>
      <c r="AU262" s="13" t="s">
        <v>2421</v>
      </c>
      <c r="AV262" s="13" t="s">
        <v>2422</v>
      </c>
      <c r="AW262" s="13" t="s">
        <v>2416</v>
      </c>
      <c r="AX262" s="13" t="s">
        <v>2073</v>
      </c>
      <c r="AY262" s="13" t="s">
        <v>2073</v>
      </c>
      <c r="AZ262" s="13" t="s">
        <v>2073</v>
      </c>
      <c r="BA262" s="13" t="s">
        <v>2073</v>
      </c>
      <c r="BB262" s="13" t="s">
        <v>2073</v>
      </c>
      <c r="BC262" s="13" t="s">
        <v>2073</v>
      </c>
    </row>
    <row r="263" spans="1:55" ht="15.75" customHeight="1">
      <c r="A263" s="13">
        <v>2000</v>
      </c>
      <c r="B263" s="7" t="s">
        <v>1279</v>
      </c>
      <c r="C263" s="211" t="s">
        <v>2412</v>
      </c>
      <c r="D263" s="13" t="s">
        <v>1278</v>
      </c>
      <c r="E263" s="13" t="s">
        <v>1175</v>
      </c>
      <c r="F263" s="211" t="s">
        <v>2413</v>
      </c>
      <c r="G263" s="13" t="s">
        <v>2414</v>
      </c>
      <c r="H263" s="13" t="s">
        <v>2077</v>
      </c>
      <c r="I263" s="13" t="s">
        <v>2077</v>
      </c>
      <c r="J263" s="13" t="s">
        <v>2077</v>
      </c>
      <c r="K263" s="13" t="s">
        <v>2077</v>
      </c>
      <c r="L263" s="13" t="s">
        <v>2077</v>
      </c>
      <c r="M263" s="13" t="s">
        <v>2077</v>
      </c>
      <c r="N263" s="211" t="s">
        <v>2415</v>
      </c>
      <c r="O263" s="13" t="s">
        <v>2416</v>
      </c>
      <c r="P263" s="69" t="str">
        <f t="shared" ref="P263:Q263" si="259">D263</f>
        <v>MF COLOURING 4</v>
      </c>
      <c r="Q263" s="13" t="str">
        <f t="shared" si="259"/>
        <v>3MF</v>
      </c>
      <c r="R263" s="212" t="s">
        <v>23</v>
      </c>
      <c r="S263" s="212" t="s">
        <v>2423</v>
      </c>
      <c r="T263" s="13">
        <v>85</v>
      </c>
      <c r="U263" s="211" t="s">
        <v>83</v>
      </c>
      <c r="V263" s="13">
        <v>1</v>
      </c>
      <c r="W263" s="13" t="s">
        <v>2417</v>
      </c>
      <c r="X263" s="13" t="s">
        <v>1924</v>
      </c>
      <c r="Y263" s="13" t="s">
        <v>2073</v>
      </c>
      <c r="Z263" s="13" t="s">
        <v>2073</v>
      </c>
      <c r="AA263" s="13" t="s">
        <v>2073</v>
      </c>
      <c r="AB263" s="13" t="s">
        <v>1924</v>
      </c>
      <c r="AC263" s="211" t="s">
        <v>2415</v>
      </c>
      <c r="AD263" s="13" t="s">
        <v>2416</v>
      </c>
      <c r="AE263" s="69" t="s">
        <v>1281</v>
      </c>
      <c r="AF263" s="13" t="s">
        <v>2418</v>
      </c>
      <c r="AG263" s="13" t="s">
        <v>2419</v>
      </c>
      <c r="AH263" s="13" t="s">
        <v>2420</v>
      </c>
      <c r="AI263" s="13" t="s">
        <v>2421</v>
      </c>
      <c r="AJ263" s="13" t="s">
        <v>2422</v>
      </c>
      <c r="AK263" s="13" t="s">
        <v>2416</v>
      </c>
      <c r="AL263" s="13" t="s">
        <v>2077</v>
      </c>
      <c r="AM263" s="13" t="s">
        <v>2077</v>
      </c>
      <c r="AN263" s="13" t="s">
        <v>2077</v>
      </c>
      <c r="AO263" s="13" t="s">
        <v>2077</v>
      </c>
      <c r="AP263" s="13" t="s">
        <v>2077</v>
      </c>
      <c r="AQ263" s="13" t="s">
        <v>2077</v>
      </c>
      <c r="AR263" s="13" t="s">
        <v>2418</v>
      </c>
      <c r="AS263" s="13" t="s">
        <v>2419</v>
      </c>
      <c r="AT263" s="13" t="s">
        <v>2420</v>
      </c>
      <c r="AU263" s="13" t="s">
        <v>2421</v>
      </c>
      <c r="AV263" s="13" t="s">
        <v>2422</v>
      </c>
      <c r="AW263" s="13" t="s">
        <v>2416</v>
      </c>
      <c r="AX263" s="13" t="s">
        <v>2073</v>
      </c>
      <c r="AY263" s="13" t="s">
        <v>2073</v>
      </c>
      <c r="AZ263" s="13" t="s">
        <v>2073</v>
      </c>
      <c r="BA263" s="13" t="s">
        <v>2073</v>
      </c>
      <c r="BB263" s="13" t="s">
        <v>2073</v>
      </c>
      <c r="BC263" s="13" t="s">
        <v>2073</v>
      </c>
    </row>
    <row r="264" spans="1:55" ht="15.75" customHeight="1">
      <c r="A264" s="13">
        <v>2000</v>
      </c>
      <c r="B264" s="7" t="s">
        <v>1284</v>
      </c>
      <c r="C264" s="211" t="s">
        <v>2412</v>
      </c>
      <c r="D264" s="13" t="s">
        <v>1283</v>
      </c>
      <c r="E264" s="13" t="s">
        <v>1175</v>
      </c>
      <c r="F264" s="211" t="s">
        <v>2413</v>
      </c>
      <c r="G264" s="13" t="s">
        <v>2414</v>
      </c>
      <c r="H264" s="13" t="s">
        <v>2077</v>
      </c>
      <c r="I264" s="13" t="s">
        <v>2077</v>
      </c>
      <c r="J264" s="13" t="s">
        <v>2077</v>
      </c>
      <c r="K264" s="13" t="s">
        <v>2077</v>
      </c>
      <c r="L264" s="13" t="s">
        <v>2077</v>
      </c>
      <c r="M264" s="13" t="s">
        <v>2077</v>
      </c>
      <c r="N264" s="211" t="s">
        <v>2415</v>
      </c>
      <c r="O264" s="13" t="s">
        <v>2416</v>
      </c>
      <c r="P264" s="69" t="str">
        <f t="shared" ref="P264:Q264" si="260">D264</f>
        <v>MF COLOURING 5</v>
      </c>
      <c r="Q264" s="13" t="str">
        <f t="shared" si="260"/>
        <v>3MF</v>
      </c>
      <c r="R264" s="212" t="s">
        <v>23</v>
      </c>
      <c r="S264" s="212" t="s">
        <v>2423</v>
      </c>
      <c r="T264" s="13">
        <v>85</v>
      </c>
      <c r="U264" s="211" t="s">
        <v>83</v>
      </c>
      <c r="V264" s="13">
        <v>1</v>
      </c>
      <c r="W264" s="13" t="s">
        <v>2417</v>
      </c>
      <c r="X264" s="13" t="s">
        <v>1924</v>
      </c>
      <c r="Y264" s="13" t="s">
        <v>2073</v>
      </c>
      <c r="Z264" s="13" t="s">
        <v>2073</v>
      </c>
      <c r="AA264" s="13" t="s">
        <v>2073</v>
      </c>
      <c r="AB264" s="13" t="s">
        <v>1924</v>
      </c>
      <c r="AC264" s="211" t="s">
        <v>2415</v>
      </c>
      <c r="AD264" s="13" t="s">
        <v>2416</v>
      </c>
      <c r="AE264" s="69" t="s">
        <v>1286</v>
      </c>
      <c r="AF264" s="13" t="s">
        <v>2418</v>
      </c>
      <c r="AG264" s="13" t="s">
        <v>2419</v>
      </c>
      <c r="AH264" s="13" t="s">
        <v>2420</v>
      </c>
      <c r="AI264" s="13" t="s">
        <v>2421</v>
      </c>
      <c r="AJ264" s="13" t="s">
        <v>2422</v>
      </c>
      <c r="AK264" s="13" t="s">
        <v>2416</v>
      </c>
      <c r="AL264" s="13" t="s">
        <v>2077</v>
      </c>
      <c r="AM264" s="13" t="s">
        <v>2077</v>
      </c>
      <c r="AN264" s="13" t="s">
        <v>2077</v>
      </c>
      <c r="AO264" s="13" t="s">
        <v>2077</v>
      </c>
      <c r="AP264" s="13" t="s">
        <v>2077</v>
      </c>
      <c r="AQ264" s="13" t="s">
        <v>2077</v>
      </c>
      <c r="AR264" s="13" t="s">
        <v>2418</v>
      </c>
      <c r="AS264" s="13" t="s">
        <v>2419</v>
      </c>
      <c r="AT264" s="13" t="s">
        <v>2420</v>
      </c>
      <c r="AU264" s="13" t="s">
        <v>2421</v>
      </c>
      <c r="AV264" s="13" t="s">
        <v>2422</v>
      </c>
      <c r="AW264" s="13" t="s">
        <v>2416</v>
      </c>
      <c r="AX264" s="13" t="s">
        <v>2073</v>
      </c>
      <c r="AY264" s="13" t="s">
        <v>2073</v>
      </c>
      <c r="AZ264" s="13" t="s">
        <v>2073</v>
      </c>
      <c r="BA264" s="13" t="s">
        <v>2073</v>
      </c>
      <c r="BB264" s="13" t="s">
        <v>2073</v>
      </c>
      <c r="BC264" s="13" t="s">
        <v>2073</v>
      </c>
    </row>
    <row r="265" spans="1:55" ht="15.75" customHeight="1">
      <c r="A265" s="13">
        <v>2000</v>
      </c>
      <c r="B265" s="7" t="s">
        <v>1289</v>
      </c>
      <c r="C265" s="211" t="s">
        <v>2412</v>
      </c>
      <c r="D265" s="13" t="s">
        <v>1288</v>
      </c>
      <c r="E265" s="13" t="s">
        <v>1175</v>
      </c>
      <c r="F265" s="211" t="s">
        <v>2413</v>
      </c>
      <c r="G265" s="13" t="s">
        <v>2414</v>
      </c>
      <c r="H265" s="13" t="s">
        <v>2077</v>
      </c>
      <c r="I265" s="13" t="s">
        <v>2077</v>
      </c>
      <c r="J265" s="13" t="s">
        <v>2077</v>
      </c>
      <c r="K265" s="13" t="s">
        <v>2077</v>
      </c>
      <c r="L265" s="13" t="s">
        <v>2077</v>
      </c>
      <c r="M265" s="13" t="s">
        <v>2077</v>
      </c>
      <c r="N265" s="211" t="s">
        <v>2415</v>
      </c>
      <c r="O265" s="13" t="s">
        <v>2416</v>
      </c>
      <c r="P265" s="69" t="str">
        <f t="shared" ref="P265:Q265" si="261">D265</f>
        <v>MF COLOURING 6</v>
      </c>
      <c r="Q265" s="13" t="str">
        <f t="shared" si="261"/>
        <v>3MF</v>
      </c>
      <c r="R265" s="212" t="s">
        <v>23</v>
      </c>
      <c r="S265" s="212" t="s">
        <v>2423</v>
      </c>
      <c r="T265" s="13">
        <v>85</v>
      </c>
      <c r="U265" s="211" t="s">
        <v>83</v>
      </c>
      <c r="V265" s="13">
        <v>1</v>
      </c>
      <c r="W265" s="13" t="s">
        <v>2417</v>
      </c>
      <c r="X265" s="13" t="s">
        <v>1924</v>
      </c>
      <c r="Y265" s="13" t="s">
        <v>2073</v>
      </c>
      <c r="Z265" s="13" t="s">
        <v>2073</v>
      </c>
      <c r="AA265" s="13" t="s">
        <v>2073</v>
      </c>
      <c r="AB265" s="13" t="s">
        <v>1924</v>
      </c>
      <c r="AC265" s="211" t="s">
        <v>2415</v>
      </c>
      <c r="AD265" s="13" t="s">
        <v>2416</v>
      </c>
      <c r="AE265" s="69" t="s">
        <v>1291</v>
      </c>
      <c r="AF265" s="13" t="s">
        <v>2418</v>
      </c>
      <c r="AG265" s="13" t="s">
        <v>2419</v>
      </c>
      <c r="AH265" s="13" t="s">
        <v>2420</v>
      </c>
      <c r="AI265" s="13" t="s">
        <v>2421</v>
      </c>
      <c r="AJ265" s="13" t="s">
        <v>2422</v>
      </c>
      <c r="AK265" s="13" t="s">
        <v>2416</v>
      </c>
      <c r="AL265" s="13" t="s">
        <v>2077</v>
      </c>
      <c r="AM265" s="13" t="s">
        <v>2077</v>
      </c>
      <c r="AN265" s="13" t="s">
        <v>2077</v>
      </c>
      <c r="AO265" s="13" t="s">
        <v>2077</v>
      </c>
      <c r="AP265" s="13" t="s">
        <v>2077</v>
      </c>
      <c r="AQ265" s="13" t="s">
        <v>2077</v>
      </c>
      <c r="AR265" s="13" t="s">
        <v>2418</v>
      </c>
      <c r="AS265" s="13" t="s">
        <v>2419</v>
      </c>
      <c r="AT265" s="13" t="s">
        <v>2420</v>
      </c>
      <c r="AU265" s="13" t="s">
        <v>2421</v>
      </c>
      <c r="AV265" s="13" t="s">
        <v>2422</v>
      </c>
      <c r="AW265" s="13" t="s">
        <v>2416</v>
      </c>
      <c r="AX265" s="13" t="s">
        <v>2073</v>
      </c>
      <c r="AY265" s="13" t="s">
        <v>2073</v>
      </c>
      <c r="AZ265" s="13" t="s">
        <v>2073</v>
      </c>
      <c r="BA265" s="13" t="s">
        <v>2073</v>
      </c>
      <c r="BB265" s="13" t="s">
        <v>2073</v>
      </c>
      <c r="BC265" s="13" t="s">
        <v>2073</v>
      </c>
    </row>
    <row r="266" spans="1:55" ht="15.75" customHeight="1">
      <c r="A266" s="13">
        <v>2000</v>
      </c>
      <c r="B266" s="7" t="s">
        <v>1294</v>
      </c>
      <c r="C266" s="211" t="s">
        <v>2412</v>
      </c>
      <c r="D266" s="13" t="s">
        <v>1293</v>
      </c>
      <c r="E266" s="13" t="s">
        <v>1175</v>
      </c>
      <c r="F266" s="211" t="s">
        <v>2413</v>
      </c>
      <c r="G266" s="13" t="s">
        <v>2414</v>
      </c>
      <c r="H266" s="13" t="s">
        <v>2077</v>
      </c>
      <c r="I266" s="13" t="s">
        <v>2077</v>
      </c>
      <c r="J266" s="13" t="s">
        <v>2077</v>
      </c>
      <c r="K266" s="13" t="s">
        <v>2077</v>
      </c>
      <c r="L266" s="13" t="s">
        <v>2077</v>
      </c>
      <c r="M266" s="13" t="s">
        <v>2077</v>
      </c>
      <c r="N266" s="211" t="s">
        <v>2415</v>
      </c>
      <c r="O266" s="13" t="s">
        <v>2416</v>
      </c>
      <c r="P266" s="69" t="str">
        <f t="shared" ref="P266:Q266" si="262">D266</f>
        <v>MF COLOURING 7</v>
      </c>
      <c r="Q266" s="13" t="str">
        <f t="shared" si="262"/>
        <v>3MF</v>
      </c>
      <c r="R266" s="212" t="s">
        <v>23</v>
      </c>
      <c r="S266" s="212" t="s">
        <v>2423</v>
      </c>
      <c r="T266" s="13">
        <v>85</v>
      </c>
      <c r="U266" s="211" t="s">
        <v>83</v>
      </c>
      <c r="V266" s="13">
        <v>1</v>
      </c>
      <c r="W266" s="13" t="s">
        <v>2417</v>
      </c>
      <c r="X266" s="13" t="s">
        <v>1924</v>
      </c>
      <c r="Y266" s="13" t="s">
        <v>2073</v>
      </c>
      <c r="Z266" s="13" t="s">
        <v>2073</v>
      </c>
      <c r="AA266" s="13" t="s">
        <v>2073</v>
      </c>
      <c r="AB266" s="13" t="s">
        <v>1924</v>
      </c>
      <c r="AC266" s="211" t="s">
        <v>2415</v>
      </c>
      <c r="AD266" s="13" t="s">
        <v>2416</v>
      </c>
      <c r="AE266" s="69" t="s">
        <v>1296</v>
      </c>
      <c r="AF266" s="13" t="s">
        <v>2418</v>
      </c>
      <c r="AG266" s="13" t="s">
        <v>2419</v>
      </c>
      <c r="AH266" s="13" t="s">
        <v>2420</v>
      </c>
      <c r="AI266" s="13" t="s">
        <v>2421</v>
      </c>
      <c r="AJ266" s="13" t="s">
        <v>2422</v>
      </c>
      <c r="AK266" s="13" t="s">
        <v>2416</v>
      </c>
      <c r="AL266" s="13" t="s">
        <v>2077</v>
      </c>
      <c r="AM266" s="13" t="s">
        <v>2077</v>
      </c>
      <c r="AN266" s="13" t="s">
        <v>2077</v>
      </c>
      <c r="AO266" s="13" t="s">
        <v>2077</v>
      </c>
      <c r="AP266" s="13" t="s">
        <v>2077</v>
      </c>
      <c r="AQ266" s="13" t="s">
        <v>2077</v>
      </c>
      <c r="AR266" s="13" t="s">
        <v>2418</v>
      </c>
      <c r="AS266" s="13" t="s">
        <v>2419</v>
      </c>
      <c r="AT266" s="13" t="s">
        <v>2420</v>
      </c>
      <c r="AU266" s="13" t="s">
        <v>2421</v>
      </c>
      <c r="AV266" s="13" t="s">
        <v>2422</v>
      </c>
      <c r="AW266" s="13" t="s">
        <v>2416</v>
      </c>
      <c r="AX266" s="13" t="s">
        <v>2073</v>
      </c>
      <c r="AY266" s="13" t="s">
        <v>2073</v>
      </c>
      <c r="AZ266" s="13" t="s">
        <v>2073</v>
      </c>
      <c r="BA266" s="13" t="s">
        <v>2073</v>
      </c>
      <c r="BB266" s="13" t="s">
        <v>2073</v>
      </c>
      <c r="BC266" s="13" t="s">
        <v>2073</v>
      </c>
    </row>
    <row r="267" spans="1:55" ht="15.75" customHeight="1">
      <c r="A267" s="13">
        <v>2000</v>
      </c>
      <c r="B267" s="7" t="s">
        <v>1299</v>
      </c>
      <c r="C267" s="211" t="s">
        <v>2412</v>
      </c>
      <c r="D267" s="13" t="s">
        <v>1298</v>
      </c>
      <c r="E267" s="13" t="s">
        <v>1175</v>
      </c>
      <c r="F267" s="211" t="s">
        <v>2413</v>
      </c>
      <c r="G267" s="13" t="s">
        <v>2414</v>
      </c>
      <c r="H267" s="13" t="s">
        <v>2077</v>
      </c>
      <c r="I267" s="13" t="s">
        <v>2077</v>
      </c>
      <c r="J267" s="13" t="s">
        <v>2077</v>
      </c>
      <c r="K267" s="13" t="s">
        <v>2077</v>
      </c>
      <c r="L267" s="13" t="s">
        <v>2077</v>
      </c>
      <c r="M267" s="13" t="s">
        <v>2077</v>
      </c>
      <c r="N267" s="211" t="s">
        <v>2415</v>
      </c>
      <c r="O267" s="13" t="s">
        <v>2416</v>
      </c>
      <c r="P267" s="69" t="str">
        <f t="shared" ref="P267:Q267" si="263">D267</f>
        <v>MF COLOURING 8</v>
      </c>
      <c r="Q267" s="13" t="str">
        <f t="shared" si="263"/>
        <v>3MF</v>
      </c>
      <c r="R267" s="212" t="s">
        <v>23</v>
      </c>
      <c r="S267" s="212" t="s">
        <v>2423</v>
      </c>
      <c r="T267" s="13">
        <v>85</v>
      </c>
      <c r="U267" s="211" t="s">
        <v>83</v>
      </c>
      <c r="V267" s="13">
        <v>1</v>
      </c>
      <c r="W267" s="13" t="s">
        <v>2417</v>
      </c>
      <c r="X267" s="13" t="s">
        <v>1924</v>
      </c>
      <c r="Y267" s="13" t="s">
        <v>2073</v>
      </c>
      <c r="Z267" s="13" t="s">
        <v>2073</v>
      </c>
      <c r="AA267" s="13" t="s">
        <v>2073</v>
      </c>
      <c r="AB267" s="13" t="s">
        <v>1924</v>
      </c>
      <c r="AC267" s="211" t="s">
        <v>2415</v>
      </c>
      <c r="AD267" s="13" t="s">
        <v>2416</v>
      </c>
      <c r="AE267" s="69" t="s">
        <v>1301</v>
      </c>
      <c r="AF267" s="13" t="s">
        <v>2418</v>
      </c>
      <c r="AG267" s="13" t="s">
        <v>2419</v>
      </c>
      <c r="AH267" s="13" t="s">
        <v>2420</v>
      </c>
      <c r="AI267" s="13" t="s">
        <v>2421</v>
      </c>
      <c r="AJ267" s="13" t="s">
        <v>2422</v>
      </c>
      <c r="AK267" s="13" t="s">
        <v>2416</v>
      </c>
      <c r="AL267" s="13" t="s">
        <v>2077</v>
      </c>
      <c r="AM267" s="13" t="s">
        <v>2077</v>
      </c>
      <c r="AN267" s="13" t="s">
        <v>2077</v>
      </c>
      <c r="AO267" s="13" t="s">
        <v>2077</v>
      </c>
      <c r="AP267" s="13" t="s">
        <v>2077</v>
      </c>
      <c r="AQ267" s="13" t="s">
        <v>2077</v>
      </c>
      <c r="AR267" s="13" t="s">
        <v>2418</v>
      </c>
      <c r="AS267" s="13" t="s">
        <v>2419</v>
      </c>
      <c r="AT267" s="13" t="s">
        <v>2420</v>
      </c>
      <c r="AU267" s="13" t="s">
        <v>2421</v>
      </c>
      <c r="AV267" s="13" t="s">
        <v>2422</v>
      </c>
      <c r="AW267" s="13" t="s">
        <v>2416</v>
      </c>
      <c r="AX267" s="13" t="s">
        <v>2073</v>
      </c>
      <c r="AY267" s="13" t="s">
        <v>2073</v>
      </c>
      <c r="AZ267" s="13" t="s">
        <v>2073</v>
      </c>
      <c r="BA267" s="13" t="s">
        <v>2073</v>
      </c>
      <c r="BB267" s="13" t="s">
        <v>2073</v>
      </c>
      <c r="BC267" s="13" t="s">
        <v>2073</v>
      </c>
    </row>
    <row r="268" spans="1:55" ht="15.75" customHeight="1">
      <c r="A268" s="13">
        <v>2000</v>
      </c>
      <c r="B268" s="7" t="s">
        <v>1304</v>
      </c>
      <c r="C268" s="211" t="s">
        <v>2412</v>
      </c>
      <c r="D268" s="13" t="s">
        <v>1303</v>
      </c>
      <c r="E268" s="13" t="s">
        <v>1175</v>
      </c>
      <c r="F268" s="211" t="s">
        <v>2413</v>
      </c>
      <c r="G268" s="13" t="s">
        <v>2414</v>
      </c>
      <c r="H268" s="13" t="s">
        <v>2077</v>
      </c>
      <c r="I268" s="13" t="s">
        <v>2077</v>
      </c>
      <c r="J268" s="13" t="s">
        <v>2077</v>
      </c>
      <c r="K268" s="13" t="s">
        <v>2077</v>
      </c>
      <c r="L268" s="13" t="s">
        <v>2077</v>
      </c>
      <c r="M268" s="13" t="s">
        <v>2077</v>
      </c>
      <c r="N268" s="211" t="s">
        <v>2415</v>
      </c>
      <c r="O268" s="13" t="s">
        <v>2416</v>
      </c>
      <c r="P268" s="69" t="str">
        <f t="shared" ref="P268:Q268" si="264">D268</f>
        <v>MF COLOURING 9</v>
      </c>
      <c r="Q268" s="13" t="str">
        <f t="shared" si="264"/>
        <v>3MF</v>
      </c>
      <c r="R268" s="212" t="s">
        <v>23</v>
      </c>
      <c r="S268" s="213">
        <v>0.75</v>
      </c>
      <c r="T268" s="13">
        <v>85</v>
      </c>
      <c r="U268" s="211" t="s">
        <v>24</v>
      </c>
      <c r="V268" s="13">
        <v>1</v>
      </c>
      <c r="W268" s="13" t="s">
        <v>2417</v>
      </c>
      <c r="X268" s="13" t="s">
        <v>1924</v>
      </c>
      <c r="Y268" s="13" t="s">
        <v>2073</v>
      </c>
      <c r="Z268" s="13" t="s">
        <v>2073</v>
      </c>
      <c r="AA268" s="13" t="s">
        <v>2073</v>
      </c>
      <c r="AB268" s="13" t="s">
        <v>1924</v>
      </c>
      <c r="AC268" s="211" t="s">
        <v>2415</v>
      </c>
      <c r="AD268" s="13" t="s">
        <v>2416</v>
      </c>
      <c r="AE268" s="69">
        <v>1112016009</v>
      </c>
      <c r="AF268" s="13" t="s">
        <v>2418</v>
      </c>
      <c r="AG268" s="13" t="s">
        <v>2419</v>
      </c>
      <c r="AH268" s="13" t="s">
        <v>2420</v>
      </c>
      <c r="AI268" s="13" t="s">
        <v>2421</v>
      </c>
      <c r="AJ268" s="13" t="s">
        <v>2422</v>
      </c>
      <c r="AK268" s="13" t="s">
        <v>2416</v>
      </c>
      <c r="AL268" s="13" t="s">
        <v>2077</v>
      </c>
      <c r="AM268" s="13" t="s">
        <v>2077</v>
      </c>
      <c r="AN268" s="13" t="s">
        <v>2077</v>
      </c>
      <c r="AO268" s="13" t="s">
        <v>2077</v>
      </c>
      <c r="AP268" s="13" t="s">
        <v>2077</v>
      </c>
      <c r="AQ268" s="13" t="s">
        <v>2077</v>
      </c>
      <c r="AR268" s="13" t="s">
        <v>2418</v>
      </c>
      <c r="AS268" s="13" t="s">
        <v>2419</v>
      </c>
      <c r="AT268" s="13" t="s">
        <v>2420</v>
      </c>
      <c r="AU268" s="13" t="s">
        <v>2421</v>
      </c>
      <c r="AV268" s="13" t="s">
        <v>2422</v>
      </c>
      <c r="AW268" s="13" t="s">
        <v>2416</v>
      </c>
      <c r="AX268" s="13" t="s">
        <v>2073</v>
      </c>
      <c r="AY268" s="13" t="s">
        <v>2073</v>
      </c>
      <c r="AZ268" s="13" t="s">
        <v>2073</v>
      </c>
      <c r="BA268" s="13" t="s">
        <v>2073</v>
      </c>
      <c r="BB268" s="13" t="s">
        <v>2073</v>
      </c>
      <c r="BC268" s="13" t="s">
        <v>2073</v>
      </c>
    </row>
    <row r="269" spans="1:55" ht="15.75" customHeight="1">
      <c r="A269" s="13">
        <v>2000</v>
      </c>
      <c r="B269" s="7" t="s">
        <v>1308</v>
      </c>
      <c r="C269" s="211" t="s">
        <v>2412</v>
      </c>
      <c r="D269" s="13" t="s">
        <v>1307</v>
      </c>
      <c r="E269" s="13" t="s">
        <v>1175</v>
      </c>
      <c r="F269" s="211" t="s">
        <v>2413</v>
      </c>
      <c r="G269" s="13" t="s">
        <v>2414</v>
      </c>
      <c r="H269" s="13" t="s">
        <v>2077</v>
      </c>
      <c r="I269" s="13" t="s">
        <v>2077</v>
      </c>
      <c r="J269" s="13" t="s">
        <v>2077</v>
      </c>
      <c r="K269" s="13" t="s">
        <v>2077</v>
      </c>
      <c r="L269" s="13" t="s">
        <v>2077</v>
      </c>
      <c r="M269" s="13" t="s">
        <v>2077</v>
      </c>
      <c r="N269" s="211" t="s">
        <v>2415</v>
      </c>
      <c r="O269" s="13" t="s">
        <v>2416</v>
      </c>
      <c r="P269" s="69" t="str">
        <f t="shared" ref="P269:Q269" si="265">D269</f>
        <v>MF COLOURING 10</v>
      </c>
      <c r="Q269" s="13" t="str">
        <f t="shared" si="265"/>
        <v>3MF</v>
      </c>
      <c r="R269" s="212" t="s">
        <v>23</v>
      </c>
      <c r="S269" s="213">
        <v>0.75</v>
      </c>
      <c r="T269" s="13">
        <v>85</v>
      </c>
      <c r="U269" s="211" t="s">
        <v>24</v>
      </c>
      <c r="V269" s="13">
        <v>1</v>
      </c>
      <c r="W269" s="13" t="s">
        <v>2417</v>
      </c>
      <c r="X269" s="13" t="s">
        <v>1924</v>
      </c>
      <c r="Y269" s="13" t="s">
        <v>2073</v>
      </c>
      <c r="Z269" s="13" t="s">
        <v>2073</v>
      </c>
      <c r="AA269" s="13" t="s">
        <v>2073</v>
      </c>
      <c r="AB269" s="13" t="s">
        <v>1924</v>
      </c>
      <c r="AC269" s="211" t="s">
        <v>2415</v>
      </c>
      <c r="AD269" s="13" t="s">
        <v>2416</v>
      </c>
      <c r="AE269" s="69">
        <v>1112016010</v>
      </c>
      <c r="AF269" s="13" t="s">
        <v>2418</v>
      </c>
      <c r="AG269" s="13" t="s">
        <v>2419</v>
      </c>
      <c r="AH269" s="13" t="s">
        <v>2420</v>
      </c>
      <c r="AI269" s="13" t="s">
        <v>2421</v>
      </c>
      <c r="AJ269" s="13" t="s">
        <v>2422</v>
      </c>
      <c r="AK269" s="13" t="s">
        <v>2416</v>
      </c>
      <c r="AL269" s="13" t="s">
        <v>2077</v>
      </c>
      <c r="AM269" s="13" t="s">
        <v>2077</v>
      </c>
      <c r="AN269" s="13" t="s">
        <v>2077</v>
      </c>
      <c r="AO269" s="13" t="s">
        <v>2077</v>
      </c>
      <c r="AP269" s="13" t="s">
        <v>2077</v>
      </c>
      <c r="AQ269" s="13" t="s">
        <v>2077</v>
      </c>
      <c r="AR269" s="13" t="s">
        <v>2418</v>
      </c>
      <c r="AS269" s="13" t="s">
        <v>2419</v>
      </c>
      <c r="AT269" s="13" t="s">
        <v>2420</v>
      </c>
      <c r="AU269" s="13" t="s">
        <v>2421</v>
      </c>
      <c r="AV269" s="13" t="s">
        <v>2422</v>
      </c>
      <c r="AW269" s="13" t="s">
        <v>2416</v>
      </c>
      <c r="AX269" s="13" t="s">
        <v>2073</v>
      </c>
      <c r="AY269" s="13" t="s">
        <v>2073</v>
      </c>
      <c r="AZ269" s="13" t="s">
        <v>2073</v>
      </c>
      <c r="BA269" s="13" t="s">
        <v>2073</v>
      </c>
      <c r="BB269" s="13" t="s">
        <v>2073</v>
      </c>
      <c r="BC269" s="13" t="s">
        <v>2073</v>
      </c>
    </row>
    <row r="270" spans="1:55" ht="15.75" customHeight="1">
      <c r="A270" s="13">
        <v>2000</v>
      </c>
      <c r="B270" s="7" t="s">
        <v>1312</v>
      </c>
      <c r="C270" s="211" t="s">
        <v>2412</v>
      </c>
      <c r="D270" s="13" t="s">
        <v>1311</v>
      </c>
      <c r="E270" s="13" t="s">
        <v>1175</v>
      </c>
      <c r="F270" s="211" t="s">
        <v>2413</v>
      </c>
      <c r="G270" s="13" t="s">
        <v>2414</v>
      </c>
      <c r="H270" s="13" t="s">
        <v>2077</v>
      </c>
      <c r="I270" s="13" t="s">
        <v>2077</v>
      </c>
      <c r="J270" s="13" t="s">
        <v>2077</v>
      </c>
      <c r="K270" s="13" t="s">
        <v>2077</v>
      </c>
      <c r="L270" s="13" t="s">
        <v>2077</v>
      </c>
      <c r="M270" s="13" t="s">
        <v>2077</v>
      </c>
      <c r="N270" s="211" t="s">
        <v>2415</v>
      </c>
      <c r="O270" s="13" t="s">
        <v>2416</v>
      </c>
      <c r="P270" s="69" t="str">
        <f t="shared" ref="P270:Q270" si="266">D270</f>
        <v>MF COLOURING 11</v>
      </c>
      <c r="Q270" s="13" t="str">
        <f t="shared" si="266"/>
        <v>3MF</v>
      </c>
      <c r="R270" s="212" t="s">
        <v>23</v>
      </c>
      <c r="S270" s="213">
        <v>0.83333333333333337</v>
      </c>
      <c r="T270" s="13">
        <v>85</v>
      </c>
      <c r="U270" s="211" t="s">
        <v>83</v>
      </c>
      <c r="V270" s="13">
        <v>1</v>
      </c>
      <c r="W270" s="13" t="s">
        <v>2417</v>
      </c>
      <c r="X270" s="13" t="s">
        <v>1924</v>
      </c>
      <c r="Y270" s="13" t="s">
        <v>2073</v>
      </c>
      <c r="Z270" s="13" t="s">
        <v>2073</v>
      </c>
      <c r="AA270" s="13" t="s">
        <v>2073</v>
      </c>
      <c r="AB270" s="13" t="s">
        <v>1924</v>
      </c>
      <c r="AC270" s="211" t="s">
        <v>2415</v>
      </c>
      <c r="AD270" s="13" t="s">
        <v>2416</v>
      </c>
      <c r="AE270" s="69">
        <v>1112016011</v>
      </c>
      <c r="AF270" s="13" t="s">
        <v>2418</v>
      </c>
      <c r="AG270" s="13" t="s">
        <v>2419</v>
      </c>
      <c r="AH270" s="13" t="s">
        <v>2420</v>
      </c>
      <c r="AI270" s="13" t="s">
        <v>2421</v>
      </c>
      <c r="AJ270" s="13" t="s">
        <v>2422</v>
      </c>
      <c r="AK270" s="13" t="s">
        <v>2416</v>
      </c>
      <c r="AL270" s="13" t="s">
        <v>2077</v>
      </c>
      <c r="AM270" s="13" t="s">
        <v>2077</v>
      </c>
      <c r="AN270" s="13" t="s">
        <v>2077</v>
      </c>
      <c r="AO270" s="13" t="s">
        <v>2077</v>
      </c>
      <c r="AP270" s="13" t="s">
        <v>2077</v>
      </c>
      <c r="AQ270" s="13" t="s">
        <v>2077</v>
      </c>
      <c r="AR270" s="13" t="s">
        <v>2418</v>
      </c>
      <c r="AS270" s="13" t="s">
        <v>2419</v>
      </c>
      <c r="AT270" s="13" t="s">
        <v>2420</v>
      </c>
      <c r="AU270" s="13" t="s">
        <v>2421</v>
      </c>
      <c r="AV270" s="13" t="s">
        <v>2422</v>
      </c>
      <c r="AW270" s="13" t="s">
        <v>2416</v>
      </c>
      <c r="AX270" s="13" t="s">
        <v>2073</v>
      </c>
      <c r="AY270" s="13" t="s">
        <v>2073</v>
      </c>
      <c r="AZ270" s="13" t="s">
        <v>2073</v>
      </c>
      <c r="BA270" s="13" t="s">
        <v>2073</v>
      </c>
      <c r="BB270" s="13" t="s">
        <v>2073</v>
      </c>
      <c r="BC270" s="13" t="s">
        <v>2073</v>
      </c>
    </row>
    <row r="271" spans="1:55" ht="15.75" customHeight="1">
      <c r="A271" s="13">
        <v>2000</v>
      </c>
      <c r="B271" s="7" t="s">
        <v>1316</v>
      </c>
      <c r="C271" s="211" t="s">
        <v>2412</v>
      </c>
      <c r="D271" s="13" t="s">
        <v>1315</v>
      </c>
      <c r="E271" s="13" t="s">
        <v>1175</v>
      </c>
      <c r="F271" s="211" t="s">
        <v>2413</v>
      </c>
      <c r="G271" s="13" t="s">
        <v>2414</v>
      </c>
      <c r="H271" s="13" t="s">
        <v>2077</v>
      </c>
      <c r="I271" s="13" t="s">
        <v>2077</v>
      </c>
      <c r="J271" s="13" t="s">
        <v>2077</v>
      </c>
      <c r="K271" s="13" t="s">
        <v>2077</v>
      </c>
      <c r="L271" s="13" t="s">
        <v>2077</v>
      </c>
      <c r="M271" s="13" t="s">
        <v>2077</v>
      </c>
      <c r="N271" s="211" t="s">
        <v>2415</v>
      </c>
      <c r="O271" s="13" t="s">
        <v>2416</v>
      </c>
      <c r="P271" s="69" t="str">
        <f t="shared" ref="P271:Q271" si="267">D271</f>
        <v>MF COLOURING 12</v>
      </c>
      <c r="Q271" s="13" t="str">
        <f t="shared" si="267"/>
        <v>3MF</v>
      </c>
      <c r="R271" s="212" t="s">
        <v>23</v>
      </c>
      <c r="S271" s="213">
        <v>0.83333333333333337</v>
      </c>
      <c r="T271" s="13">
        <v>85</v>
      </c>
      <c r="U271" s="211" t="s">
        <v>83</v>
      </c>
      <c r="V271" s="13">
        <v>1</v>
      </c>
      <c r="W271" s="13" t="s">
        <v>2417</v>
      </c>
      <c r="X271" s="13" t="s">
        <v>1924</v>
      </c>
      <c r="Y271" s="13" t="s">
        <v>2073</v>
      </c>
      <c r="Z271" s="13" t="s">
        <v>2073</v>
      </c>
      <c r="AA271" s="13" t="s">
        <v>2073</v>
      </c>
      <c r="AB271" s="13" t="s">
        <v>1924</v>
      </c>
      <c r="AC271" s="211" t="s">
        <v>2415</v>
      </c>
      <c r="AD271" s="13" t="s">
        <v>2416</v>
      </c>
      <c r="AE271" s="69">
        <v>1112016012</v>
      </c>
      <c r="AF271" s="13" t="s">
        <v>2418</v>
      </c>
      <c r="AG271" s="13" t="s">
        <v>2419</v>
      </c>
      <c r="AH271" s="13" t="s">
        <v>2420</v>
      </c>
      <c r="AI271" s="13" t="s">
        <v>2421</v>
      </c>
      <c r="AJ271" s="13" t="s">
        <v>2422</v>
      </c>
      <c r="AK271" s="13" t="s">
        <v>2416</v>
      </c>
      <c r="AL271" s="13" t="s">
        <v>2077</v>
      </c>
      <c r="AM271" s="13" t="s">
        <v>2077</v>
      </c>
      <c r="AN271" s="13" t="s">
        <v>2077</v>
      </c>
      <c r="AO271" s="13" t="s">
        <v>2077</v>
      </c>
      <c r="AP271" s="13" t="s">
        <v>2077</v>
      </c>
      <c r="AQ271" s="13" t="s">
        <v>2077</v>
      </c>
      <c r="AR271" s="13" t="s">
        <v>2418</v>
      </c>
      <c r="AS271" s="13" t="s">
        <v>2419</v>
      </c>
      <c r="AT271" s="13" t="s">
        <v>2420</v>
      </c>
      <c r="AU271" s="13" t="s">
        <v>2421</v>
      </c>
      <c r="AV271" s="13" t="s">
        <v>2422</v>
      </c>
      <c r="AW271" s="13" t="s">
        <v>2416</v>
      </c>
      <c r="AX271" s="13" t="s">
        <v>2073</v>
      </c>
      <c r="AY271" s="13" t="s">
        <v>2073</v>
      </c>
      <c r="AZ271" s="13" t="s">
        <v>2073</v>
      </c>
      <c r="BA271" s="13" t="s">
        <v>2073</v>
      </c>
      <c r="BB271" s="13" t="s">
        <v>2073</v>
      </c>
      <c r="BC271" s="13" t="s">
        <v>2073</v>
      </c>
    </row>
    <row r="272" spans="1:55" ht="15.75" customHeight="1">
      <c r="A272" s="13">
        <v>2000</v>
      </c>
      <c r="B272" s="7" t="s">
        <v>1320</v>
      </c>
      <c r="C272" s="211" t="s">
        <v>2412</v>
      </c>
      <c r="D272" s="13" t="s">
        <v>1319</v>
      </c>
      <c r="E272" s="13" t="s">
        <v>1175</v>
      </c>
      <c r="F272" s="211" t="s">
        <v>2413</v>
      </c>
      <c r="G272" s="13" t="s">
        <v>2414</v>
      </c>
      <c r="H272" s="13" t="s">
        <v>2077</v>
      </c>
      <c r="I272" s="13" t="s">
        <v>2077</v>
      </c>
      <c r="J272" s="13" t="s">
        <v>2077</v>
      </c>
      <c r="K272" s="13" t="s">
        <v>2077</v>
      </c>
      <c r="L272" s="13" t="s">
        <v>2077</v>
      </c>
      <c r="M272" s="13" t="s">
        <v>2077</v>
      </c>
      <c r="N272" s="211" t="s">
        <v>2415</v>
      </c>
      <c r="O272" s="13" t="s">
        <v>2416</v>
      </c>
      <c r="P272" s="69" t="str">
        <f t="shared" ref="P272:Q272" si="268">D272</f>
        <v>MF COLOURING 13</v>
      </c>
      <c r="Q272" s="13" t="str">
        <f t="shared" si="268"/>
        <v>3MF</v>
      </c>
      <c r="R272" s="212" t="s">
        <v>23</v>
      </c>
      <c r="S272" s="213">
        <v>0.83333333333333337</v>
      </c>
      <c r="T272" s="13">
        <v>85</v>
      </c>
      <c r="U272" s="211" t="s">
        <v>83</v>
      </c>
      <c r="V272" s="13">
        <v>1</v>
      </c>
      <c r="W272" s="13" t="s">
        <v>2417</v>
      </c>
      <c r="X272" s="13" t="s">
        <v>1924</v>
      </c>
      <c r="Y272" s="13" t="s">
        <v>2073</v>
      </c>
      <c r="Z272" s="13" t="s">
        <v>2073</v>
      </c>
      <c r="AA272" s="13" t="s">
        <v>2073</v>
      </c>
      <c r="AB272" s="13" t="s">
        <v>1924</v>
      </c>
      <c r="AC272" s="211" t="s">
        <v>2415</v>
      </c>
      <c r="AD272" s="13" t="s">
        <v>2416</v>
      </c>
      <c r="AE272" s="69">
        <v>1112016013</v>
      </c>
      <c r="AF272" s="13" t="s">
        <v>2418</v>
      </c>
      <c r="AG272" s="13" t="s">
        <v>2419</v>
      </c>
      <c r="AH272" s="13" t="s">
        <v>2420</v>
      </c>
      <c r="AI272" s="13" t="s">
        <v>2421</v>
      </c>
      <c r="AJ272" s="13" t="s">
        <v>2422</v>
      </c>
      <c r="AK272" s="13" t="s">
        <v>2416</v>
      </c>
      <c r="AL272" s="13" t="s">
        <v>2077</v>
      </c>
      <c r="AM272" s="13" t="s">
        <v>2077</v>
      </c>
      <c r="AN272" s="13" t="s">
        <v>2077</v>
      </c>
      <c r="AO272" s="13" t="s">
        <v>2077</v>
      </c>
      <c r="AP272" s="13" t="s">
        <v>2077</v>
      </c>
      <c r="AQ272" s="13" t="s">
        <v>2077</v>
      </c>
      <c r="AR272" s="13" t="s">
        <v>2418</v>
      </c>
      <c r="AS272" s="13" t="s">
        <v>2419</v>
      </c>
      <c r="AT272" s="13" t="s">
        <v>2420</v>
      </c>
      <c r="AU272" s="13" t="s">
        <v>2421</v>
      </c>
      <c r="AV272" s="13" t="s">
        <v>2422</v>
      </c>
      <c r="AW272" s="13" t="s">
        <v>2416</v>
      </c>
      <c r="AX272" s="13" t="s">
        <v>2073</v>
      </c>
      <c r="AY272" s="13" t="s">
        <v>2073</v>
      </c>
      <c r="AZ272" s="13" t="s">
        <v>2073</v>
      </c>
      <c r="BA272" s="13" t="s">
        <v>2073</v>
      </c>
      <c r="BB272" s="13" t="s">
        <v>2073</v>
      </c>
      <c r="BC272" s="13" t="s">
        <v>2073</v>
      </c>
    </row>
    <row r="273" spans="1:55" ht="15.75" customHeight="1">
      <c r="A273" s="13">
        <v>2000</v>
      </c>
      <c r="B273" s="7" t="s">
        <v>1324</v>
      </c>
      <c r="C273" s="211" t="s">
        <v>2412</v>
      </c>
      <c r="D273" s="13" t="s">
        <v>1323</v>
      </c>
      <c r="E273" s="13" t="s">
        <v>1175</v>
      </c>
      <c r="F273" s="211" t="s">
        <v>2413</v>
      </c>
      <c r="G273" s="13" t="s">
        <v>2414</v>
      </c>
      <c r="H273" s="13" t="s">
        <v>2077</v>
      </c>
      <c r="I273" s="13" t="s">
        <v>2077</v>
      </c>
      <c r="J273" s="13" t="s">
        <v>2077</v>
      </c>
      <c r="K273" s="13" t="s">
        <v>2077</v>
      </c>
      <c r="L273" s="13" t="s">
        <v>2077</v>
      </c>
      <c r="M273" s="13" t="s">
        <v>2077</v>
      </c>
      <c r="N273" s="211" t="s">
        <v>2415</v>
      </c>
      <c r="O273" s="13" t="s">
        <v>2416</v>
      </c>
      <c r="P273" s="69" t="str">
        <f t="shared" ref="P273:Q273" si="269">D273</f>
        <v>MF COLOURING 14</v>
      </c>
      <c r="Q273" s="13" t="str">
        <f t="shared" si="269"/>
        <v>3MF</v>
      </c>
      <c r="R273" s="212" t="s">
        <v>23</v>
      </c>
      <c r="S273" s="213">
        <v>0.83333333333333337</v>
      </c>
      <c r="T273" s="13">
        <v>85</v>
      </c>
      <c r="U273" s="211" t="s">
        <v>83</v>
      </c>
      <c r="V273" s="13">
        <v>1</v>
      </c>
      <c r="W273" s="13" t="s">
        <v>2417</v>
      </c>
      <c r="X273" s="13" t="s">
        <v>1924</v>
      </c>
      <c r="Y273" s="13" t="s">
        <v>2073</v>
      </c>
      <c r="Z273" s="13" t="s">
        <v>2073</v>
      </c>
      <c r="AA273" s="13" t="s">
        <v>2073</v>
      </c>
      <c r="AB273" s="13" t="s">
        <v>1924</v>
      </c>
      <c r="AC273" s="211" t="s">
        <v>2415</v>
      </c>
      <c r="AD273" s="13" t="s">
        <v>2416</v>
      </c>
      <c r="AE273" s="69">
        <v>1112016014</v>
      </c>
      <c r="AF273" s="13" t="s">
        <v>2418</v>
      </c>
      <c r="AG273" s="13" t="s">
        <v>2419</v>
      </c>
      <c r="AH273" s="13" t="s">
        <v>2420</v>
      </c>
      <c r="AI273" s="13" t="s">
        <v>2421</v>
      </c>
      <c r="AJ273" s="13" t="s">
        <v>2422</v>
      </c>
      <c r="AK273" s="13" t="s">
        <v>2416</v>
      </c>
      <c r="AL273" s="13" t="s">
        <v>2077</v>
      </c>
      <c r="AM273" s="13" t="s">
        <v>2077</v>
      </c>
      <c r="AN273" s="13" t="s">
        <v>2077</v>
      </c>
      <c r="AO273" s="13" t="s">
        <v>2077</v>
      </c>
      <c r="AP273" s="13" t="s">
        <v>2077</v>
      </c>
      <c r="AQ273" s="13" t="s">
        <v>2077</v>
      </c>
      <c r="AR273" s="13" t="s">
        <v>2418</v>
      </c>
      <c r="AS273" s="13" t="s">
        <v>2419</v>
      </c>
      <c r="AT273" s="13" t="s">
        <v>2420</v>
      </c>
      <c r="AU273" s="13" t="s">
        <v>2421</v>
      </c>
      <c r="AV273" s="13" t="s">
        <v>2422</v>
      </c>
      <c r="AW273" s="13" t="s">
        <v>2416</v>
      </c>
      <c r="AX273" s="13" t="s">
        <v>2073</v>
      </c>
      <c r="AY273" s="13" t="s">
        <v>2073</v>
      </c>
      <c r="AZ273" s="13" t="s">
        <v>2073</v>
      </c>
      <c r="BA273" s="13" t="s">
        <v>2073</v>
      </c>
      <c r="BB273" s="13" t="s">
        <v>2073</v>
      </c>
      <c r="BC273" s="13" t="s">
        <v>2073</v>
      </c>
    </row>
    <row r="274" spans="1:55" ht="15.75" customHeight="1">
      <c r="A274" s="13">
        <v>2000</v>
      </c>
      <c r="B274" s="7" t="s">
        <v>1328</v>
      </c>
      <c r="C274" s="211" t="s">
        <v>2412</v>
      </c>
      <c r="D274" s="13" t="s">
        <v>1327</v>
      </c>
      <c r="E274" s="13" t="s">
        <v>1175</v>
      </c>
      <c r="F274" s="211" t="s">
        <v>2413</v>
      </c>
      <c r="G274" s="13" t="s">
        <v>2414</v>
      </c>
      <c r="H274" s="13" t="s">
        <v>2077</v>
      </c>
      <c r="I274" s="13" t="s">
        <v>2077</v>
      </c>
      <c r="J274" s="13" t="s">
        <v>2077</v>
      </c>
      <c r="K274" s="13" t="s">
        <v>2077</v>
      </c>
      <c r="L274" s="13" t="s">
        <v>2077</v>
      </c>
      <c r="M274" s="13" t="s">
        <v>2077</v>
      </c>
      <c r="N274" s="211" t="s">
        <v>2415</v>
      </c>
      <c r="O274" s="13" t="s">
        <v>2416</v>
      </c>
      <c r="P274" s="69" t="str">
        <f t="shared" ref="P274:Q274" si="270">D274</f>
        <v>MF COLOURING 15</v>
      </c>
      <c r="Q274" s="13" t="str">
        <f t="shared" si="270"/>
        <v>3MF</v>
      </c>
      <c r="R274" s="212" t="s">
        <v>23</v>
      </c>
      <c r="S274" s="213">
        <v>0.83333333333333337</v>
      </c>
      <c r="T274" s="13">
        <v>85</v>
      </c>
      <c r="U274" s="211" t="s">
        <v>83</v>
      </c>
      <c r="V274" s="13">
        <v>1</v>
      </c>
      <c r="W274" s="13" t="s">
        <v>2417</v>
      </c>
      <c r="X274" s="13" t="s">
        <v>1924</v>
      </c>
      <c r="Y274" s="13" t="s">
        <v>2073</v>
      </c>
      <c r="Z274" s="13" t="s">
        <v>2073</v>
      </c>
      <c r="AA274" s="13" t="s">
        <v>2073</v>
      </c>
      <c r="AB274" s="13" t="s">
        <v>1924</v>
      </c>
      <c r="AC274" s="211" t="s">
        <v>2415</v>
      </c>
      <c r="AD274" s="13" t="s">
        <v>2416</v>
      </c>
      <c r="AE274" s="69">
        <v>1112016015</v>
      </c>
      <c r="AF274" s="13" t="s">
        <v>2418</v>
      </c>
      <c r="AG274" s="13" t="s">
        <v>2419</v>
      </c>
      <c r="AH274" s="13" t="s">
        <v>2420</v>
      </c>
      <c r="AI274" s="13" t="s">
        <v>2421</v>
      </c>
      <c r="AJ274" s="13" t="s">
        <v>2422</v>
      </c>
      <c r="AK274" s="13" t="s">
        <v>2416</v>
      </c>
      <c r="AL274" s="13" t="s">
        <v>2077</v>
      </c>
      <c r="AM274" s="13" t="s">
        <v>2077</v>
      </c>
      <c r="AN274" s="13" t="s">
        <v>2077</v>
      </c>
      <c r="AO274" s="13" t="s">
        <v>2077</v>
      </c>
      <c r="AP274" s="13" t="s">
        <v>2077</v>
      </c>
      <c r="AQ274" s="13" t="s">
        <v>2077</v>
      </c>
      <c r="AR274" s="13" t="s">
        <v>2418</v>
      </c>
      <c r="AS274" s="13" t="s">
        <v>2419</v>
      </c>
      <c r="AT274" s="13" t="s">
        <v>2420</v>
      </c>
      <c r="AU274" s="13" t="s">
        <v>2421</v>
      </c>
      <c r="AV274" s="13" t="s">
        <v>2422</v>
      </c>
      <c r="AW274" s="13" t="s">
        <v>2416</v>
      </c>
      <c r="AX274" s="13" t="s">
        <v>2073</v>
      </c>
      <c r="AY274" s="13" t="s">
        <v>2073</v>
      </c>
      <c r="AZ274" s="13" t="s">
        <v>2073</v>
      </c>
      <c r="BA274" s="13" t="s">
        <v>2073</v>
      </c>
      <c r="BB274" s="13" t="s">
        <v>2073</v>
      </c>
      <c r="BC274" s="13" t="s">
        <v>2073</v>
      </c>
    </row>
    <row r="275" spans="1:55" ht="15.75" customHeight="1">
      <c r="A275" s="13">
        <v>2000</v>
      </c>
      <c r="B275" s="7" t="s">
        <v>1332</v>
      </c>
      <c r="C275" s="211" t="s">
        <v>2412</v>
      </c>
      <c r="D275" s="13" t="s">
        <v>1331</v>
      </c>
      <c r="E275" s="13" t="s">
        <v>1175</v>
      </c>
      <c r="F275" s="211" t="s">
        <v>2413</v>
      </c>
      <c r="G275" s="13" t="s">
        <v>2414</v>
      </c>
      <c r="H275" s="13" t="s">
        <v>2077</v>
      </c>
      <c r="I275" s="13" t="s">
        <v>2077</v>
      </c>
      <c r="J275" s="13" t="s">
        <v>2077</v>
      </c>
      <c r="K275" s="13" t="s">
        <v>2077</v>
      </c>
      <c r="L275" s="13" t="s">
        <v>2077</v>
      </c>
      <c r="M275" s="13" t="s">
        <v>2077</v>
      </c>
      <c r="N275" s="211" t="s">
        <v>2415</v>
      </c>
      <c r="O275" s="13" t="s">
        <v>2416</v>
      </c>
      <c r="P275" s="69" t="str">
        <f t="shared" ref="P275:Q275" si="271">D275</f>
        <v>MF COLOURING 16</v>
      </c>
      <c r="Q275" s="13" t="str">
        <f t="shared" si="271"/>
        <v>3MF</v>
      </c>
      <c r="R275" s="212" t="s">
        <v>23</v>
      </c>
      <c r="S275" s="213">
        <v>0.83333333333333337</v>
      </c>
      <c r="T275" s="13">
        <v>85</v>
      </c>
      <c r="U275" s="211" t="s">
        <v>83</v>
      </c>
      <c r="V275" s="13">
        <v>1</v>
      </c>
      <c r="W275" s="13" t="s">
        <v>2417</v>
      </c>
      <c r="X275" s="13" t="s">
        <v>1924</v>
      </c>
      <c r="Y275" s="13" t="s">
        <v>2073</v>
      </c>
      <c r="Z275" s="13" t="s">
        <v>2073</v>
      </c>
      <c r="AA275" s="13" t="s">
        <v>2073</v>
      </c>
      <c r="AB275" s="13" t="s">
        <v>1924</v>
      </c>
      <c r="AC275" s="211" t="s">
        <v>2415</v>
      </c>
      <c r="AD275" s="13" t="s">
        <v>2416</v>
      </c>
      <c r="AE275" s="69">
        <v>1112016016</v>
      </c>
      <c r="AF275" s="13" t="s">
        <v>2418</v>
      </c>
      <c r="AG275" s="13" t="s">
        <v>2419</v>
      </c>
      <c r="AH275" s="13" t="s">
        <v>2420</v>
      </c>
      <c r="AI275" s="13" t="s">
        <v>2421</v>
      </c>
      <c r="AJ275" s="13" t="s">
        <v>2422</v>
      </c>
      <c r="AK275" s="13" t="s">
        <v>2416</v>
      </c>
      <c r="AL275" s="13" t="s">
        <v>2077</v>
      </c>
      <c r="AM275" s="13" t="s">
        <v>2077</v>
      </c>
      <c r="AN275" s="13" t="s">
        <v>2077</v>
      </c>
      <c r="AO275" s="13" t="s">
        <v>2077</v>
      </c>
      <c r="AP275" s="13" t="s">
        <v>2077</v>
      </c>
      <c r="AQ275" s="13" t="s">
        <v>2077</v>
      </c>
      <c r="AR275" s="13" t="s">
        <v>2418</v>
      </c>
      <c r="AS275" s="13" t="s">
        <v>2419</v>
      </c>
      <c r="AT275" s="13" t="s">
        <v>2420</v>
      </c>
      <c r="AU275" s="13" t="s">
        <v>2421</v>
      </c>
      <c r="AV275" s="13" t="s">
        <v>2422</v>
      </c>
      <c r="AW275" s="13" t="s">
        <v>2416</v>
      </c>
      <c r="AX275" s="13" t="s">
        <v>2073</v>
      </c>
      <c r="AY275" s="13" t="s">
        <v>2073</v>
      </c>
      <c r="AZ275" s="13" t="s">
        <v>2073</v>
      </c>
      <c r="BA275" s="13" t="s">
        <v>2073</v>
      </c>
      <c r="BB275" s="13" t="s">
        <v>2073</v>
      </c>
      <c r="BC275" s="13" t="s">
        <v>2073</v>
      </c>
    </row>
    <row r="276" spans="1:55" ht="15.75" customHeight="1">
      <c r="A276" s="13">
        <v>2000</v>
      </c>
      <c r="B276" s="7" t="s">
        <v>1336</v>
      </c>
      <c r="C276" s="211" t="s">
        <v>2412</v>
      </c>
      <c r="D276" s="13" t="s">
        <v>1335</v>
      </c>
      <c r="E276" s="13" t="s">
        <v>1175</v>
      </c>
      <c r="F276" s="211" t="s">
        <v>2413</v>
      </c>
      <c r="G276" s="13" t="s">
        <v>2414</v>
      </c>
      <c r="H276" s="13" t="s">
        <v>2077</v>
      </c>
      <c r="I276" s="13" t="s">
        <v>2077</v>
      </c>
      <c r="J276" s="13" t="s">
        <v>2077</v>
      </c>
      <c r="K276" s="13" t="s">
        <v>2077</v>
      </c>
      <c r="L276" s="13" t="s">
        <v>2077</v>
      </c>
      <c r="M276" s="13" t="s">
        <v>2077</v>
      </c>
      <c r="N276" s="211" t="s">
        <v>2415</v>
      </c>
      <c r="O276" s="13" t="s">
        <v>2416</v>
      </c>
      <c r="P276" s="69" t="str">
        <f t="shared" ref="P276:Q276" si="272">D276</f>
        <v>MF COLOURING 17</v>
      </c>
      <c r="Q276" s="13" t="str">
        <f t="shared" si="272"/>
        <v>3MF</v>
      </c>
      <c r="R276" s="212" t="s">
        <v>23</v>
      </c>
      <c r="S276" s="213">
        <v>0.83333333333333337</v>
      </c>
      <c r="T276" s="13">
        <v>85</v>
      </c>
      <c r="U276" s="211" t="s">
        <v>83</v>
      </c>
      <c r="V276" s="13">
        <v>1</v>
      </c>
      <c r="W276" s="13" t="s">
        <v>2417</v>
      </c>
      <c r="X276" s="13" t="s">
        <v>1924</v>
      </c>
      <c r="Y276" s="13" t="s">
        <v>2073</v>
      </c>
      <c r="Z276" s="13" t="s">
        <v>2073</v>
      </c>
      <c r="AA276" s="13" t="s">
        <v>2073</v>
      </c>
      <c r="AB276" s="13" t="s">
        <v>1924</v>
      </c>
      <c r="AC276" s="211" t="s">
        <v>2415</v>
      </c>
      <c r="AD276" s="13" t="s">
        <v>2416</v>
      </c>
      <c r="AE276" s="69">
        <v>1112016017</v>
      </c>
      <c r="AF276" s="13" t="s">
        <v>2418</v>
      </c>
      <c r="AG276" s="13" t="s">
        <v>2419</v>
      </c>
      <c r="AH276" s="13" t="s">
        <v>2420</v>
      </c>
      <c r="AI276" s="13" t="s">
        <v>2421</v>
      </c>
      <c r="AJ276" s="13" t="s">
        <v>2422</v>
      </c>
      <c r="AK276" s="13" t="s">
        <v>2416</v>
      </c>
      <c r="AL276" s="13" t="s">
        <v>2077</v>
      </c>
      <c r="AM276" s="13" t="s">
        <v>2077</v>
      </c>
      <c r="AN276" s="13" t="s">
        <v>2077</v>
      </c>
      <c r="AO276" s="13" t="s">
        <v>2077</v>
      </c>
      <c r="AP276" s="13" t="s">
        <v>2077</v>
      </c>
      <c r="AQ276" s="13" t="s">
        <v>2077</v>
      </c>
      <c r="AR276" s="13" t="s">
        <v>2418</v>
      </c>
      <c r="AS276" s="13" t="s">
        <v>2419</v>
      </c>
      <c r="AT276" s="13" t="s">
        <v>2420</v>
      </c>
      <c r="AU276" s="13" t="s">
        <v>2421</v>
      </c>
      <c r="AV276" s="13" t="s">
        <v>2422</v>
      </c>
      <c r="AW276" s="13" t="s">
        <v>2416</v>
      </c>
      <c r="AX276" s="13" t="s">
        <v>2073</v>
      </c>
      <c r="AY276" s="13" t="s">
        <v>2073</v>
      </c>
      <c r="AZ276" s="13" t="s">
        <v>2073</v>
      </c>
      <c r="BA276" s="13" t="s">
        <v>2073</v>
      </c>
      <c r="BB276" s="13" t="s">
        <v>2073</v>
      </c>
      <c r="BC276" s="13" t="s">
        <v>2073</v>
      </c>
    </row>
    <row r="277" spans="1:55" ht="15.75" customHeight="1">
      <c r="A277" s="13">
        <v>2000</v>
      </c>
      <c r="B277" s="7" t="s">
        <v>1340</v>
      </c>
      <c r="C277" s="211" t="s">
        <v>2412</v>
      </c>
      <c r="D277" s="13" t="s">
        <v>1339</v>
      </c>
      <c r="E277" s="13" t="s">
        <v>1175</v>
      </c>
      <c r="F277" s="211" t="s">
        <v>2413</v>
      </c>
      <c r="G277" s="13" t="s">
        <v>2414</v>
      </c>
      <c r="H277" s="13" t="s">
        <v>2077</v>
      </c>
      <c r="I277" s="13" t="s">
        <v>2077</v>
      </c>
      <c r="J277" s="13" t="s">
        <v>2077</v>
      </c>
      <c r="K277" s="13" t="s">
        <v>2077</v>
      </c>
      <c r="L277" s="13" t="s">
        <v>2077</v>
      </c>
      <c r="M277" s="13" t="s">
        <v>2077</v>
      </c>
      <c r="N277" s="211" t="s">
        <v>2415</v>
      </c>
      <c r="O277" s="13" t="s">
        <v>2416</v>
      </c>
      <c r="P277" s="69" t="str">
        <f t="shared" ref="P277:Q277" si="273">D277</f>
        <v>MF COLOURING 18</v>
      </c>
      <c r="Q277" s="13" t="str">
        <f t="shared" si="273"/>
        <v>3MF</v>
      </c>
      <c r="R277" s="212" t="s">
        <v>23</v>
      </c>
      <c r="S277" s="213">
        <v>0.83333333333333337</v>
      </c>
      <c r="T277" s="13">
        <v>85</v>
      </c>
      <c r="U277" s="211" t="s">
        <v>83</v>
      </c>
      <c r="V277" s="13">
        <v>1</v>
      </c>
      <c r="W277" s="13" t="s">
        <v>2417</v>
      </c>
      <c r="X277" s="13" t="s">
        <v>1924</v>
      </c>
      <c r="Y277" s="13" t="s">
        <v>2073</v>
      </c>
      <c r="Z277" s="13" t="s">
        <v>2073</v>
      </c>
      <c r="AA277" s="13" t="s">
        <v>2073</v>
      </c>
      <c r="AB277" s="13" t="s">
        <v>1924</v>
      </c>
      <c r="AC277" s="211" t="s">
        <v>2415</v>
      </c>
      <c r="AD277" s="13" t="s">
        <v>2416</v>
      </c>
      <c r="AE277" s="69">
        <v>1112016018</v>
      </c>
      <c r="AF277" s="13" t="s">
        <v>2418</v>
      </c>
      <c r="AG277" s="13" t="s">
        <v>2419</v>
      </c>
      <c r="AH277" s="13" t="s">
        <v>2420</v>
      </c>
      <c r="AI277" s="13" t="s">
        <v>2421</v>
      </c>
      <c r="AJ277" s="13" t="s">
        <v>2422</v>
      </c>
      <c r="AK277" s="13" t="s">
        <v>2416</v>
      </c>
      <c r="AL277" s="13" t="s">
        <v>2077</v>
      </c>
      <c r="AM277" s="13" t="s">
        <v>2077</v>
      </c>
      <c r="AN277" s="13" t="s">
        <v>2077</v>
      </c>
      <c r="AO277" s="13" t="s">
        <v>2077</v>
      </c>
      <c r="AP277" s="13" t="s">
        <v>2077</v>
      </c>
      <c r="AQ277" s="13" t="s">
        <v>2077</v>
      </c>
      <c r="AR277" s="13" t="s">
        <v>2418</v>
      </c>
      <c r="AS277" s="13" t="s">
        <v>2419</v>
      </c>
      <c r="AT277" s="13" t="s">
        <v>2420</v>
      </c>
      <c r="AU277" s="13" t="s">
        <v>2421</v>
      </c>
      <c r="AV277" s="13" t="s">
        <v>2422</v>
      </c>
      <c r="AW277" s="13" t="s">
        <v>2416</v>
      </c>
      <c r="AX277" s="13" t="s">
        <v>2073</v>
      </c>
      <c r="AY277" s="13" t="s">
        <v>2073</v>
      </c>
      <c r="AZ277" s="13" t="s">
        <v>2073</v>
      </c>
      <c r="BA277" s="13" t="s">
        <v>2073</v>
      </c>
      <c r="BB277" s="13" t="s">
        <v>2073</v>
      </c>
      <c r="BC277" s="13" t="s">
        <v>2073</v>
      </c>
    </row>
    <row r="278" spans="1:55" ht="15.75" customHeight="1">
      <c r="A278" s="13">
        <v>2000</v>
      </c>
      <c r="B278" s="7" t="s">
        <v>1344</v>
      </c>
      <c r="C278" s="211" t="s">
        <v>2412</v>
      </c>
      <c r="D278" s="13" t="s">
        <v>1343</v>
      </c>
      <c r="E278" s="13" t="s">
        <v>1175</v>
      </c>
      <c r="F278" s="211" t="s">
        <v>2413</v>
      </c>
      <c r="G278" s="13" t="s">
        <v>2414</v>
      </c>
      <c r="H278" s="13" t="s">
        <v>2077</v>
      </c>
      <c r="I278" s="13" t="s">
        <v>2077</v>
      </c>
      <c r="J278" s="13" t="s">
        <v>2077</v>
      </c>
      <c r="K278" s="13" t="s">
        <v>2077</v>
      </c>
      <c r="L278" s="13" t="s">
        <v>2077</v>
      </c>
      <c r="M278" s="13" t="s">
        <v>2077</v>
      </c>
      <c r="N278" s="211" t="s">
        <v>2415</v>
      </c>
      <c r="O278" s="13" t="s">
        <v>2416</v>
      </c>
      <c r="P278" s="69" t="str">
        <f t="shared" ref="P278:Q278" si="274">D278</f>
        <v>MF COLOURING 19</v>
      </c>
      <c r="Q278" s="13" t="str">
        <f t="shared" si="274"/>
        <v>3MF</v>
      </c>
      <c r="R278" s="212" t="s">
        <v>23</v>
      </c>
      <c r="S278" s="213">
        <v>0.75</v>
      </c>
      <c r="T278" s="13">
        <v>85</v>
      </c>
      <c r="U278" s="211" t="s">
        <v>24</v>
      </c>
      <c r="V278" s="13">
        <v>1</v>
      </c>
      <c r="W278" s="13" t="s">
        <v>2417</v>
      </c>
      <c r="X278" s="13" t="s">
        <v>1924</v>
      </c>
      <c r="Y278" s="13" t="s">
        <v>2073</v>
      </c>
      <c r="Z278" s="13" t="s">
        <v>2073</v>
      </c>
      <c r="AA278" s="13" t="s">
        <v>2073</v>
      </c>
      <c r="AB278" s="13" t="s">
        <v>1924</v>
      </c>
      <c r="AC278" s="211" t="s">
        <v>2415</v>
      </c>
      <c r="AD278" s="13" t="s">
        <v>2416</v>
      </c>
      <c r="AE278" s="69">
        <v>1112016019</v>
      </c>
      <c r="AF278" s="13" t="s">
        <v>2418</v>
      </c>
      <c r="AG278" s="13" t="s">
        <v>2419</v>
      </c>
      <c r="AH278" s="13" t="s">
        <v>2420</v>
      </c>
      <c r="AI278" s="13" t="s">
        <v>2421</v>
      </c>
      <c r="AJ278" s="13" t="s">
        <v>2422</v>
      </c>
      <c r="AK278" s="13" t="s">
        <v>2416</v>
      </c>
      <c r="AL278" s="13" t="s">
        <v>2077</v>
      </c>
      <c r="AM278" s="13" t="s">
        <v>2077</v>
      </c>
      <c r="AN278" s="13" t="s">
        <v>2077</v>
      </c>
      <c r="AO278" s="13" t="s">
        <v>2077</v>
      </c>
      <c r="AP278" s="13" t="s">
        <v>2077</v>
      </c>
      <c r="AQ278" s="13" t="s">
        <v>2077</v>
      </c>
      <c r="AR278" s="13" t="s">
        <v>2418</v>
      </c>
      <c r="AS278" s="13" t="s">
        <v>2419</v>
      </c>
      <c r="AT278" s="13" t="s">
        <v>2420</v>
      </c>
      <c r="AU278" s="13" t="s">
        <v>2421</v>
      </c>
      <c r="AV278" s="13" t="s">
        <v>2422</v>
      </c>
      <c r="AW278" s="13" t="s">
        <v>2416</v>
      </c>
      <c r="AX278" s="13" t="s">
        <v>2073</v>
      </c>
      <c r="AY278" s="13" t="s">
        <v>2073</v>
      </c>
      <c r="AZ278" s="13" t="s">
        <v>2073</v>
      </c>
      <c r="BA278" s="13" t="s">
        <v>2073</v>
      </c>
      <c r="BB278" s="13" t="s">
        <v>2073</v>
      </c>
      <c r="BC278" s="13" t="s">
        <v>2073</v>
      </c>
    </row>
    <row r="279" spans="1:55" ht="15.75" customHeight="1">
      <c r="A279" s="13">
        <v>2000</v>
      </c>
      <c r="B279" s="7" t="s">
        <v>1348</v>
      </c>
      <c r="C279" s="211" t="s">
        <v>2412</v>
      </c>
      <c r="D279" s="13" t="s">
        <v>1347</v>
      </c>
      <c r="E279" s="13" t="s">
        <v>1175</v>
      </c>
      <c r="F279" s="211" t="s">
        <v>2413</v>
      </c>
      <c r="G279" s="13" t="s">
        <v>2414</v>
      </c>
      <c r="H279" s="13" t="s">
        <v>2077</v>
      </c>
      <c r="I279" s="13" t="s">
        <v>2077</v>
      </c>
      <c r="J279" s="13" t="s">
        <v>2077</v>
      </c>
      <c r="K279" s="13" t="s">
        <v>2077</v>
      </c>
      <c r="L279" s="13" t="s">
        <v>2077</v>
      </c>
      <c r="M279" s="13" t="s">
        <v>2077</v>
      </c>
      <c r="N279" s="211" t="s">
        <v>2415</v>
      </c>
      <c r="O279" s="13" t="s">
        <v>2416</v>
      </c>
      <c r="P279" s="69" t="str">
        <f t="shared" ref="P279:Q279" si="275">D279</f>
        <v>MF COLOURING 20</v>
      </c>
      <c r="Q279" s="13" t="str">
        <f t="shared" si="275"/>
        <v>3MF</v>
      </c>
      <c r="R279" s="212" t="s">
        <v>23</v>
      </c>
      <c r="S279" s="212" t="s">
        <v>2423</v>
      </c>
      <c r="T279" s="13">
        <v>85</v>
      </c>
      <c r="U279" s="211" t="s">
        <v>24</v>
      </c>
      <c r="V279" s="13">
        <v>1</v>
      </c>
      <c r="W279" s="13" t="s">
        <v>2417</v>
      </c>
      <c r="X279" s="13" t="s">
        <v>1924</v>
      </c>
      <c r="Y279" s="13" t="s">
        <v>2073</v>
      </c>
      <c r="Z279" s="13" t="s">
        <v>2073</v>
      </c>
      <c r="AA279" s="13" t="s">
        <v>2073</v>
      </c>
      <c r="AB279" s="13" t="s">
        <v>1924</v>
      </c>
      <c r="AC279" s="211" t="s">
        <v>2415</v>
      </c>
      <c r="AD279" s="13" t="s">
        <v>2416</v>
      </c>
      <c r="AE279" s="69">
        <v>1112016020</v>
      </c>
      <c r="AF279" s="13" t="s">
        <v>2418</v>
      </c>
      <c r="AG279" s="13" t="s">
        <v>2419</v>
      </c>
      <c r="AH279" s="13" t="s">
        <v>2420</v>
      </c>
      <c r="AI279" s="13" t="s">
        <v>2421</v>
      </c>
      <c r="AJ279" s="13" t="s">
        <v>2422</v>
      </c>
      <c r="AK279" s="13" t="s">
        <v>2416</v>
      </c>
      <c r="AL279" s="13" t="s">
        <v>2077</v>
      </c>
      <c r="AM279" s="13" t="s">
        <v>2077</v>
      </c>
      <c r="AN279" s="13" t="s">
        <v>2077</v>
      </c>
      <c r="AO279" s="13" t="s">
        <v>2077</v>
      </c>
      <c r="AP279" s="13" t="s">
        <v>2077</v>
      </c>
      <c r="AQ279" s="13" t="s">
        <v>2077</v>
      </c>
      <c r="AR279" s="13" t="s">
        <v>2418</v>
      </c>
      <c r="AS279" s="13" t="s">
        <v>2419</v>
      </c>
      <c r="AT279" s="13" t="s">
        <v>2420</v>
      </c>
      <c r="AU279" s="13" t="s">
        <v>2421</v>
      </c>
      <c r="AV279" s="13" t="s">
        <v>2422</v>
      </c>
      <c r="AW279" s="13" t="s">
        <v>2416</v>
      </c>
      <c r="AX279" s="13" t="s">
        <v>2073</v>
      </c>
      <c r="AY279" s="13" t="s">
        <v>2073</v>
      </c>
      <c r="AZ279" s="13" t="s">
        <v>2073</v>
      </c>
      <c r="BA279" s="13" t="s">
        <v>2073</v>
      </c>
      <c r="BB279" s="13" t="s">
        <v>2073</v>
      </c>
      <c r="BC279" s="13" t="s">
        <v>2073</v>
      </c>
    </row>
    <row r="280" spans="1:55" ht="15.75" customHeight="1">
      <c r="A280" s="13">
        <v>2000</v>
      </c>
      <c r="B280" s="7" t="s">
        <v>1353</v>
      </c>
      <c r="C280" s="211" t="s">
        <v>2412</v>
      </c>
      <c r="D280" s="13" t="s">
        <v>1352</v>
      </c>
      <c r="E280" s="13" t="s">
        <v>1175</v>
      </c>
      <c r="F280" s="211" t="s">
        <v>2413</v>
      </c>
      <c r="G280" s="13" t="s">
        <v>2414</v>
      </c>
      <c r="H280" s="13" t="s">
        <v>2077</v>
      </c>
      <c r="I280" s="13" t="s">
        <v>2077</v>
      </c>
      <c r="J280" s="13" t="s">
        <v>2077</v>
      </c>
      <c r="K280" s="13" t="s">
        <v>2077</v>
      </c>
      <c r="L280" s="13" t="s">
        <v>2077</v>
      </c>
      <c r="M280" s="13" t="s">
        <v>2077</v>
      </c>
      <c r="N280" s="211" t="s">
        <v>2415</v>
      </c>
      <c r="O280" s="13" t="s">
        <v>2416</v>
      </c>
      <c r="P280" s="69" t="str">
        <f t="shared" ref="P280:Q280" si="276">D280</f>
        <v>MF PACKING</v>
      </c>
      <c r="Q280" s="13" t="str">
        <f t="shared" si="276"/>
        <v>3MF</v>
      </c>
      <c r="R280" s="212" t="s">
        <v>23</v>
      </c>
      <c r="S280" s="213">
        <v>0.64583333333333337</v>
      </c>
      <c r="T280" s="13">
        <v>85</v>
      </c>
      <c r="U280" s="211" t="s">
        <v>24</v>
      </c>
      <c r="V280" s="13">
        <v>1</v>
      </c>
      <c r="W280" s="13" t="s">
        <v>2417</v>
      </c>
      <c r="X280" s="13" t="s">
        <v>1924</v>
      </c>
      <c r="Y280" s="13" t="s">
        <v>2073</v>
      </c>
      <c r="Z280" s="13" t="s">
        <v>2073</v>
      </c>
      <c r="AA280" s="13" t="s">
        <v>2073</v>
      </c>
      <c r="AB280" s="13" t="s">
        <v>1924</v>
      </c>
      <c r="AC280" s="211" t="s">
        <v>2415</v>
      </c>
      <c r="AD280" s="13" t="s">
        <v>2416</v>
      </c>
      <c r="AE280" s="69" t="s">
        <v>1354</v>
      </c>
      <c r="AF280" s="13" t="s">
        <v>2418</v>
      </c>
      <c r="AG280" s="13" t="s">
        <v>2419</v>
      </c>
      <c r="AH280" s="13" t="s">
        <v>2420</v>
      </c>
      <c r="AI280" s="13" t="s">
        <v>2421</v>
      </c>
      <c r="AJ280" s="13" t="s">
        <v>2422</v>
      </c>
      <c r="AK280" s="13" t="s">
        <v>2416</v>
      </c>
      <c r="AL280" s="13" t="s">
        <v>2077</v>
      </c>
      <c r="AM280" s="13" t="s">
        <v>2077</v>
      </c>
      <c r="AN280" s="13" t="s">
        <v>2077</v>
      </c>
      <c r="AO280" s="13" t="s">
        <v>2077</v>
      </c>
      <c r="AP280" s="13" t="s">
        <v>2077</v>
      </c>
      <c r="AQ280" s="13" t="s">
        <v>2077</v>
      </c>
      <c r="AR280" s="13" t="s">
        <v>2418</v>
      </c>
      <c r="AS280" s="13" t="s">
        <v>2419</v>
      </c>
      <c r="AT280" s="13" t="s">
        <v>2420</v>
      </c>
      <c r="AU280" s="13" t="s">
        <v>2421</v>
      </c>
      <c r="AV280" s="13" t="s">
        <v>2422</v>
      </c>
      <c r="AW280" s="13" t="s">
        <v>2416</v>
      </c>
      <c r="AX280" s="13" t="s">
        <v>2073</v>
      </c>
      <c r="AY280" s="13" t="s">
        <v>2073</v>
      </c>
      <c r="AZ280" s="13" t="s">
        <v>2073</v>
      </c>
      <c r="BA280" s="13" t="s">
        <v>2073</v>
      </c>
      <c r="BB280" s="13" t="s">
        <v>2073</v>
      </c>
      <c r="BC280" s="13" t="s">
        <v>2073</v>
      </c>
    </row>
    <row r="281" spans="1:55" ht="15.75" customHeight="1">
      <c r="A281" s="13">
        <v>2000</v>
      </c>
      <c r="B281" s="7" t="s">
        <v>1358</v>
      </c>
      <c r="C281" s="211" t="s">
        <v>2412</v>
      </c>
      <c r="D281" s="13" t="s">
        <v>1357</v>
      </c>
      <c r="E281" s="13" t="s">
        <v>1361</v>
      </c>
      <c r="F281" s="211" t="s">
        <v>2413</v>
      </c>
      <c r="G281" s="13" t="s">
        <v>2414</v>
      </c>
      <c r="H281" s="13" t="s">
        <v>2077</v>
      </c>
      <c r="I281" s="13" t="s">
        <v>2077</v>
      </c>
      <c r="J281" s="13" t="s">
        <v>2077</v>
      </c>
      <c r="K281" s="13" t="s">
        <v>2077</v>
      </c>
      <c r="L281" s="13" t="s">
        <v>2077</v>
      </c>
      <c r="M281" s="13" t="s">
        <v>2077</v>
      </c>
      <c r="N281" s="211" t="s">
        <v>2415</v>
      </c>
      <c r="O281" s="13" t="s">
        <v>2416</v>
      </c>
      <c r="P281" s="69" t="str">
        <f t="shared" ref="P281:Q281" si="277">D281</f>
        <v>CGD CNC ARES 7821</v>
      </c>
      <c r="Q281" s="13" t="str">
        <f t="shared" si="277"/>
        <v>3D2</v>
      </c>
      <c r="R281" s="212" t="s">
        <v>23</v>
      </c>
      <c r="S281" s="213">
        <v>0.97916666666666663</v>
      </c>
      <c r="T281" s="13">
        <v>85</v>
      </c>
      <c r="U281" s="211" t="s">
        <v>83</v>
      </c>
      <c r="V281" s="13">
        <v>1</v>
      </c>
      <c r="W281" s="13" t="s">
        <v>2417</v>
      </c>
      <c r="X281" s="13" t="s">
        <v>1924</v>
      </c>
      <c r="Y281" s="13" t="s">
        <v>2073</v>
      </c>
      <c r="Z281" s="13" t="s">
        <v>2073</v>
      </c>
      <c r="AA281" s="13" t="s">
        <v>2073</v>
      </c>
      <c r="AB281" s="13" t="s">
        <v>1924</v>
      </c>
      <c r="AC281" s="211" t="s">
        <v>2415</v>
      </c>
      <c r="AD281" s="13" t="s">
        <v>2416</v>
      </c>
      <c r="AE281" s="69" t="s">
        <v>1359</v>
      </c>
      <c r="AF281" s="13" t="s">
        <v>2418</v>
      </c>
      <c r="AG281" s="13" t="s">
        <v>2419</v>
      </c>
      <c r="AH281" s="13" t="s">
        <v>2420</v>
      </c>
      <c r="AI281" s="13" t="s">
        <v>2421</v>
      </c>
      <c r="AJ281" s="13" t="s">
        <v>2422</v>
      </c>
      <c r="AK281" s="13" t="s">
        <v>2416</v>
      </c>
      <c r="AL281" s="13" t="s">
        <v>2077</v>
      </c>
      <c r="AM281" s="13" t="s">
        <v>2077</v>
      </c>
      <c r="AN281" s="13" t="s">
        <v>2077</v>
      </c>
      <c r="AO281" s="13" t="s">
        <v>2077</v>
      </c>
      <c r="AP281" s="13" t="s">
        <v>2077</v>
      </c>
      <c r="AQ281" s="13" t="s">
        <v>2077</v>
      </c>
      <c r="AR281" s="13" t="s">
        <v>2418</v>
      </c>
      <c r="AS281" s="13" t="s">
        <v>2419</v>
      </c>
      <c r="AT281" s="13" t="s">
        <v>2420</v>
      </c>
      <c r="AU281" s="13" t="s">
        <v>2421</v>
      </c>
      <c r="AV281" s="13" t="s">
        <v>2422</v>
      </c>
      <c r="AW281" s="13" t="s">
        <v>2416</v>
      </c>
      <c r="AX281" s="13" t="s">
        <v>2073</v>
      </c>
      <c r="AY281" s="13" t="s">
        <v>2073</v>
      </c>
      <c r="AZ281" s="13" t="s">
        <v>2073</v>
      </c>
      <c r="BA281" s="13" t="s">
        <v>2073</v>
      </c>
      <c r="BB281" s="13" t="s">
        <v>2073</v>
      </c>
      <c r="BC281" s="13" t="s">
        <v>2073</v>
      </c>
    </row>
    <row r="282" spans="1:55" ht="15.75" customHeight="1">
      <c r="A282" s="13">
        <v>2000</v>
      </c>
      <c r="B282" s="7" t="s">
        <v>1364</v>
      </c>
      <c r="C282" s="211" t="s">
        <v>2412</v>
      </c>
      <c r="D282" s="13" t="s">
        <v>1363</v>
      </c>
      <c r="E282" s="13" t="s">
        <v>1361</v>
      </c>
      <c r="F282" s="211" t="s">
        <v>2413</v>
      </c>
      <c r="G282" s="13" t="s">
        <v>2414</v>
      </c>
      <c r="H282" s="13" t="s">
        <v>2077</v>
      </c>
      <c r="I282" s="13" t="s">
        <v>2077</v>
      </c>
      <c r="J282" s="13" t="s">
        <v>2077</v>
      </c>
      <c r="K282" s="13" t="s">
        <v>2077</v>
      </c>
      <c r="L282" s="13" t="s">
        <v>2077</v>
      </c>
      <c r="M282" s="13" t="s">
        <v>2077</v>
      </c>
      <c r="N282" s="211" t="s">
        <v>2415</v>
      </c>
      <c r="O282" s="13" t="s">
        <v>2416</v>
      </c>
      <c r="P282" s="69" t="str">
        <f t="shared" ref="P282:Q282" si="278">D282</f>
        <v>CGD CNC ARES 7822</v>
      </c>
      <c r="Q282" s="13" t="str">
        <f t="shared" si="278"/>
        <v>3D2</v>
      </c>
      <c r="R282" s="212" t="s">
        <v>23</v>
      </c>
      <c r="S282" s="213">
        <v>0.97916666666666663</v>
      </c>
      <c r="T282" s="13">
        <v>85</v>
      </c>
      <c r="U282" s="211" t="s">
        <v>83</v>
      </c>
      <c r="V282" s="13">
        <v>1</v>
      </c>
      <c r="W282" s="13" t="s">
        <v>2417</v>
      </c>
      <c r="X282" s="13" t="s">
        <v>1924</v>
      </c>
      <c r="Y282" s="13" t="s">
        <v>2073</v>
      </c>
      <c r="Z282" s="13" t="s">
        <v>2073</v>
      </c>
      <c r="AA282" s="13" t="s">
        <v>2073</v>
      </c>
      <c r="AB282" s="13" t="s">
        <v>1924</v>
      </c>
      <c r="AC282" s="211" t="s">
        <v>2415</v>
      </c>
      <c r="AD282" s="13" t="s">
        <v>2416</v>
      </c>
      <c r="AE282" s="69" t="s">
        <v>1365</v>
      </c>
      <c r="AF282" s="13" t="s">
        <v>2418</v>
      </c>
      <c r="AG282" s="13" t="s">
        <v>2419</v>
      </c>
      <c r="AH282" s="13" t="s">
        <v>2420</v>
      </c>
      <c r="AI282" s="13" t="s">
        <v>2421</v>
      </c>
      <c r="AJ282" s="13" t="s">
        <v>2422</v>
      </c>
      <c r="AK282" s="13" t="s">
        <v>2416</v>
      </c>
      <c r="AL282" s="13" t="s">
        <v>2077</v>
      </c>
      <c r="AM282" s="13" t="s">
        <v>2077</v>
      </c>
      <c r="AN282" s="13" t="s">
        <v>2077</v>
      </c>
      <c r="AO282" s="13" t="s">
        <v>2077</v>
      </c>
      <c r="AP282" s="13" t="s">
        <v>2077</v>
      </c>
      <c r="AQ282" s="13" t="s">
        <v>2077</v>
      </c>
      <c r="AR282" s="13" t="s">
        <v>2418</v>
      </c>
      <c r="AS282" s="13" t="s">
        <v>2419</v>
      </c>
      <c r="AT282" s="13" t="s">
        <v>2420</v>
      </c>
      <c r="AU282" s="13" t="s">
        <v>2421</v>
      </c>
      <c r="AV282" s="13" t="s">
        <v>2422</v>
      </c>
      <c r="AW282" s="13" t="s">
        <v>2416</v>
      </c>
      <c r="AX282" s="13" t="s">
        <v>2073</v>
      </c>
      <c r="AY282" s="13" t="s">
        <v>2073</v>
      </c>
      <c r="AZ282" s="13" t="s">
        <v>2073</v>
      </c>
      <c r="BA282" s="13" t="s">
        <v>2073</v>
      </c>
      <c r="BB282" s="13" t="s">
        <v>2073</v>
      </c>
      <c r="BC282" s="13" t="s">
        <v>2073</v>
      </c>
    </row>
    <row r="283" spans="1:55" ht="15.75" customHeight="1">
      <c r="A283" s="13">
        <v>2000</v>
      </c>
      <c r="B283" s="7" t="s">
        <v>1368</v>
      </c>
      <c r="C283" s="211" t="s">
        <v>2412</v>
      </c>
      <c r="D283" s="13" t="s">
        <v>1367</v>
      </c>
      <c r="E283" s="13" t="s">
        <v>1361</v>
      </c>
      <c r="F283" s="211" t="s">
        <v>2413</v>
      </c>
      <c r="G283" s="13" t="s">
        <v>2414</v>
      </c>
      <c r="H283" s="13" t="s">
        <v>2077</v>
      </c>
      <c r="I283" s="13" t="s">
        <v>2077</v>
      </c>
      <c r="J283" s="13" t="s">
        <v>2077</v>
      </c>
      <c r="K283" s="13" t="s">
        <v>2077</v>
      </c>
      <c r="L283" s="13" t="s">
        <v>2077</v>
      </c>
      <c r="M283" s="13" t="s">
        <v>2077</v>
      </c>
      <c r="N283" s="211" t="s">
        <v>2415</v>
      </c>
      <c r="O283" s="13" t="s">
        <v>2416</v>
      </c>
      <c r="P283" s="69" t="str">
        <f t="shared" ref="P283:Q283" si="279">D283</f>
        <v>CGD CNC ARES 7823</v>
      </c>
      <c r="Q283" s="13" t="str">
        <f t="shared" si="279"/>
        <v>3D2</v>
      </c>
      <c r="R283" s="212" t="s">
        <v>23</v>
      </c>
      <c r="S283" s="213">
        <v>0.97916666666666663</v>
      </c>
      <c r="T283" s="13">
        <v>85</v>
      </c>
      <c r="U283" s="211" t="s">
        <v>83</v>
      </c>
      <c r="V283" s="13">
        <v>1</v>
      </c>
      <c r="W283" s="13" t="s">
        <v>2417</v>
      </c>
      <c r="X283" s="13" t="s">
        <v>1924</v>
      </c>
      <c r="Y283" s="13" t="s">
        <v>2073</v>
      </c>
      <c r="Z283" s="13" t="s">
        <v>2073</v>
      </c>
      <c r="AA283" s="13" t="s">
        <v>2073</v>
      </c>
      <c r="AB283" s="13" t="s">
        <v>1924</v>
      </c>
      <c r="AC283" s="211" t="s">
        <v>2415</v>
      </c>
      <c r="AD283" s="13" t="s">
        <v>2416</v>
      </c>
      <c r="AE283" s="69" t="s">
        <v>1369</v>
      </c>
      <c r="AF283" s="13" t="s">
        <v>2418</v>
      </c>
      <c r="AG283" s="13" t="s">
        <v>2419</v>
      </c>
      <c r="AH283" s="13" t="s">
        <v>2420</v>
      </c>
      <c r="AI283" s="13" t="s">
        <v>2421</v>
      </c>
      <c r="AJ283" s="13" t="s">
        <v>2422</v>
      </c>
      <c r="AK283" s="13" t="s">
        <v>2416</v>
      </c>
      <c r="AL283" s="13" t="s">
        <v>2077</v>
      </c>
      <c r="AM283" s="13" t="s">
        <v>2077</v>
      </c>
      <c r="AN283" s="13" t="s">
        <v>2077</v>
      </c>
      <c r="AO283" s="13" t="s">
        <v>2077</v>
      </c>
      <c r="AP283" s="13" t="s">
        <v>2077</v>
      </c>
      <c r="AQ283" s="13" t="s">
        <v>2077</v>
      </c>
      <c r="AR283" s="13" t="s">
        <v>2418</v>
      </c>
      <c r="AS283" s="13" t="s">
        <v>2419</v>
      </c>
      <c r="AT283" s="13" t="s">
        <v>2420</v>
      </c>
      <c r="AU283" s="13" t="s">
        <v>2421</v>
      </c>
      <c r="AV283" s="13" t="s">
        <v>2422</v>
      </c>
      <c r="AW283" s="13" t="s">
        <v>2416</v>
      </c>
      <c r="AX283" s="13" t="s">
        <v>2073</v>
      </c>
      <c r="AY283" s="13" t="s">
        <v>2073</v>
      </c>
      <c r="AZ283" s="13" t="s">
        <v>2073</v>
      </c>
      <c r="BA283" s="13" t="s">
        <v>2073</v>
      </c>
      <c r="BB283" s="13" t="s">
        <v>2073</v>
      </c>
      <c r="BC283" s="13" t="s">
        <v>2073</v>
      </c>
    </row>
    <row r="284" spans="1:55" ht="15.75" customHeight="1">
      <c r="A284" s="13">
        <v>2000</v>
      </c>
      <c r="B284" s="7" t="s">
        <v>1372</v>
      </c>
      <c r="C284" s="211" t="s">
        <v>2412</v>
      </c>
      <c r="D284" s="13" t="s">
        <v>1371</v>
      </c>
      <c r="E284" s="13" t="s">
        <v>1361</v>
      </c>
      <c r="F284" s="211" t="s">
        <v>2413</v>
      </c>
      <c r="G284" s="13" t="s">
        <v>2414</v>
      </c>
      <c r="H284" s="13" t="s">
        <v>2077</v>
      </c>
      <c r="I284" s="13" t="s">
        <v>2077</v>
      </c>
      <c r="J284" s="13" t="s">
        <v>2077</v>
      </c>
      <c r="K284" s="13" t="s">
        <v>2077</v>
      </c>
      <c r="L284" s="13" t="s">
        <v>2077</v>
      </c>
      <c r="M284" s="13" t="s">
        <v>2077</v>
      </c>
      <c r="N284" s="211" t="s">
        <v>2415</v>
      </c>
      <c r="O284" s="13" t="s">
        <v>2416</v>
      </c>
      <c r="P284" s="69" t="str">
        <f t="shared" ref="P284:Q284" si="280">D284</f>
        <v>CGD CNC ARES 7824</v>
      </c>
      <c r="Q284" s="13" t="str">
        <f t="shared" si="280"/>
        <v>3D2</v>
      </c>
      <c r="R284" s="212" t="s">
        <v>23</v>
      </c>
      <c r="S284" s="213">
        <v>0.97916666666666663</v>
      </c>
      <c r="T284" s="13">
        <v>85</v>
      </c>
      <c r="U284" s="211" t="s">
        <v>83</v>
      </c>
      <c r="V284" s="13">
        <v>1</v>
      </c>
      <c r="W284" s="13" t="s">
        <v>2417</v>
      </c>
      <c r="X284" s="13" t="s">
        <v>1924</v>
      </c>
      <c r="Y284" s="13" t="s">
        <v>2073</v>
      </c>
      <c r="Z284" s="13" t="s">
        <v>2073</v>
      </c>
      <c r="AA284" s="13" t="s">
        <v>2073</v>
      </c>
      <c r="AB284" s="13" t="s">
        <v>1924</v>
      </c>
      <c r="AC284" s="211" t="s">
        <v>2415</v>
      </c>
      <c r="AD284" s="13" t="s">
        <v>2416</v>
      </c>
      <c r="AE284" s="69" t="s">
        <v>1373</v>
      </c>
      <c r="AF284" s="13" t="s">
        <v>2418</v>
      </c>
      <c r="AG284" s="13" t="s">
        <v>2419</v>
      </c>
      <c r="AH284" s="13" t="s">
        <v>2420</v>
      </c>
      <c r="AI284" s="13" t="s">
        <v>2421</v>
      </c>
      <c r="AJ284" s="13" t="s">
        <v>2422</v>
      </c>
      <c r="AK284" s="13" t="s">
        <v>2416</v>
      </c>
      <c r="AL284" s="13" t="s">
        <v>2077</v>
      </c>
      <c r="AM284" s="13" t="s">
        <v>2077</v>
      </c>
      <c r="AN284" s="13" t="s">
        <v>2077</v>
      </c>
      <c r="AO284" s="13" t="s">
        <v>2077</v>
      </c>
      <c r="AP284" s="13" t="s">
        <v>2077</v>
      </c>
      <c r="AQ284" s="13" t="s">
        <v>2077</v>
      </c>
      <c r="AR284" s="13" t="s">
        <v>2418</v>
      </c>
      <c r="AS284" s="13" t="s">
        <v>2419</v>
      </c>
      <c r="AT284" s="13" t="s">
        <v>2420</v>
      </c>
      <c r="AU284" s="13" t="s">
        <v>2421</v>
      </c>
      <c r="AV284" s="13" t="s">
        <v>2422</v>
      </c>
      <c r="AW284" s="13" t="s">
        <v>2416</v>
      </c>
      <c r="AX284" s="13" t="s">
        <v>2073</v>
      </c>
      <c r="AY284" s="13" t="s">
        <v>2073</v>
      </c>
      <c r="AZ284" s="13" t="s">
        <v>2073</v>
      </c>
      <c r="BA284" s="13" t="s">
        <v>2073</v>
      </c>
      <c r="BB284" s="13" t="s">
        <v>2073</v>
      </c>
      <c r="BC284" s="13" t="s">
        <v>2073</v>
      </c>
    </row>
    <row r="285" spans="1:55" ht="15.75" customHeight="1">
      <c r="A285" s="13">
        <v>2000</v>
      </c>
      <c r="B285" s="7" t="s">
        <v>1376</v>
      </c>
      <c r="C285" s="211" t="s">
        <v>2412</v>
      </c>
      <c r="D285" s="13" t="s">
        <v>1375</v>
      </c>
      <c r="E285" s="13" t="s">
        <v>1361</v>
      </c>
      <c r="F285" s="211" t="s">
        <v>2413</v>
      </c>
      <c r="G285" s="13" t="s">
        <v>2414</v>
      </c>
      <c r="H285" s="13" t="s">
        <v>2077</v>
      </c>
      <c r="I285" s="13" t="s">
        <v>2077</v>
      </c>
      <c r="J285" s="13" t="s">
        <v>2077</v>
      </c>
      <c r="K285" s="13" t="s">
        <v>2077</v>
      </c>
      <c r="L285" s="13" t="s">
        <v>2077</v>
      </c>
      <c r="M285" s="13" t="s">
        <v>2077</v>
      </c>
      <c r="N285" s="211" t="s">
        <v>2415</v>
      </c>
      <c r="O285" s="13" t="s">
        <v>2416</v>
      </c>
      <c r="P285" s="69" t="str">
        <f t="shared" ref="P285:Q285" si="281">D285</f>
        <v>CGD BIESSE 1</v>
      </c>
      <c r="Q285" s="13" t="str">
        <f t="shared" si="281"/>
        <v>3D2</v>
      </c>
      <c r="R285" s="212" t="s">
        <v>23</v>
      </c>
      <c r="S285" s="213">
        <v>0.83333333333333337</v>
      </c>
      <c r="T285" s="13">
        <v>85</v>
      </c>
      <c r="U285" s="211" t="s">
        <v>24</v>
      </c>
      <c r="V285" s="13">
        <v>1</v>
      </c>
      <c r="W285" s="13" t="s">
        <v>2417</v>
      </c>
      <c r="X285" s="13" t="s">
        <v>1924</v>
      </c>
      <c r="Y285" s="13" t="s">
        <v>2073</v>
      </c>
      <c r="Z285" s="13" t="s">
        <v>2073</v>
      </c>
      <c r="AA285" s="13" t="s">
        <v>2073</v>
      </c>
      <c r="AB285" s="13" t="s">
        <v>1924</v>
      </c>
      <c r="AC285" s="211" t="s">
        <v>2415</v>
      </c>
      <c r="AD285" s="13" t="s">
        <v>2416</v>
      </c>
      <c r="AE285" s="69" t="s">
        <v>1377</v>
      </c>
      <c r="AF285" s="13" t="s">
        <v>2418</v>
      </c>
      <c r="AG285" s="13" t="s">
        <v>2419</v>
      </c>
      <c r="AH285" s="13" t="s">
        <v>2420</v>
      </c>
      <c r="AI285" s="13" t="s">
        <v>2421</v>
      </c>
      <c r="AJ285" s="13" t="s">
        <v>2422</v>
      </c>
      <c r="AK285" s="13" t="s">
        <v>2416</v>
      </c>
      <c r="AL285" s="13" t="s">
        <v>2077</v>
      </c>
      <c r="AM285" s="13" t="s">
        <v>2077</v>
      </c>
      <c r="AN285" s="13" t="s">
        <v>2077</v>
      </c>
      <c r="AO285" s="13" t="s">
        <v>2077</v>
      </c>
      <c r="AP285" s="13" t="s">
        <v>2077</v>
      </c>
      <c r="AQ285" s="13" t="s">
        <v>2077</v>
      </c>
      <c r="AR285" s="13" t="s">
        <v>2418</v>
      </c>
      <c r="AS285" s="13" t="s">
        <v>2419</v>
      </c>
      <c r="AT285" s="13" t="s">
        <v>2420</v>
      </c>
      <c r="AU285" s="13" t="s">
        <v>2421</v>
      </c>
      <c r="AV285" s="13" t="s">
        <v>2422</v>
      </c>
      <c r="AW285" s="13" t="s">
        <v>2416</v>
      </c>
      <c r="AX285" s="13" t="s">
        <v>2073</v>
      </c>
      <c r="AY285" s="13" t="s">
        <v>2073</v>
      </c>
      <c r="AZ285" s="13" t="s">
        <v>2073</v>
      </c>
      <c r="BA285" s="13" t="s">
        <v>2073</v>
      </c>
      <c r="BB285" s="13" t="s">
        <v>2073</v>
      </c>
      <c r="BC285" s="13" t="s">
        <v>2073</v>
      </c>
    </row>
    <row r="286" spans="1:55" ht="15.75" customHeight="1">
      <c r="A286" s="13">
        <v>2000</v>
      </c>
      <c r="B286" s="7" t="s">
        <v>1380</v>
      </c>
      <c r="C286" s="211" t="s">
        <v>2412</v>
      </c>
      <c r="D286" s="13" t="s">
        <v>1379</v>
      </c>
      <c r="E286" s="13" t="s">
        <v>1361</v>
      </c>
      <c r="F286" s="211" t="s">
        <v>2413</v>
      </c>
      <c r="G286" s="13" t="s">
        <v>2414</v>
      </c>
      <c r="H286" s="13" t="s">
        <v>2077</v>
      </c>
      <c r="I286" s="13" t="s">
        <v>2077</v>
      </c>
      <c r="J286" s="13" t="s">
        <v>2077</v>
      </c>
      <c r="K286" s="13" t="s">
        <v>2077</v>
      </c>
      <c r="L286" s="13" t="s">
        <v>2077</v>
      </c>
      <c r="M286" s="13" t="s">
        <v>2077</v>
      </c>
      <c r="N286" s="211" t="s">
        <v>2415</v>
      </c>
      <c r="O286" s="13" t="s">
        <v>2416</v>
      </c>
      <c r="P286" s="69" t="str">
        <f t="shared" ref="P286:Q286" si="282">D286</f>
        <v>CGD SHODA 516</v>
      </c>
      <c r="Q286" s="13" t="str">
        <f t="shared" si="282"/>
        <v>3D2</v>
      </c>
      <c r="R286" s="212" t="s">
        <v>23</v>
      </c>
      <c r="S286" s="213">
        <v>0.97916666666666663</v>
      </c>
      <c r="T286" s="13">
        <v>85</v>
      </c>
      <c r="U286" s="211" t="s">
        <v>83</v>
      </c>
      <c r="V286" s="13">
        <v>1</v>
      </c>
      <c r="W286" s="13" t="s">
        <v>2417</v>
      </c>
      <c r="X286" s="13" t="s">
        <v>1924</v>
      </c>
      <c r="Y286" s="13" t="s">
        <v>2073</v>
      </c>
      <c r="Z286" s="13" t="s">
        <v>2073</v>
      </c>
      <c r="AA286" s="13" t="s">
        <v>2073</v>
      </c>
      <c r="AB286" s="13" t="s">
        <v>1924</v>
      </c>
      <c r="AC286" s="211" t="s">
        <v>2415</v>
      </c>
      <c r="AD286" s="13" t="s">
        <v>2416</v>
      </c>
      <c r="AE286" s="69" t="s">
        <v>1381</v>
      </c>
      <c r="AF286" s="13" t="s">
        <v>2418</v>
      </c>
      <c r="AG286" s="13" t="s">
        <v>2419</v>
      </c>
      <c r="AH286" s="13" t="s">
        <v>2420</v>
      </c>
      <c r="AI286" s="13" t="s">
        <v>2421</v>
      </c>
      <c r="AJ286" s="13" t="s">
        <v>2422</v>
      </c>
      <c r="AK286" s="13" t="s">
        <v>2416</v>
      </c>
      <c r="AL286" s="13" t="s">
        <v>2077</v>
      </c>
      <c r="AM286" s="13" t="s">
        <v>2077</v>
      </c>
      <c r="AN286" s="13" t="s">
        <v>2077</v>
      </c>
      <c r="AO286" s="13" t="s">
        <v>2077</v>
      </c>
      <c r="AP286" s="13" t="s">
        <v>2077</v>
      </c>
      <c r="AQ286" s="13" t="s">
        <v>2077</v>
      </c>
      <c r="AR286" s="13" t="s">
        <v>2418</v>
      </c>
      <c r="AS286" s="13" t="s">
        <v>2419</v>
      </c>
      <c r="AT286" s="13" t="s">
        <v>2420</v>
      </c>
      <c r="AU286" s="13" t="s">
        <v>2421</v>
      </c>
      <c r="AV286" s="13" t="s">
        <v>2422</v>
      </c>
      <c r="AW286" s="13" t="s">
        <v>2416</v>
      </c>
      <c r="AX286" s="13" t="s">
        <v>2073</v>
      </c>
      <c r="AY286" s="13" t="s">
        <v>2073</v>
      </c>
      <c r="AZ286" s="13" t="s">
        <v>2073</v>
      </c>
      <c r="BA286" s="13" t="s">
        <v>2073</v>
      </c>
      <c r="BB286" s="13" t="s">
        <v>2073</v>
      </c>
      <c r="BC286" s="13" t="s">
        <v>2073</v>
      </c>
    </row>
    <row r="287" spans="1:55" ht="15.75" customHeight="1">
      <c r="A287" s="13">
        <v>2000</v>
      </c>
      <c r="B287" s="7" t="s">
        <v>1384</v>
      </c>
      <c r="C287" s="211" t="s">
        <v>2412</v>
      </c>
      <c r="D287" s="13" t="s">
        <v>1383</v>
      </c>
      <c r="E287" s="13" t="s">
        <v>1361</v>
      </c>
      <c r="F287" s="211" t="s">
        <v>2413</v>
      </c>
      <c r="G287" s="13" t="s">
        <v>2414</v>
      </c>
      <c r="H287" s="13" t="s">
        <v>2077</v>
      </c>
      <c r="I287" s="13" t="s">
        <v>2077</v>
      </c>
      <c r="J287" s="13" t="s">
        <v>2077</v>
      </c>
      <c r="K287" s="13" t="s">
        <v>2077</v>
      </c>
      <c r="L287" s="13" t="s">
        <v>2077</v>
      </c>
      <c r="M287" s="13" t="s">
        <v>2077</v>
      </c>
      <c r="N287" s="211" t="s">
        <v>2415</v>
      </c>
      <c r="O287" s="13" t="s">
        <v>2416</v>
      </c>
      <c r="P287" s="69" t="str">
        <f t="shared" ref="P287:Q287" si="283">D287</f>
        <v>CGD HEIAN 431 2</v>
      </c>
      <c r="Q287" s="13" t="str">
        <f t="shared" si="283"/>
        <v>3D2</v>
      </c>
      <c r="R287" s="212" t="s">
        <v>23</v>
      </c>
      <c r="S287" s="213">
        <v>0.97916666666666663</v>
      </c>
      <c r="T287" s="13">
        <v>85</v>
      </c>
      <c r="U287" s="211" t="s">
        <v>83</v>
      </c>
      <c r="V287" s="13">
        <v>1</v>
      </c>
      <c r="W287" s="13" t="s">
        <v>2417</v>
      </c>
      <c r="X287" s="13" t="s">
        <v>1924</v>
      </c>
      <c r="Y287" s="13" t="s">
        <v>2073</v>
      </c>
      <c r="Z287" s="13" t="s">
        <v>2073</v>
      </c>
      <c r="AA287" s="13" t="s">
        <v>2073</v>
      </c>
      <c r="AB287" s="13" t="s">
        <v>1924</v>
      </c>
      <c r="AC287" s="211" t="s">
        <v>2415</v>
      </c>
      <c r="AD287" s="13" t="s">
        <v>2416</v>
      </c>
      <c r="AE287" s="69" t="s">
        <v>1385</v>
      </c>
      <c r="AF287" s="13" t="s">
        <v>2418</v>
      </c>
      <c r="AG287" s="13" t="s">
        <v>2419</v>
      </c>
      <c r="AH287" s="13" t="s">
        <v>2420</v>
      </c>
      <c r="AI287" s="13" t="s">
        <v>2421</v>
      </c>
      <c r="AJ287" s="13" t="s">
        <v>2422</v>
      </c>
      <c r="AK287" s="13" t="s">
        <v>2416</v>
      </c>
      <c r="AL287" s="13" t="s">
        <v>2077</v>
      </c>
      <c r="AM287" s="13" t="s">
        <v>2077</v>
      </c>
      <c r="AN287" s="13" t="s">
        <v>2077</v>
      </c>
      <c r="AO287" s="13" t="s">
        <v>2077</v>
      </c>
      <c r="AP287" s="13" t="s">
        <v>2077</v>
      </c>
      <c r="AQ287" s="13" t="s">
        <v>2077</v>
      </c>
      <c r="AR287" s="13" t="s">
        <v>2418</v>
      </c>
      <c r="AS287" s="13" t="s">
        <v>2419</v>
      </c>
      <c r="AT287" s="13" t="s">
        <v>2420</v>
      </c>
      <c r="AU287" s="13" t="s">
        <v>2421</v>
      </c>
      <c r="AV287" s="13" t="s">
        <v>2422</v>
      </c>
      <c r="AW287" s="13" t="s">
        <v>2416</v>
      </c>
      <c r="AX287" s="13" t="s">
        <v>2073</v>
      </c>
      <c r="AY287" s="13" t="s">
        <v>2073</v>
      </c>
      <c r="AZ287" s="13" t="s">
        <v>2073</v>
      </c>
      <c r="BA287" s="13" t="s">
        <v>2073</v>
      </c>
      <c r="BB287" s="13" t="s">
        <v>2073</v>
      </c>
      <c r="BC287" s="13" t="s">
        <v>2073</v>
      </c>
    </row>
    <row r="288" spans="1:55" ht="15.75" customHeight="1">
      <c r="A288" s="13">
        <v>2000</v>
      </c>
      <c r="B288" s="7" t="s">
        <v>1388</v>
      </c>
      <c r="C288" s="211" t="s">
        <v>2412</v>
      </c>
      <c r="D288" s="13" t="s">
        <v>1387</v>
      </c>
      <c r="E288" s="13" t="s">
        <v>1361</v>
      </c>
      <c r="F288" s="211" t="s">
        <v>2413</v>
      </c>
      <c r="G288" s="13" t="s">
        <v>2414</v>
      </c>
      <c r="H288" s="13" t="s">
        <v>2077</v>
      </c>
      <c r="I288" s="13" t="s">
        <v>2077</v>
      </c>
      <c r="J288" s="13" t="s">
        <v>2077</v>
      </c>
      <c r="K288" s="13" t="s">
        <v>2077</v>
      </c>
      <c r="L288" s="13" t="s">
        <v>2077</v>
      </c>
      <c r="M288" s="13" t="s">
        <v>2077</v>
      </c>
      <c r="N288" s="211" t="s">
        <v>2415</v>
      </c>
      <c r="O288" s="13" t="s">
        <v>2416</v>
      </c>
      <c r="P288" s="69" t="str">
        <f t="shared" ref="P288:Q288" si="284">D288</f>
        <v>CGD HEIAN 442 2</v>
      </c>
      <c r="Q288" s="13" t="str">
        <f t="shared" si="284"/>
        <v>3D2</v>
      </c>
      <c r="R288" s="212" t="s">
        <v>23</v>
      </c>
      <c r="S288" s="212" t="s">
        <v>23</v>
      </c>
      <c r="T288" s="13">
        <v>85</v>
      </c>
      <c r="U288" s="211" t="s">
        <v>134</v>
      </c>
      <c r="V288" s="13">
        <v>1</v>
      </c>
      <c r="W288" s="13" t="s">
        <v>2417</v>
      </c>
      <c r="X288" s="13" t="s">
        <v>1924</v>
      </c>
      <c r="Y288" s="13" t="s">
        <v>2073</v>
      </c>
      <c r="Z288" s="13" t="s">
        <v>2073</v>
      </c>
      <c r="AA288" s="13" t="s">
        <v>2073</v>
      </c>
      <c r="AB288" s="13" t="s">
        <v>1924</v>
      </c>
      <c r="AC288" s="211" t="s">
        <v>2415</v>
      </c>
      <c r="AD288" s="13" t="s">
        <v>2416</v>
      </c>
      <c r="AE288" s="69" t="s">
        <v>1389</v>
      </c>
      <c r="AF288" s="13" t="s">
        <v>2418</v>
      </c>
      <c r="AG288" s="13" t="s">
        <v>2419</v>
      </c>
      <c r="AH288" s="13" t="s">
        <v>2420</v>
      </c>
      <c r="AI288" s="13" t="s">
        <v>2421</v>
      </c>
      <c r="AJ288" s="13" t="s">
        <v>2422</v>
      </c>
      <c r="AK288" s="13" t="s">
        <v>2416</v>
      </c>
      <c r="AL288" s="13" t="s">
        <v>2077</v>
      </c>
      <c r="AM288" s="13" t="s">
        <v>2077</v>
      </c>
      <c r="AN288" s="13" t="s">
        <v>2077</v>
      </c>
      <c r="AO288" s="13" t="s">
        <v>2077</v>
      </c>
      <c r="AP288" s="13" t="s">
        <v>2077</v>
      </c>
      <c r="AQ288" s="13" t="s">
        <v>2077</v>
      </c>
      <c r="AR288" s="13" t="s">
        <v>2418</v>
      </c>
      <c r="AS288" s="13" t="s">
        <v>2419</v>
      </c>
      <c r="AT288" s="13" t="s">
        <v>2420</v>
      </c>
      <c r="AU288" s="13" t="s">
        <v>2421</v>
      </c>
      <c r="AV288" s="13" t="s">
        <v>2422</v>
      </c>
      <c r="AW288" s="13" t="s">
        <v>2416</v>
      </c>
      <c r="AX288" s="13" t="s">
        <v>2073</v>
      </c>
      <c r="AY288" s="13" t="s">
        <v>2073</v>
      </c>
      <c r="AZ288" s="13" t="s">
        <v>2073</v>
      </c>
      <c r="BA288" s="13" t="s">
        <v>2073</v>
      </c>
      <c r="BB288" s="13" t="s">
        <v>2073</v>
      </c>
      <c r="BC288" s="13" t="s">
        <v>2073</v>
      </c>
    </row>
    <row r="289" spans="1:55" ht="15.75" customHeight="1">
      <c r="A289" s="13">
        <v>2000</v>
      </c>
      <c r="B289" s="7" t="s">
        <v>1392</v>
      </c>
      <c r="C289" s="211" t="s">
        <v>2412</v>
      </c>
      <c r="D289" s="13" t="s">
        <v>1391</v>
      </c>
      <c r="E289" s="13" t="s">
        <v>1361</v>
      </c>
      <c r="F289" s="211" t="s">
        <v>2413</v>
      </c>
      <c r="G289" s="13" t="s">
        <v>2414</v>
      </c>
      <c r="H289" s="13" t="s">
        <v>2077</v>
      </c>
      <c r="I289" s="13" t="s">
        <v>2077</v>
      </c>
      <c r="J289" s="13" t="s">
        <v>2077</v>
      </c>
      <c r="K289" s="13" t="s">
        <v>2077</v>
      </c>
      <c r="L289" s="13" t="s">
        <v>2077</v>
      </c>
      <c r="M289" s="13" t="s">
        <v>2077</v>
      </c>
      <c r="N289" s="211" t="s">
        <v>2415</v>
      </c>
      <c r="O289" s="13" t="s">
        <v>2416</v>
      </c>
      <c r="P289" s="69" t="str">
        <f t="shared" ref="P289:Q289" si="285">D289</f>
        <v>CGD HEIAN ZR – 442 P</v>
      </c>
      <c r="Q289" s="13" t="str">
        <f t="shared" si="285"/>
        <v>3D2</v>
      </c>
      <c r="R289" s="212" t="s">
        <v>23</v>
      </c>
      <c r="S289" s="212" t="s">
        <v>23</v>
      </c>
      <c r="T289" s="13">
        <v>85</v>
      </c>
      <c r="U289" s="211" t="s">
        <v>134</v>
      </c>
      <c r="V289" s="13">
        <v>1</v>
      </c>
      <c r="W289" s="13" t="s">
        <v>2417</v>
      </c>
      <c r="X289" s="13" t="s">
        <v>1924</v>
      </c>
      <c r="Y289" s="13" t="s">
        <v>2073</v>
      </c>
      <c r="Z289" s="13" t="s">
        <v>2073</v>
      </c>
      <c r="AA289" s="13" t="s">
        <v>2073</v>
      </c>
      <c r="AB289" s="13" t="s">
        <v>1924</v>
      </c>
      <c r="AC289" s="211" t="s">
        <v>2415</v>
      </c>
      <c r="AD289" s="13" t="s">
        <v>2416</v>
      </c>
      <c r="AE289" s="69" t="s">
        <v>1393</v>
      </c>
      <c r="AF289" s="13" t="s">
        <v>2418</v>
      </c>
      <c r="AG289" s="13" t="s">
        <v>2419</v>
      </c>
      <c r="AH289" s="13" t="s">
        <v>2420</v>
      </c>
      <c r="AI289" s="13" t="s">
        <v>2421</v>
      </c>
      <c r="AJ289" s="13" t="s">
        <v>2422</v>
      </c>
      <c r="AK289" s="13" t="s">
        <v>2416</v>
      </c>
      <c r="AL289" s="13" t="s">
        <v>2077</v>
      </c>
      <c r="AM289" s="13" t="s">
        <v>2077</v>
      </c>
      <c r="AN289" s="13" t="s">
        <v>2077</v>
      </c>
      <c r="AO289" s="13" t="s">
        <v>2077</v>
      </c>
      <c r="AP289" s="13" t="s">
        <v>2077</v>
      </c>
      <c r="AQ289" s="13" t="s">
        <v>2077</v>
      </c>
      <c r="AR289" s="13" t="s">
        <v>2418</v>
      </c>
      <c r="AS289" s="13" t="s">
        <v>2419</v>
      </c>
      <c r="AT289" s="13" t="s">
        <v>2420</v>
      </c>
      <c r="AU289" s="13" t="s">
        <v>2421</v>
      </c>
      <c r="AV289" s="13" t="s">
        <v>2422</v>
      </c>
      <c r="AW289" s="13" t="s">
        <v>2416</v>
      </c>
      <c r="AX289" s="13" t="s">
        <v>2073</v>
      </c>
      <c r="AY289" s="13" t="s">
        <v>2073</v>
      </c>
      <c r="AZ289" s="13" t="s">
        <v>2073</v>
      </c>
      <c r="BA289" s="13" t="s">
        <v>2073</v>
      </c>
      <c r="BB289" s="13" t="s">
        <v>2073</v>
      </c>
      <c r="BC289" s="13" t="s">
        <v>2073</v>
      </c>
    </row>
    <row r="290" spans="1:55" ht="15.75" customHeight="1">
      <c r="A290" s="13">
        <v>2000</v>
      </c>
      <c r="B290" s="7" t="s">
        <v>1396</v>
      </c>
      <c r="C290" s="211" t="s">
        <v>2412</v>
      </c>
      <c r="D290" s="13" t="s">
        <v>1395</v>
      </c>
      <c r="E290" s="13" t="s">
        <v>1361</v>
      </c>
      <c r="F290" s="211" t="s">
        <v>2413</v>
      </c>
      <c r="G290" s="13" t="s">
        <v>2414</v>
      </c>
      <c r="H290" s="13" t="s">
        <v>2077</v>
      </c>
      <c r="I290" s="13" t="s">
        <v>2077</v>
      </c>
      <c r="J290" s="13" t="s">
        <v>2077</v>
      </c>
      <c r="K290" s="13" t="s">
        <v>2077</v>
      </c>
      <c r="L290" s="13" t="s">
        <v>2077</v>
      </c>
      <c r="M290" s="13" t="s">
        <v>2077</v>
      </c>
      <c r="N290" s="211" t="s">
        <v>2415</v>
      </c>
      <c r="O290" s="13" t="s">
        <v>2416</v>
      </c>
      <c r="P290" s="69" t="str">
        <f t="shared" ref="P290:Q290" si="286">D290</f>
        <v>CGD CNC ARES B675</v>
      </c>
      <c r="Q290" s="13" t="str">
        <f t="shared" si="286"/>
        <v>3D2</v>
      </c>
      <c r="R290" s="212" t="s">
        <v>23</v>
      </c>
      <c r="S290" s="213">
        <v>0.97916666666666663</v>
      </c>
      <c r="T290" s="13">
        <v>85</v>
      </c>
      <c r="U290" s="211" t="s">
        <v>83</v>
      </c>
      <c r="V290" s="13">
        <v>1</v>
      </c>
      <c r="W290" s="13" t="s">
        <v>2417</v>
      </c>
      <c r="X290" s="13" t="s">
        <v>1924</v>
      </c>
      <c r="Y290" s="13" t="s">
        <v>2073</v>
      </c>
      <c r="Z290" s="13" t="s">
        <v>2073</v>
      </c>
      <c r="AA290" s="13" t="s">
        <v>2073</v>
      </c>
      <c r="AB290" s="13" t="s">
        <v>1924</v>
      </c>
      <c r="AC290" s="211" t="s">
        <v>2415</v>
      </c>
      <c r="AD290" s="13" t="s">
        <v>2416</v>
      </c>
      <c r="AE290" s="69" t="s">
        <v>1397</v>
      </c>
      <c r="AF290" s="13" t="s">
        <v>2418</v>
      </c>
      <c r="AG290" s="13" t="s">
        <v>2419</v>
      </c>
      <c r="AH290" s="13" t="s">
        <v>2420</v>
      </c>
      <c r="AI290" s="13" t="s">
        <v>2421</v>
      </c>
      <c r="AJ290" s="13" t="s">
        <v>2422</v>
      </c>
      <c r="AK290" s="13" t="s">
        <v>2416</v>
      </c>
      <c r="AL290" s="13" t="s">
        <v>2077</v>
      </c>
      <c r="AM290" s="13" t="s">
        <v>2077</v>
      </c>
      <c r="AN290" s="13" t="s">
        <v>2077</v>
      </c>
      <c r="AO290" s="13" t="s">
        <v>2077</v>
      </c>
      <c r="AP290" s="13" t="s">
        <v>2077</v>
      </c>
      <c r="AQ290" s="13" t="s">
        <v>2077</v>
      </c>
      <c r="AR290" s="13" t="s">
        <v>2418</v>
      </c>
      <c r="AS290" s="13" t="s">
        <v>2419</v>
      </c>
      <c r="AT290" s="13" t="s">
        <v>2420</v>
      </c>
      <c r="AU290" s="13" t="s">
        <v>2421</v>
      </c>
      <c r="AV290" s="13" t="s">
        <v>2422</v>
      </c>
      <c r="AW290" s="13" t="s">
        <v>2416</v>
      </c>
      <c r="AX290" s="13" t="s">
        <v>2073</v>
      </c>
      <c r="AY290" s="13" t="s">
        <v>2073</v>
      </c>
      <c r="AZ290" s="13" t="s">
        <v>2073</v>
      </c>
      <c r="BA290" s="13" t="s">
        <v>2073</v>
      </c>
      <c r="BB290" s="13" t="s">
        <v>2073</v>
      </c>
      <c r="BC290" s="13" t="s">
        <v>2073</v>
      </c>
    </row>
    <row r="291" spans="1:55" ht="15.75" customHeight="1">
      <c r="A291" s="13">
        <v>2000</v>
      </c>
      <c r="B291" s="7" t="s">
        <v>1400</v>
      </c>
      <c r="C291" s="211" t="s">
        <v>2412</v>
      </c>
      <c r="D291" s="13" t="s">
        <v>1399</v>
      </c>
      <c r="E291" s="13" t="s">
        <v>1361</v>
      </c>
      <c r="F291" s="211" t="s">
        <v>2413</v>
      </c>
      <c r="G291" s="13" t="s">
        <v>2414</v>
      </c>
      <c r="H291" s="13" t="s">
        <v>2077</v>
      </c>
      <c r="I291" s="13" t="s">
        <v>2077</v>
      </c>
      <c r="J291" s="13" t="s">
        <v>2077</v>
      </c>
      <c r="K291" s="13" t="s">
        <v>2077</v>
      </c>
      <c r="L291" s="13" t="s">
        <v>2077</v>
      </c>
      <c r="M291" s="13" t="s">
        <v>2077</v>
      </c>
      <c r="N291" s="211" t="s">
        <v>2415</v>
      </c>
      <c r="O291" s="13" t="s">
        <v>2416</v>
      </c>
      <c r="P291" s="69" t="str">
        <f t="shared" ref="P291:Q291" si="287">D291</f>
        <v>CGD CNC ARES B676</v>
      </c>
      <c r="Q291" s="13" t="str">
        <f t="shared" si="287"/>
        <v>3D2</v>
      </c>
      <c r="R291" s="212" t="s">
        <v>23</v>
      </c>
      <c r="S291" s="213">
        <v>0.97916666666666663</v>
      </c>
      <c r="T291" s="13">
        <v>85</v>
      </c>
      <c r="U291" s="211" t="s">
        <v>83</v>
      </c>
      <c r="V291" s="13">
        <v>1</v>
      </c>
      <c r="W291" s="13" t="s">
        <v>2417</v>
      </c>
      <c r="X291" s="13" t="s">
        <v>1924</v>
      </c>
      <c r="Y291" s="13" t="s">
        <v>2073</v>
      </c>
      <c r="Z291" s="13" t="s">
        <v>2073</v>
      </c>
      <c r="AA291" s="13" t="s">
        <v>2073</v>
      </c>
      <c r="AB291" s="13" t="s">
        <v>1924</v>
      </c>
      <c r="AC291" s="211" t="s">
        <v>2415</v>
      </c>
      <c r="AD291" s="13" t="s">
        <v>2416</v>
      </c>
      <c r="AE291" s="69" t="s">
        <v>1401</v>
      </c>
      <c r="AF291" s="13" t="s">
        <v>2418</v>
      </c>
      <c r="AG291" s="13" t="s">
        <v>2419</v>
      </c>
      <c r="AH291" s="13" t="s">
        <v>2420</v>
      </c>
      <c r="AI291" s="13" t="s">
        <v>2421</v>
      </c>
      <c r="AJ291" s="13" t="s">
        <v>2422</v>
      </c>
      <c r="AK291" s="13" t="s">
        <v>2416</v>
      </c>
      <c r="AL291" s="13" t="s">
        <v>2077</v>
      </c>
      <c r="AM291" s="13" t="s">
        <v>2077</v>
      </c>
      <c r="AN291" s="13" t="s">
        <v>2077</v>
      </c>
      <c r="AO291" s="13" t="s">
        <v>2077</v>
      </c>
      <c r="AP291" s="13" t="s">
        <v>2077</v>
      </c>
      <c r="AQ291" s="13" t="s">
        <v>2077</v>
      </c>
      <c r="AR291" s="13" t="s">
        <v>2418</v>
      </c>
      <c r="AS291" s="13" t="s">
        <v>2419</v>
      </c>
      <c r="AT291" s="13" t="s">
        <v>2420</v>
      </c>
      <c r="AU291" s="13" t="s">
        <v>2421</v>
      </c>
      <c r="AV291" s="13" t="s">
        <v>2422</v>
      </c>
      <c r="AW291" s="13" t="s">
        <v>2416</v>
      </c>
      <c r="AX291" s="13" t="s">
        <v>2073</v>
      </c>
      <c r="AY291" s="13" t="s">
        <v>2073</v>
      </c>
      <c r="AZ291" s="13" t="s">
        <v>2073</v>
      </c>
      <c r="BA291" s="13" t="s">
        <v>2073</v>
      </c>
      <c r="BB291" s="13" t="s">
        <v>2073</v>
      </c>
      <c r="BC291" s="13" t="s">
        <v>2073</v>
      </c>
    </row>
    <row r="292" spans="1:55" ht="15.75" customHeight="1">
      <c r="A292" s="13">
        <v>2000</v>
      </c>
      <c r="B292" s="7" t="s">
        <v>1404</v>
      </c>
      <c r="C292" s="211" t="s">
        <v>2412</v>
      </c>
      <c r="D292" s="13" t="s">
        <v>1403</v>
      </c>
      <c r="E292" s="13" t="s">
        <v>1361</v>
      </c>
      <c r="F292" s="211" t="s">
        <v>2413</v>
      </c>
      <c r="G292" s="13" t="s">
        <v>2414</v>
      </c>
      <c r="H292" s="13" t="s">
        <v>2077</v>
      </c>
      <c r="I292" s="13" t="s">
        <v>2077</v>
      </c>
      <c r="J292" s="13" t="s">
        <v>2077</v>
      </c>
      <c r="K292" s="13" t="s">
        <v>2077</v>
      </c>
      <c r="L292" s="13" t="s">
        <v>2077</v>
      </c>
      <c r="M292" s="13" t="s">
        <v>2077</v>
      </c>
      <c r="N292" s="211" t="s">
        <v>2415</v>
      </c>
      <c r="O292" s="13" t="s">
        <v>2416</v>
      </c>
      <c r="P292" s="69" t="str">
        <f t="shared" ref="P292:Q292" si="288">D292</f>
        <v>CGD HYPSOS B825 </v>
      </c>
      <c r="Q292" s="13" t="str">
        <f t="shared" si="288"/>
        <v>3D2</v>
      </c>
      <c r="R292" s="212" t="s">
        <v>23</v>
      </c>
      <c r="S292" s="213">
        <v>0.97916666666666663</v>
      </c>
      <c r="T292" s="13">
        <v>85</v>
      </c>
      <c r="U292" s="211" t="s">
        <v>83</v>
      </c>
      <c r="V292" s="13">
        <v>1</v>
      </c>
      <c r="W292" s="13" t="s">
        <v>2417</v>
      </c>
      <c r="X292" s="13" t="s">
        <v>1924</v>
      </c>
      <c r="Y292" s="13" t="s">
        <v>2073</v>
      </c>
      <c r="Z292" s="13" t="s">
        <v>2073</v>
      </c>
      <c r="AA292" s="13" t="s">
        <v>2073</v>
      </c>
      <c r="AB292" s="13" t="s">
        <v>1924</v>
      </c>
      <c r="AC292" s="211" t="s">
        <v>2415</v>
      </c>
      <c r="AD292" s="13" t="s">
        <v>2416</v>
      </c>
      <c r="AE292" s="69" t="s">
        <v>1405</v>
      </c>
      <c r="AF292" s="13" t="s">
        <v>2418</v>
      </c>
      <c r="AG292" s="13" t="s">
        <v>2419</v>
      </c>
      <c r="AH292" s="13" t="s">
        <v>2420</v>
      </c>
      <c r="AI292" s="13" t="s">
        <v>2421</v>
      </c>
      <c r="AJ292" s="13" t="s">
        <v>2422</v>
      </c>
      <c r="AK292" s="13" t="s">
        <v>2416</v>
      </c>
      <c r="AL292" s="13" t="s">
        <v>2077</v>
      </c>
      <c r="AM292" s="13" t="s">
        <v>2077</v>
      </c>
      <c r="AN292" s="13" t="s">
        <v>2077</v>
      </c>
      <c r="AO292" s="13" t="s">
        <v>2077</v>
      </c>
      <c r="AP292" s="13" t="s">
        <v>2077</v>
      </c>
      <c r="AQ292" s="13" t="s">
        <v>2077</v>
      </c>
      <c r="AR292" s="13" t="s">
        <v>2418</v>
      </c>
      <c r="AS292" s="13" t="s">
        <v>2419</v>
      </c>
      <c r="AT292" s="13" t="s">
        <v>2420</v>
      </c>
      <c r="AU292" s="13" t="s">
        <v>2421</v>
      </c>
      <c r="AV292" s="13" t="s">
        <v>2422</v>
      </c>
      <c r="AW292" s="13" t="s">
        <v>2416</v>
      </c>
      <c r="AX292" s="13" t="s">
        <v>2073</v>
      </c>
      <c r="AY292" s="13" t="s">
        <v>2073</v>
      </c>
      <c r="AZ292" s="13" t="s">
        <v>2073</v>
      </c>
      <c r="BA292" s="13" t="s">
        <v>2073</v>
      </c>
      <c r="BB292" s="13" t="s">
        <v>2073</v>
      </c>
      <c r="BC292" s="13" t="s">
        <v>2073</v>
      </c>
    </row>
    <row r="293" spans="1:55" ht="15.75" customHeight="1">
      <c r="A293" s="13">
        <v>2000</v>
      </c>
      <c r="B293" s="7" t="s">
        <v>1408</v>
      </c>
      <c r="C293" s="211" t="s">
        <v>2412</v>
      </c>
      <c r="D293" s="13" t="s">
        <v>1407</v>
      </c>
      <c r="E293" s="13" t="s">
        <v>1361</v>
      </c>
      <c r="F293" s="211" t="s">
        <v>2413</v>
      </c>
      <c r="G293" s="13" t="s">
        <v>2414</v>
      </c>
      <c r="H293" s="13" t="s">
        <v>2077</v>
      </c>
      <c r="I293" s="13" t="s">
        <v>2077</v>
      </c>
      <c r="J293" s="13" t="s">
        <v>2077</v>
      </c>
      <c r="K293" s="13" t="s">
        <v>2077</v>
      </c>
      <c r="L293" s="13" t="s">
        <v>2077</v>
      </c>
      <c r="M293" s="13" t="s">
        <v>2077</v>
      </c>
      <c r="N293" s="211" t="s">
        <v>2415</v>
      </c>
      <c r="O293" s="13" t="s">
        <v>2416</v>
      </c>
      <c r="P293" s="69" t="str">
        <f t="shared" ref="P293:Q293" si="289">D293</f>
        <v>CGD HEIAN 431 1</v>
      </c>
      <c r="Q293" s="13" t="str">
        <f t="shared" si="289"/>
        <v>3D2</v>
      </c>
      <c r="R293" s="212" t="s">
        <v>23</v>
      </c>
      <c r="S293" s="213">
        <v>0.97916666666666663</v>
      </c>
      <c r="T293" s="13">
        <v>85</v>
      </c>
      <c r="U293" s="211" t="s">
        <v>83</v>
      </c>
      <c r="V293" s="13">
        <v>1</v>
      </c>
      <c r="W293" s="13" t="s">
        <v>2417</v>
      </c>
      <c r="X293" s="13" t="s">
        <v>1924</v>
      </c>
      <c r="Y293" s="13" t="s">
        <v>2073</v>
      </c>
      <c r="Z293" s="13" t="s">
        <v>2073</v>
      </c>
      <c r="AA293" s="13" t="s">
        <v>2073</v>
      </c>
      <c r="AB293" s="13" t="s">
        <v>1924</v>
      </c>
      <c r="AC293" s="211" t="s">
        <v>2415</v>
      </c>
      <c r="AD293" s="13" t="s">
        <v>2416</v>
      </c>
      <c r="AE293" s="69" t="s">
        <v>1409</v>
      </c>
      <c r="AF293" s="13" t="s">
        <v>2418</v>
      </c>
      <c r="AG293" s="13" t="s">
        <v>2419</v>
      </c>
      <c r="AH293" s="13" t="s">
        <v>2420</v>
      </c>
      <c r="AI293" s="13" t="s">
        <v>2421</v>
      </c>
      <c r="AJ293" s="13" t="s">
        <v>2422</v>
      </c>
      <c r="AK293" s="13" t="s">
        <v>2416</v>
      </c>
      <c r="AL293" s="13" t="s">
        <v>2077</v>
      </c>
      <c r="AM293" s="13" t="s">
        <v>2077</v>
      </c>
      <c r="AN293" s="13" t="s">
        <v>2077</v>
      </c>
      <c r="AO293" s="13" t="s">
        <v>2077</v>
      </c>
      <c r="AP293" s="13" t="s">
        <v>2077</v>
      </c>
      <c r="AQ293" s="13" t="s">
        <v>2077</v>
      </c>
      <c r="AR293" s="13" t="s">
        <v>2418</v>
      </c>
      <c r="AS293" s="13" t="s">
        <v>2419</v>
      </c>
      <c r="AT293" s="13" t="s">
        <v>2420</v>
      </c>
      <c r="AU293" s="13" t="s">
        <v>2421</v>
      </c>
      <c r="AV293" s="13" t="s">
        <v>2422</v>
      </c>
      <c r="AW293" s="13" t="s">
        <v>2416</v>
      </c>
      <c r="AX293" s="13" t="s">
        <v>2073</v>
      </c>
      <c r="AY293" s="13" t="s">
        <v>2073</v>
      </c>
      <c r="AZ293" s="13" t="s">
        <v>2073</v>
      </c>
      <c r="BA293" s="13" t="s">
        <v>2073</v>
      </c>
      <c r="BB293" s="13" t="s">
        <v>2073</v>
      </c>
      <c r="BC293" s="13" t="s">
        <v>2073</v>
      </c>
    </row>
    <row r="294" spans="1:55" ht="15.75" customHeight="1">
      <c r="A294" s="13">
        <v>2000</v>
      </c>
      <c r="B294" s="7" t="s">
        <v>1412</v>
      </c>
      <c r="C294" s="211" t="s">
        <v>2412</v>
      </c>
      <c r="D294" s="13" t="s">
        <v>1411</v>
      </c>
      <c r="E294" s="13" t="s">
        <v>1361</v>
      </c>
      <c r="F294" s="211" t="s">
        <v>2413</v>
      </c>
      <c r="G294" s="13" t="s">
        <v>2414</v>
      </c>
      <c r="H294" s="13" t="s">
        <v>2077</v>
      </c>
      <c r="I294" s="13" t="s">
        <v>2077</v>
      </c>
      <c r="J294" s="13" t="s">
        <v>2077</v>
      </c>
      <c r="K294" s="13" t="s">
        <v>2077</v>
      </c>
      <c r="L294" s="13" t="s">
        <v>2077</v>
      </c>
      <c r="M294" s="13" t="s">
        <v>2077</v>
      </c>
      <c r="N294" s="211" t="s">
        <v>2415</v>
      </c>
      <c r="O294" s="13" t="s">
        <v>2416</v>
      </c>
      <c r="P294" s="69" t="str">
        <f t="shared" ref="P294:Q294" si="290">D294</f>
        <v>CGD INTOREX</v>
      </c>
      <c r="Q294" s="13" t="str">
        <f t="shared" si="290"/>
        <v>3D2</v>
      </c>
      <c r="R294" s="212" t="s">
        <v>23</v>
      </c>
      <c r="S294" s="212" t="s">
        <v>23</v>
      </c>
      <c r="T294" s="13">
        <v>85</v>
      </c>
      <c r="U294" s="211" t="s">
        <v>134</v>
      </c>
      <c r="V294" s="13">
        <v>1</v>
      </c>
      <c r="W294" s="13" t="s">
        <v>2417</v>
      </c>
      <c r="X294" s="13" t="s">
        <v>1924</v>
      </c>
      <c r="Y294" s="13" t="s">
        <v>2073</v>
      </c>
      <c r="Z294" s="13" t="s">
        <v>2073</v>
      </c>
      <c r="AA294" s="13" t="s">
        <v>2073</v>
      </c>
      <c r="AB294" s="13" t="s">
        <v>1924</v>
      </c>
      <c r="AC294" s="211" t="s">
        <v>2415</v>
      </c>
      <c r="AD294" s="13" t="s">
        <v>2416</v>
      </c>
      <c r="AE294" s="69" t="s">
        <v>1413</v>
      </c>
      <c r="AF294" s="13" t="s">
        <v>2418</v>
      </c>
      <c r="AG294" s="13" t="s">
        <v>2419</v>
      </c>
      <c r="AH294" s="13" t="s">
        <v>2420</v>
      </c>
      <c r="AI294" s="13" t="s">
        <v>2421</v>
      </c>
      <c r="AJ294" s="13" t="s">
        <v>2422</v>
      </c>
      <c r="AK294" s="13" t="s">
        <v>2416</v>
      </c>
      <c r="AL294" s="13" t="s">
        <v>2077</v>
      </c>
      <c r="AM294" s="13" t="s">
        <v>2077</v>
      </c>
      <c r="AN294" s="13" t="s">
        <v>2077</v>
      </c>
      <c r="AO294" s="13" t="s">
        <v>2077</v>
      </c>
      <c r="AP294" s="13" t="s">
        <v>2077</v>
      </c>
      <c r="AQ294" s="13" t="s">
        <v>2077</v>
      </c>
      <c r="AR294" s="13" t="s">
        <v>2418</v>
      </c>
      <c r="AS294" s="13" t="s">
        <v>2419</v>
      </c>
      <c r="AT294" s="13" t="s">
        <v>2420</v>
      </c>
      <c r="AU294" s="13" t="s">
        <v>2421</v>
      </c>
      <c r="AV294" s="13" t="s">
        <v>2422</v>
      </c>
      <c r="AW294" s="13" t="s">
        <v>2416</v>
      </c>
      <c r="AX294" s="13" t="s">
        <v>2073</v>
      </c>
      <c r="AY294" s="13" t="s">
        <v>2073</v>
      </c>
      <c r="AZ294" s="13" t="s">
        <v>2073</v>
      </c>
      <c r="BA294" s="13" t="s">
        <v>2073</v>
      </c>
      <c r="BB294" s="13" t="s">
        <v>2073</v>
      </c>
      <c r="BC294" s="13" t="s">
        <v>2073</v>
      </c>
    </row>
    <row r="295" spans="1:55" ht="15.75" customHeight="1">
      <c r="A295" s="13">
        <v>2000</v>
      </c>
      <c r="B295" s="7" t="s">
        <v>1416</v>
      </c>
      <c r="C295" s="211" t="s">
        <v>2412</v>
      </c>
      <c r="D295" s="13" t="s">
        <v>1415</v>
      </c>
      <c r="E295" s="13" t="s">
        <v>1361</v>
      </c>
      <c r="F295" s="211" t="s">
        <v>2413</v>
      </c>
      <c r="G295" s="13" t="s">
        <v>2414</v>
      </c>
      <c r="H295" s="13" t="s">
        <v>2077</v>
      </c>
      <c r="I295" s="13" t="s">
        <v>2077</v>
      </c>
      <c r="J295" s="13" t="s">
        <v>2077</v>
      </c>
      <c r="K295" s="13" t="s">
        <v>2077</v>
      </c>
      <c r="L295" s="13" t="s">
        <v>2077</v>
      </c>
      <c r="M295" s="13" t="s">
        <v>2077</v>
      </c>
      <c r="N295" s="211" t="s">
        <v>2415</v>
      </c>
      <c r="O295" s="13" t="s">
        <v>2416</v>
      </c>
      <c r="P295" s="69" t="str">
        <f t="shared" ref="P295:Q295" si="291">D295</f>
        <v>CGD HEIAN SR – 431 P</v>
      </c>
      <c r="Q295" s="13" t="str">
        <f t="shared" si="291"/>
        <v>3D2</v>
      </c>
      <c r="R295" s="212" t="s">
        <v>23</v>
      </c>
      <c r="S295" s="213">
        <v>0.97916666666666663</v>
      </c>
      <c r="T295" s="13">
        <v>85</v>
      </c>
      <c r="U295" s="211" t="s">
        <v>83</v>
      </c>
      <c r="V295" s="13">
        <v>1</v>
      </c>
      <c r="W295" s="13" t="s">
        <v>2417</v>
      </c>
      <c r="X295" s="13" t="s">
        <v>1924</v>
      </c>
      <c r="Y295" s="13" t="s">
        <v>2073</v>
      </c>
      <c r="Z295" s="13" t="s">
        <v>2073</v>
      </c>
      <c r="AA295" s="13" t="s">
        <v>2073</v>
      </c>
      <c r="AB295" s="13" t="s">
        <v>1924</v>
      </c>
      <c r="AC295" s="211" t="s">
        <v>2415</v>
      </c>
      <c r="AD295" s="13" t="s">
        <v>2416</v>
      </c>
      <c r="AE295" s="69" t="s">
        <v>1417</v>
      </c>
      <c r="AF295" s="13" t="s">
        <v>2418</v>
      </c>
      <c r="AG295" s="13" t="s">
        <v>2419</v>
      </c>
      <c r="AH295" s="13" t="s">
        <v>2420</v>
      </c>
      <c r="AI295" s="13" t="s">
        <v>2421</v>
      </c>
      <c r="AJ295" s="13" t="s">
        <v>2422</v>
      </c>
      <c r="AK295" s="13" t="s">
        <v>2416</v>
      </c>
      <c r="AL295" s="13" t="s">
        <v>2077</v>
      </c>
      <c r="AM295" s="13" t="s">
        <v>2077</v>
      </c>
      <c r="AN295" s="13" t="s">
        <v>2077</v>
      </c>
      <c r="AO295" s="13" t="s">
        <v>2077</v>
      </c>
      <c r="AP295" s="13" t="s">
        <v>2077</v>
      </c>
      <c r="AQ295" s="13" t="s">
        <v>2077</v>
      </c>
      <c r="AR295" s="13" t="s">
        <v>2418</v>
      </c>
      <c r="AS295" s="13" t="s">
        <v>2419</v>
      </c>
      <c r="AT295" s="13" t="s">
        <v>2420</v>
      </c>
      <c r="AU295" s="13" t="s">
        <v>2421</v>
      </c>
      <c r="AV295" s="13" t="s">
        <v>2422</v>
      </c>
      <c r="AW295" s="13" t="s">
        <v>2416</v>
      </c>
      <c r="AX295" s="13" t="s">
        <v>2073</v>
      </c>
      <c r="AY295" s="13" t="s">
        <v>2073</v>
      </c>
      <c r="AZ295" s="13" t="s">
        <v>2073</v>
      </c>
      <c r="BA295" s="13" t="s">
        <v>2073</v>
      </c>
      <c r="BB295" s="13" t="s">
        <v>2073</v>
      </c>
      <c r="BC295" s="13" t="s">
        <v>2073</v>
      </c>
    </row>
    <row r="296" spans="1:55" ht="15.75" customHeight="1">
      <c r="A296" s="13">
        <v>2000</v>
      </c>
      <c r="B296" s="7" t="s">
        <v>1420</v>
      </c>
      <c r="C296" s="211" t="s">
        <v>2412</v>
      </c>
      <c r="D296" s="13" t="s">
        <v>1419</v>
      </c>
      <c r="E296" s="13" t="s">
        <v>1361</v>
      </c>
      <c r="F296" s="211" t="s">
        <v>2413</v>
      </c>
      <c r="G296" s="13" t="s">
        <v>2414</v>
      </c>
      <c r="H296" s="13" t="s">
        <v>2077</v>
      </c>
      <c r="I296" s="13" t="s">
        <v>2077</v>
      </c>
      <c r="J296" s="13" t="s">
        <v>2077</v>
      </c>
      <c r="K296" s="13" t="s">
        <v>2077</v>
      </c>
      <c r="L296" s="13" t="s">
        <v>2077</v>
      </c>
      <c r="M296" s="13" t="s">
        <v>2077</v>
      </c>
      <c r="N296" s="211" t="s">
        <v>2415</v>
      </c>
      <c r="O296" s="13" t="s">
        <v>2416</v>
      </c>
      <c r="P296" s="69" t="str">
        <f t="shared" ref="P296:Q296" si="292">D296</f>
        <v>CGD CMS BALLESTRINI</v>
      </c>
      <c r="Q296" s="13" t="str">
        <f t="shared" si="292"/>
        <v>3D2</v>
      </c>
      <c r="R296" s="212" t="s">
        <v>23</v>
      </c>
      <c r="S296" s="212" t="s">
        <v>23</v>
      </c>
      <c r="T296" s="13">
        <v>85</v>
      </c>
      <c r="U296" s="211" t="s">
        <v>134</v>
      </c>
      <c r="V296" s="13">
        <v>1</v>
      </c>
      <c r="W296" s="13" t="s">
        <v>2417</v>
      </c>
      <c r="X296" s="13" t="s">
        <v>1924</v>
      </c>
      <c r="Y296" s="13" t="s">
        <v>2073</v>
      </c>
      <c r="Z296" s="13" t="s">
        <v>2073</v>
      </c>
      <c r="AA296" s="13" t="s">
        <v>2073</v>
      </c>
      <c r="AB296" s="13" t="s">
        <v>1924</v>
      </c>
      <c r="AC296" s="211" t="s">
        <v>2415</v>
      </c>
      <c r="AD296" s="13" t="s">
        <v>2416</v>
      </c>
      <c r="AE296" s="69" t="s">
        <v>1421</v>
      </c>
      <c r="AF296" s="13" t="s">
        <v>2418</v>
      </c>
      <c r="AG296" s="13" t="s">
        <v>2419</v>
      </c>
      <c r="AH296" s="13" t="s">
        <v>2420</v>
      </c>
      <c r="AI296" s="13" t="s">
        <v>2421</v>
      </c>
      <c r="AJ296" s="13" t="s">
        <v>2422</v>
      </c>
      <c r="AK296" s="13" t="s">
        <v>2416</v>
      </c>
      <c r="AL296" s="13" t="s">
        <v>2077</v>
      </c>
      <c r="AM296" s="13" t="s">
        <v>2077</v>
      </c>
      <c r="AN296" s="13" t="s">
        <v>2077</v>
      </c>
      <c r="AO296" s="13" t="s">
        <v>2077</v>
      </c>
      <c r="AP296" s="13" t="s">
        <v>2077</v>
      </c>
      <c r="AQ296" s="13" t="s">
        <v>2077</v>
      </c>
      <c r="AR296" s="13" t="s">
        <v>2418</v>
      </c>
      <c r="AS296" s="13" t="s">
        <v>2419</v>
      </c>
      <c r="AT296" s="13" t="s">
        <v>2420</v>
      </c>
      <c r="AU296" s="13" t="s">
        <v>2421</v>
      </c>
      <c r="AV296" s="13" t="s">
        <v>2422</v>
      </c>
      <c r="AW296" s="13" t="s">
        <v>2416</v>
      </c>
      <c r="AX296" s="13" t="s">
        <v>2073</v>
      </c>
      <c r="AY296" s="13" t="s">
        <v>2073</v>
      </c>
      <c r="AZ296" s="13" t="s">
        <v>2073</v>
      </c>
      <c r="BA296" s="13" t="s">
        <v>2073</v>
      </c>
      <c r="BB296" s="13" t="s">
        <v>2073</v>
      </c>
      <c r="BC296" s="13" t="s">
        <v>2073</v>
      </c>
    </row>
    <row r="297" spans="1:55" ht="15.75" customHeight="1">
      <c r="A297" s="13">
        <v>2000</v>
      </c>
      <c r="B297" s="7" t="s">
        <v>1424</v>
      </c>
      <c r="C297" s="211" t="s">
        <v>2412</v>
      </c>
      <c r="D297" s="13" t="s">
        <v>1423</v>
      </c>
      <c r="E297" s="13" t="s">
        <v>1361</v>
      </c>
      <c r="F297" s="211" t="s">
        <v>2413</v>
      </c>
      <c r="G297" s="13" t="s">
        <v>2414</v>
      </c>
      <c r="H297" s="13" t="s">
        <v>2077</v>
      </c>
      <c r="I297" s="13" t="s">
        <v>2077</v>
      </c>
      <c r="J297" s="13" t="s">
        <v>2077</v>
      </c>
      <c r="K297" s="13" t="s">
        <v>2077</v>
      </c>
      <c r="L297" s="13" t="s">
        <v>2077</v>
      </c>
      <c r="M297" s="13" t="s">
        <v>2077</v>
      </c>
      <c r="N297" s="211" t="s">
        <v>2415</v>
      </c>
      <c r="O297" s="13" t="s">
        <v>2416</v>
      </c>
      <c r="P297" s="69" t="str">
        <f t="shared" ref="P297:Q297" si="293">D297</f>
        <v>CGD HEIAN ER-331P</v>
      </c>
      <c r="Q297" s="13" t="str">
        <f t="shared" si="293"/>
        <v>3D2</v>
      </c>
      <c r="R297" s="212" t="s">
        <v>23</v>
      </c>
      <c r="S297" s="213">
        <v>0.97916666666666663</v>
      </c>
      <c r="T297" s="13">
        <v>85</v>
      </c>
      <c r="U297" s="211" t="s">
        <v>83</v>
      </c>
      <c r="V297" s="13">
        <v>1</v>
      </c>
      <c r="W297" s="13" t="s">
        <v>2417</v>
      </c>
      <c r="X297" s="13" t="s">
        <v>1924</v>
      </c>
      <c r="Y297" s="13" t="s">
        <v>2073</v>
      </c>
      <c r="Z297" s="13" t="s">
        <v>2073</v>
      </c>
      <c r="AA297" s="13" t="s">
        <v>2073</v>
      </c>
      <c r="AB297" s="13" t="s">
        <v>1924</v>
      </c>
      <c r="AC297" s="211" t="s">
        <v>2415</v>
      </c>
      <c r="AD297" s="13" t="s">
        <v>2416</v>
      </c>
      <c r="AE297" s="69" t="s">
        <v>1425</v>
      </c>
      <c r="AF297" s="13" t="s">
        <v>2418</v>
      </c>
      <c r="AG297" s="13" t="s">
        <v>2419</v>
      </c>
      <c r="AH297" s="13" t="s">
        <v>2420</v>
      </c>
      <c r="AI297" s="13" t="s">
        <v>2421</v>
      </c>
      <c r="AJ297" s="13" t="s">
        <v>2422</v>
      </c>
      <c r="AK297" s="13" t="s">
        <v>2416</v>
      </c>
      <c r="AL297" s="13" t="s">
        <v>2077</v>
      </c>
      <c r="AM297" s="13" t="s">
        <v>2077</v>
      </c>
      <c r="AN297" s="13" t="s">
        <v>2077</v>
      </c>
      <c r="AO297" s="13" t="s">
        <v>2077</v>
      </c>
      <c r="AP297" s="13" t="s">
        <v>2077</v>
      </c>
      <c r="AQ297" s="13" t="s">
        <v>2077</v>
      </c>
      <c r="AR297" s="13" t="s">
        <v>2418</v>
      </c>
      <c r="AS297" s="13" t="s">
        <v>2419</v>
      </c>
      <c r="AT297" s="13" t="s">
        <v>2420</v>
      </c>
      <c r="AU297" s="13" t="s">
        <v>2421</v>
      </c>
      <c r="AV297" s="13" t="s">
        <v>2422</v>
      </c>
      <c r="AW297" s="13" t="s">
        <v>2416</v>
      </c>
      <c r="AX297" s="13" t="s">
        <v>2073</v>
      </c>
      <c r="AY297" s="13" t="s">
        <v>2073</v>
      </c>
      <c r="AZ297" s="13" t="s">
        <v>2073</v>
      </c>
      <c r="BA297" s="13" t="s">
        <v>2073</v>
      </c>
      <c r="BB297" s="13" t="s">
        <v>2073</v>
      </c>
      <c r="BC297" s="13" t="s">
        <v>2073</v>
      </c>
    </row>
    <row r="298" spans="1:55" ht="15.75" customHeight="1">
      <c r="A298" s="13">
        <v>2000</v>
      </c>
      <c r="B298" s="7" t="s">
        <v>1428</v>
      </c>
      <c r="C298" s="211" t="s">
        <v>2412</v>
      </c>
      <c r="D298" s="13" t="s">
        <v>1427</v>
      </c>
      <c r="E298" s="13" t="s">
        <v>1361</v>
      </c>
      <c r="F298" s="211" t="s">
        <v>2413</v>
      </c>
      <c r="G298" s="13" t="s">
        <v>2414</v>
      </c>
      <c r="H298" s="13" t="s">
        <v>2077</v>
      </c>
      <c r="I298" s="13" t="s">
        <v>2077</v>
      </c>
      <c r="J298" s="13" t="s">
        <v>2077</v>
      </c>
      <c r="K298" s="13" t="s">
        <v>2077</v>
      </c>
      <c r="L298" s="13" t="s">
        <v>2077</v>
      </c>
      <c r="M298" s="13" t="s">
        <v>2077</v>
      </c>
      <c r="N298" s="211" t="s">
        <v>2415</v>
      </c>
      <c r="O298" s="13" t="s">
        <v>2416</v>
      </c>
      <c r="P298" s="69" t="str">
        <f t="shared" ref="P298:Q298" si="294">D298</f>
        <v>CGD BACCI MASTER 1844</v>
      </c>
      <c r="Q298" s="13" t="str">
        <f t="shared" si="294"/>
        <v>3D2</v>
      </c>
      <c r="R298" s="212" t="s">
        <v>23</v>
      </c>
      <c r="S298" s="213">
        <v>0.64583333333333337</v>
      </c>
      <c r="T298" s="13">
        <v>85</v>
      </c>
      <c r="U298" s="211" t="s">
        <v>24</v>
      </c>
      <c r="V298" s="13">
        <v>1</v>
      </c>
      <c r="W298" s="13" t="s">
        <v>2417</v>
      </c>
      <c r="X298" s="13" t="s">
        <v>1924</v>
      </c>
      <c r="Y298" s="13" t="s">
        <v>2073</v>
      </c>
      <c r="Z298" s="13" t="s">
        <v>2073</v>
      </c>
      <c r="AA298" s="13" t="s">
        <v>2073</v>
      </c>
      <c r="AB298" s="13" t="s">
        <v>1924</v>
      </c>
      <c r="AC298" s="211" t="s">
        <v>2415</v>
      </c>
      <c r="AD298" s="13" t="s">
        <v>2416</v>
      </c>
      <c r="AE298" s="69" t="s">
        <v>1429</v>
      </c>
      <c r="AF298" s="13" t="s">
        <v>2418</v>
      </c>
      <c r="AG298" s="13" t="s">
        <v>2419</v>
      </c>
      <c r="AH298" s="13" t="s">
        <v>2420</v>
      </c>
      <c r="AI298" s="13" t="s">
        <v>2421</v>
      </c>
      <c r="AJ298" s="13" t="s">
        <v>2422</v>
      </c>
      <c r="AK298" s="13" t="s">
        <v>2416</v>
      </c>
      <c r="AL298" s="13" t="s">
        <v>2077</v>
      </c>
      <c r="AM298" s="13" t="s">
        <v>2077</v>
      </c>
      <c r="AN298" s="13" t="s">
        <v>2077</v>
      </c>
      <c r="AO298" s="13" t="s">
        <v>2077</v>
      </c>
      <c r="AP298" s="13" t="s">
        <v>2077</v>
      </c>
      <c r="AQ298" s="13" t="s">
        <v>2077</v>
      </c>
      <c r="AR298" s="13" t="s">
        <v>2418</v>
      </c>
      <c r="AS298" s="13" t="s">
        <v>2419</v>
      </c>
      <c r="AT298" s="13" t="s">
        <v>2420</v>
      </c>
      <c r="AU298" s="13" t="s">
        <v>2421</v>
      </c>
      <c r="AV298" s="13" t="s">
        <v>2422</v>
      </c>
      <c r="AW298" s="13" t="s">
        <v>2416</v>
      </c>
      <c r="AX298" s="13" t="s">
        <v>2073</v>
      </c>
      <c r="AY298" s="13" t="s">
        <v>2073</v>
      </c>
      <c r="AZ298" s="13" t="s">
        <v>2073</v>
      </c>
      <c r="BA298" s="13" t="s">
        <v>2073</v>
      </c>
      <c r="BB298" s="13" t="s">
        <v>2073</v>
      </c>
      <c r="BC298" s="13" t="s">
        <v>2073</v>
      </c>
    </row>
    <row r="299" spans="1:55" ht="15.75" customHeight="1">
      <c r="A299" s="13">
        <v>2000</v>
      </c>
      <c r="B299" s="7" t="s">
        <v>1432</v>
      </c>
      <c r="C299" s="211" t="s">
        <v>2412</v>
      </c>
      <c r="D299" s="13" t="s">
        <v>1431</v>
      </c>
      <c r="E299" s="13" t="s">
        <v>1361</v>
      </c>
      <c r="F299" s="211" t="s">
        <v>2413</v>
      </c>
      <c r="G299" s="13" t="s">
        <v>2414</v>
      </c>
      <c r="H299" s="13" t="s">
        <v>2077</v>
      </c>
      <c r="I299" s="13" t="s">
        <v>2077</v>
      </c>
      <c r="J299" s="13" t="s">
        <v>2077</v>
      </c>
      <c r="K299" s="13" t="s">
        <v>2077</v>
      </c>
      <c r="L299" s="13" t="s">
        <v>2077</v>
      </c>
      <c r="M299" s="13" t="s">
        <v>2077</v>
      </c>
      <c r="N299" s="211" t="s">
        <v>2415</v>
      </c>
      <c r="O299" s="13" t="s">
        <v>2416</v>
      </c>
      <c r="P299" s="69" t="str">
        <f t="shared" ref="P299:Q299" si="295">D299</f>
        <v>CGD MANUAL DELTA 1</v>
      </c>
      <c r="Q299" s="13" t="str">
        <f t="shared" si="295"/>
        <v>3D2</v>
      </c>
      <c r="R299" s="212" t="s">
        <v>23</v>
      </c>
      <c r="S299" s="213">
        <v>0.64583333333333337</v>
      </c>
      <c r="T299" s="13">
        <v>85</v>
      </c>
      <c r="U299" s="211" t="s">
        <v>24</v>
      </c>
      <c r="V299" s="13">
        <v>1</v>
      </c>
      <c r="W299" s="13" t="s">
        <v>2417</v>
      </c>
      <c r="X299" s="13" t="s">
        <v>1924</v>
      </c>
      <c r="Y299" s="13" t="s">
        <v>2073</v>
      </c>
      <c r="Z299" s="13" t="s">
        <v>2073</v>
      </c>
      <c r="AA299" s="13" t="s">
        <v>2073</v>
      </c>
      <c r="AB299" s="13" t="s">
        <v>1924</v>
      </c>
      <c r="AC299" s="211" t="s">
        <v>2415</v>
      </c>
      <c r="AD299" s="13" t="s">
        <v>2416</v>
      </c>
      <c r="AE299" s="69" t="s">
        <v>1433</v>
      </c>
      <c r="AF299" s="13" t="s">
        <v>2418</v>
      </c>
      <c r="AG299" s="13" t="s">
        <v>2419</v>
      </c>
      <c r="AH299" s="13" t="s">
        <v>2420</v>
      </c>
      <c r="AI299" s="13" t="s">
        <v>2421</v>
      </c>
      <c r="AJ299" s="13" t="s">
        <v>2422</v>
      </c>
      <c r="AK299" s="13" t="s">
        <v>2416</v>
      </c>
      <c r="AL299" s="13" t="s">
        <v>2077</v>
      </c>
      <c r="AM299" s="13" t="s">
        <v>2077</v>
      </c>
      <c r="AN299" s="13" t="s">
        <v>2077</v>
      </c>
      <c r="AO299" s="13" t="s">
        <v>2077</v>
      </c>
      <c r="AP299" s="13" t="s">
        <v>2077</v>
      </c>
      <c r="AQ299" s="13" t="s">
        <v>2077</v>
      </c>
      <c r="AR299" s="13" t="s">
        <v>2418</v>
      </c>
      <c r="AS299" s="13" t="s">
        <v>2419</v>
      </c>
      <c r="AT299" s="13" t="s">
        <v>2420</v>
      </c>
      <c r="AU299" s="13" t="s">
        <v>2421</v>
      </c>
      <c r="AV299" s="13" t="s">
        <v>2422</v>
      </c>
      <c r="AW299" s="13" t="s">
        <v>2416</v>
      </c>
      <c r="AX299" s="13" t="s">
        <v>2073</v>
      </c>
      <c r="AY299" s="13" t="s">
        <v>2073</v>
      </c>
      <c r="AZ299" s="13" t="s">
        <v>2073</v>
      </c>
      <c r="BA299" s="13" t="s">
        <v>2073</v>
      </c>
      <c r="BB299" s="13" t="s">
        <v>2073</v>
      </c>
      <c r="BC299" s="13" t="s">
        <v>2073</v>
      </c>
    </row>
    <row r="300" spans="1:55" ht="15.75" customHeight="1">
      <c r="A300" s="13">
        <v>2000</v>
      </c>
      <c r="B300" s="7" t="s">
        <v>1436</v>
      </c>
      <c r="C300" s="211" t="s">
        <v>2412</v>
      </c>
      <c r="D300" s="13" t="s">
        <v>1435</v>
      </c>
      <c r="E300" s="13" t="s">
        <v>1361</v>
      </c>
      <c r="F300" s="211" t="s">
        <v>2413</v>
      </c>
      <c r="G300" s="13" t="s">
        <v>2414</v>
      </c>
      <c r="H300" s="13" t="s">
        <v>2077</v>
      </c>
      <c r="I300" s="13" t="s">
        <v>2077</v>
      </c>
      <c r="J300" s="13" t="s">
        <v>2077</v>
      </c>
      <c r="K300" s="13" t="s">
        <v>2077</v>
      </c>
      <c r="L300" s="13" t="s">
        <v>2077</v>
      </c>
      <c r="M300" s="13" t="s">
        <v>2077</v>
      </c>
      <c r="N300" s="211" t="s">
        <v>2415</v>
      </c>
      <c r="O300" s="13" t="s">
        <v>2416</v>
      </c>
      <c r="P300" s="69" t="str">
        <f t="shared" ref="P300:Q300" si="296">D300</f>
        <v>CGD SUB MACH A</v>
      </c>
      <c r="Q300" s="13" t="str">
        <f t="shared" si="296"/>
        <v>3D2</v>
      </c>
      <c r="R300" s="212" t="s">
        <v>23</v>
      </c>
      <c r="S300" s="213">
        <v>0.64583333333333337</v>
      </c>
      <c r="T300" s="13">
        <v>85</v>
      </c>
      <c r="U300" s="211" t="s">
        <v>24</v>
      </c>
      <c r="V300" s="13">
        <v>1</v>
      </c>
      <c r="W300" s="13" t="s">
        <v>2417</v>
      </c>
      <c r="X300" s="13" t="s">
        <v>1924</v>
      </c>
      <c r="Y300" s="13" t="s">
        <v>2073</v>
      </c>
      <c r="Z300" s="13" t="s">
        <v>2073</v>
      </c>
      <c r="AA300" s="13" t="s">
        <v>2073</v>
      </c>
      <c r="AB300" s="13" t="s">
        <v>1924</v>
      </c>
      <c r="AC300" s="211" t="s">
        <v>2415</v>
      </c>
      <c r="AD300" s="13" t="s">
        <v>2416</v>
      </c>
      <c r="AE300" s="69">
        <v>1112031002</v>
      </c>
      <c r="AF300" s="13" t="s">
        <v>2418</v>
      </c>
      <c r="AG300" s="13" t="s">
        <v>2419</v>
      </c>
      <c r="AH300" s="13" t="s">
        <v>2420</v>
      </c>
      <c r="AI300" s="13" t="s">
        <v>2421</v>
      </c>
      <c r="AJ300" s="13" t="s">
        <v>2422</v>
      </c>
      <c r="AK300" s="13" t="s">
        <v>2416</v>
      </c>
      <c r="AL300" s="13" t="s">
        <v>2077</v>
      </c>
      <c r="AM300" s="13" t="s">
        <v>2077</v>
      </c>
      <c r="AN300" s="13" t="s">
        <v>2077</v>
      </c>
      <c r="AO300" s="13" t="s">
        <v>2077</v>
      </c>
      <c r="AP300" s="13" t="s">
        <v>2077</v>
      </c>
      <c r="AQ300" s="13" t="s">
        <v>2077</v>
      </c>
      <c r="AR300" s="13" t="s">
        <v>2418</v>
      </c>
      <c r="AS300" s="13" t="s">
        <v>2419</v>
      </c>
      <c r="AT300" s="13" t="s">
        <v>2420</v>
      </c>
      <c r="AU300" s="13" t="s">
        <v>2421</v>
      </c>
      <c r="AV300" s="13" t="s">
        <v>2422</v>
      </c>
      <c r="AW300" s="13" t="s">
        <v>2416</v>
      </c>
      <c r="AX300" s="13" t="s">
        <v>2073</v>
      </c>
      <c r="AY300" s="13" t="s">
        <v>2073</v>
      </c>
      <c r="AZ300" s="13" t="s">
        <v>2073</v>
      </c>
      <c r="BA300" s="13" t="s">
        <v>2073</v>
      </c>
      <c r="BB300" s="13" t="s">
        <v>2073</v>
      </c>
      <c r="BC300" s="13" t="s">
        <v>2073</v>
      </c>
    </row>
    <row r="301" spans="1:55" ht="15.75" customHeight="1">
      <c r="A301" s="13">
        <v>2000</v>
      </c>
      <c r="B301" s="7" t="s">
        <v>1439</v>
      </c>
      <c r="C301" s="211" t="s">
        <v>2412</v>
      </c>
      <c r="D301" s="13" t="s">
        <v>1438</v>
      </c>
      <c r="E301" s="13" t="s">
        <v>1361</v>
      </c>
      <c r="F301" s="211" t="s">
        <v>2413</v>
      </c>
      <c r="G301" s="13" t="s">
        <v>2414</v>
      </c>
      <c r="H301" s="13" t="s">
        <v>2077</v>
      </c>
      <c r="I301" s="13" t="s">
        <v>2077</v>
      </c>
      <c r="J301" s="13" t="s">
        <v>2077</v>
      </c>
      <c r="K301" s="13" t="s">
        <v>2077</v>
      </c>
      <c r="L301" s="13" t="s">
        <v>2077</v>
      </c>
      <c r="M301" s="13" t="s">
        <v>2077</v>
      </c>
      <c r="N301" s="211" t="s">
        <v>2415</v>
      </c>
      <c r="O301" s="13" t="s">
        <v>2416</v>
      </c>
      <c r="P301" s="69" t="str">
        <f t="shared" ref="P301:Q301" si="297">D301</f>
        <v>CGD SUB MACH B</v>
      </c>
      <c r="Q301" s="13" t="str">
        <f t="shared" si="297"/>
        <v>3D2</v>
      </c>
      <c r="R301" s="212" t="s">
        <v>23</v>
      </c>
      <c r="S301" s="213">
        <v>0.64583333333333337</v>
      </c>
      <c r="T301" s="13">
        <v>85</v>
      </c>
      <c r="U301" s="211" t="s">
        <v>24</v>
      </c>
      <c r="V301" s="13">
        <v>1</v>
      </c>
      <c r="W301" s="13" t="s">
        <v>2417</v>
      </c>
      <c r="X301" s="13" t="s">
        <v>1924</v>
      </c>
      <c r="Y301" s="13" t="s">
        <v>2073</v>
      </c>
      <c r="Z301" s="13" t="s">
        <v>2073</v>
      </c>
      <c r="AA301" s="13" t="s">
        <v>2073</v>
      </c>
      <c r="AB301" s="13" t="s">
        <v>1924</v>
      </c>
      <c r="AC301" s="211" t="s">
        <v>2415</v>
      </c>
      <c r="AD301" s="13" t="s">
        <v>2416</v>
      </c>
      <c r="AE301" s="69">
        <v>1112031003</v>
      </c>
      <c r="AF301" s="13" t="s">
        <v>2418</v>
      </c>
      <c r="AG301" s="13" t="s">
        <v>2419</v>
      </c>
      <c r="AH301" s="13" t="s">
        <v>2420</v>
      </c>
      <c r="AI301" s="13" t="s">
        <v>2421</v>
      </c>
      <c r="AJ301" s="13" t="s">
        <v>2422</v>
      </c>
      <c r="AK301" s="13" t="s">
        <v>2416</v>
      </c>
      <c r="AL301" s="13" t="s">
        <v>2077</v>
      </c>
      <c r="AM301" s="13" t="s">
        <v>2077</v>
      </c>
      <c r="AN301" s="13" t="s">
        <v>2077</v>
      </c>
      <c r="AO301" s="13" t="s">
        <v>2077</v>
      </c>
      <c r="AP301" s="13" t="s">
        <v>2077</v>
      </c>
      <c r="AQ301" s="13" t="s">
        <v>2077</v>
      </c>
      <c r="AR301" s="13" t="s">
        <v>2418</v>
      </c>
      <c r="AS301" s="13" t="s">
        <v>2419</v>
      </c>
      <c r="AT301" s="13" t="s">
        <v>2420</v>
      </c>
      <c r="AU301" s="13" t="s">
        <v>2421</v>
      </c>
      <c r="AV301" s="13" t="s">
        <v>2422</v>
      </c>
      <c r="AW301" s="13" t="s">
        <v>2416</v>
      </c>
      <c r="AX301" s="13" t="s">
        <v>2073</v>
      </c>
      <c r="AY301" s="13" t="s">
        <v>2073</v>
      </c>
      <c r="AZ301" s="13" t="s">
        <v>2073</v>
      </c>
      <c r="BA301" s="13" t="s">
        <v>2073</v>
      </c>
      <c r="BB301" s="13" t="s">
        <v>2073</v>
      </c>
      <c r="BC301" s="13" t="s">
        <v>2073</v>
      </c>
    </row>
    <row r="302" spans="1:55" ht="15.75" customHeight="1">
      <c r="A302" s="13">
        <v>2000</v>
      </c>
      <c r="B302" s="7" t="s">
        <v>1443</v>
      </c>
      <c r="C302" s="211" t="s">
        <v>2412</v>
      </c>
      <c r="D302" s="13" t="s">
        <v>1442</v>
      </c>
      <c r="E302" s="13" t="s">
        <v>1361</v>
      </c>
      <c r="F302" s="211" t="s">
        <v>2413</v>
      </c>
      <c r="G302" s="13" t="s">
        <v>2414</v>
      </c>
      <c r="H302" s="13" t="s">
        <v>2077</v>
      </c>
      <c r="I302" s="13" t="s">
        <v>2077</v>
      </c>
      <c r="J302" s="13" t="s">
        <v>2077</v>
      </c>
      <c r="K302" s="13" t="s">
        <v>2077</v>
      </c>
      <c r="L302" s="13" t="s">
        <v>2077</v>
      </c>
      <c r="M302" s="13" t="s">
        <v>2077</v>
      </c>
      <c r="N302" s="211" t="s">
        <v>2415</v>
      </c>
      <c r="O302" s="13" t="s">
        <v>2416</v>
      </c>
      <c r="P302" s="69" t="str">
        <f t="shared" ref="P302:Q302" si="298">D302</f>
        <v>CGD EBD CUTTING</v>
      </c>
      <c r="Q302" s="13" t="str">
        <f t="shared" si="298"/>
        <v>3D2</v>
      </c>
      <c r="R302" s="212" t="s">
        <v>23</v>
      </c>
      <c r="S302" s="213">
        <v>0.64583333333333337</v>
      </c>
      <c r="T302" s="13">
        <v>85</v>
      </c>
      <c r="U302" s="211" t="s">
        <v>24</v>
      </c>
      <c r="V302" s="13">
        <v>1</v>
      </c>
      <c r="W302" s="13" t="s">
        <v>2417</v>
      </c>
      <c r="X302" s="13" t="s">
        <v>1924</v>
      </c>
      <c r="Y302" s="13" t="s">
        <v>2073</v>
      </c>
      <c r="Z302" s="13" t="s">
        <v>2073</v>
      </c>
      <c r="AA302" s="13" t="s">
        <v>2073</v>
      </c>
      <c r="AB302" s="13" t="s">
        <v>1924</v>
      </c>
      <c r="AC302" s="211" t="s">
        <v>2415</v>
      </c>
      <c r="AD302" s="13" t="s">
        <v>2416</v>
      </c>
      <c r="AE302" s="69">
        <v>1112032104</v>
      </c>
      <c r="AF302" s="13" t="s">
        <v>2418</v>
      </c>
      <c r="AG302" s="13" t="s">
        <v>2419</v>
      </c>
      <c r="AH302" s="13" t="s">
        <v>2420</v>
      </c>
      <c r="AI302" s="13" t="s">
        <v>2421</v>
      </c>
      <c r="AJ302" s="13" t="s">
        <v>2422</v>
      </c>
      <c r="AK302" s="13" t="s">
        <v>2416</v>
      </c>
      <c r="AL302" s="13" t="s">
        <v>2077</v>
      </c>
      <c r="AM302" s="13" t="s">
        <v>2077</v>
      </c>
      <c r="AN302" s="13" t="s">
        <v>2077</v>
      </c>
      <c r="AO302" s="13" t="s">
        <v>2077</v>
      </c>
      <c r="AP302" s="13" t="s">
        <v>2077</v>
      </c>
      <c r="AQ302" s="13" t="s">
        <v>2077</v>
      </c>
      <c r="AR302" s="13" t="s">
        <v>2418</v>
      </c>
      <c r="AS302" s="13" t="s">
        <v>2419</v>
      </c>
      <c r="AT302" s="13" t="s">
        <v>2420</v>
      </c>
      <c r="AU302" s="13" t="s">
        <v>2421</v>
      </c>
      <c r="AV302" s="13" t="s">
        <v>2422</v>
      </c>
      <c r="AW302" s="13" t="s">
        <v>2416</v>
      </c>
      <c r="AX302" s="13" t="s">
        <v>2073</v>
      </c>
      <c r="AY302" s="13" t="s">
        <v>2073</v>
      </c>
      <c r="AZ302" s="13" t="s">
        <v>2073</v>
      </c>
      <c r="BA302" s="13" t="s">
        <v>2073</v>
      </c>
      <c r="BB302" s="13" t="s">
        <v>2073</v>
      </c>
      <c r="BC302" s="13" t="s">
        <v>2073</v>
      </c>
    </row>
    <row r="303" spans="1:55" ht="15.75" customHeight="1">
      <c r="A303" s="13">
        <v>2000</v>
      </c>
      <c r="B303" s="7" t="s">
        <v>1446</v>
      </c>
      <c r="C303" s="211" t="s">
        <v>2412</v>
      </c>
      <c r="D303" s="13" t="s">
        <v>1445</v>
      </c>
      <c r="E303" s="13" t="s">
        <v>1361</v>
      </c>
      <c r="F303" s="211" t="s">
        <v>2413</v>
      </c>
      <c r="G303" s="13" t="s">
        <v>2414</v>
      </c>
      <c r="H303" s="13" t="s">
        <v>2077</v>
      </c>
      <c r="I303" s="13" t="s">
        <v>2077</v>
      </c>
      <c r="J303" s="13" t="s">
        <v>2077</v>
      </c>
      <c r="K303" s="13" t="s">
        <v>2077</v>
      </c>
      <c r="L303" s="13" t="s">
        <v>2077</v>
      </c>
      <c r="M303" s="13" t="s">
        <v>2077</v>
      </c>
      <c r="N303" s="211" t="s">
        <v>2415</v>
      </c>
      <c r="O303" s="13" t="s">
        <v>2416</v>
      </c>
      <c r="P303" s="69" t="str">
        <f t="shared" ref="P303:Q303" si="299">D303</f>
        <v>CGD EDGE BANDING (IMA)</v>
      </c>
      <c r="Q303" s="13" t="str">
        <f t="shared" si="299"/>
        <v>3D2</v>
      </c>
      <c r="R303" s="212" t="s">
        <v>23</v>
      </c>
      <c r="S303" s="213">
        <v>0.76041666666666663</v>
      </c>
      <c r="T303" s="13">
        <v>85</v>
      </c>
      <c r="U303" s="211" t="s">
        <v>24</v>
      </c>
      <c r="V303" s="13">
        <v>1</v>
      </c>
      <c r="W303" s="13" t="s">
        <v>2417</v>
      </c>
      <c r="X303" s="13" t="s">
        <v>1924</v>
      </c>
      <c r="Y303" s="13" t="s">
        <v>2073</v>
      </c>
      <c r="Z303" s="13" t="s">
        <v>2073</v>
      </c>
      <c r="AA303" s="13" t="s">
        <v>2073</v>
      </c>
      <c r="AB303" s="13" t="s">
        <v>1924</v>
      </c>
      <c r="AC303" s="211" t="s">
        <v>2415</v>
      </c>
      <c r="AD303" s="13" t="s">
        <v>2416</v>
      </c>
      <c r="AE303" s="69" t="s">
        <v>1447</v>
      </c>
      <c r="AF303" s="13" t="s">
        <v>2418</v>
      </c>
      <c r="AG303" s="13" t="s">
        <v>2419</v>
      </c>
      <c r="AH303" s="13" t="s">
        <v>2420</v>
      </c>
      <c r="AI303" s="13" t="s">
        <v>2421</v>
      </c>
      <c r="AJ303" s="13" t="s">
        <v>2422</v>
      </c>
      <c r="AK303" s="13" t="s">
        <v>2416</v>
      </c>
      <c r="AL303" s="13" t="s">
        <v>2077</v>
      </c>
      <c r="AM303" s="13" t="s">
        <v>2077</v>
      </c>
      <c r="AN303" s="13" t="s">
        <v>2077</v>
      </c>
      <c r="AO303" s="13" t="s">
        <v>2077</v>
      </c>
      <c r="AP303" s="13" t="s">
        <v>2077</v>
      </c>
      <c r="AQ303" s="13" t="s">
        <v>2077</v>
      </c>
      <c r="AR303" s="13" t="s">
        <v>2418</v>
      </c>
      <c r="AS303" s="13" t="s">
        <v>2419</v>
      </c>
      <c r="AT303" s="13" t="s">
        <v>2420</v>
      </c>
      <c r="AU303" s="13" t="s">
        <v>2421</v>
      </c>
      <c r="AV303" s="13" t="s">
        <v>2422</v>
      </c>
      <c r="AW303" s="13" t="s">
        <v>2416</v>
      </c>
      <c r="AX303" s="13" t="s">
        <v>2073</v>
      </c>
      <c r="AY303" s="13" t="s">
        <v>2073</v>
      </c>
      <c r="AZ303" s="13" t="s">
        <v>2073</v>
      </c>
      <c r="BA303" s="13" t="s">
        <v>2073</v>
      </c>
      <c r="BB303" s="13" t="s">
        <v>2073</v>
      </c>
      <c r="BC303" s="13" t="s">
        <v>2073</v>
      </c>
    </row>
    <row r="304" spans="1:55" ht="15.75" customHeight="1">
      <c r="A304" s="13">
        <v>2000</v>
      </c>
      <c r="B304" s="7" t="s">
        <v>1450</v>
      </c>
      <c r="C304" s="211" t="s">
        <v>2412</v>
      </c>
      <c r="D304" s="13" t="s">
        <v>1449</v>
      </c>
      <c r="E304" s="13" t="s">
        <v>1361</v>
      </c>
      <c r="F304" s="211" t="s">
        <v>2413</v>
      </c>
      <c r="G304" s="13" t="s">
        <v>2414</v>
      </c>
      <c r="H304" s="13" t="s">
        <v>2077</v>
      </c>
      <c r="I304" s="13" t="s">
        <v>2077</v>
      </c>
      <c r="J304" s="13" t="s">
        <v>2077</v>
      </c>
      <c r="K304" s="13" t="s">
        <v>2077</v>
      </c>
      <c r="L304" s="13" t="s">
        <v>2077</v>
      </c>
      <c r="M304" s="13" t="s">
        <v>2077</v>
      </c>
      <c r="N304" s="211" t="s">
        <v>2415</v>
      </c>
      <c r="O304" s="13" t="s">
        <v>2416</v>
      </c>
      <c r="P304" s="69" t="str">
        <f t="shared" ref="P304:Q304" si="300">D304</f>
        <v>CGD EDGE BANDING (HF)</v>
      </c>
      <c r="Q304" s="13" t="str">
        <f t="shared" si="300"/>
        <v>3D2</v>
      </c>
      <c r="R304" s="212" t="s">
        <v>23</v>
      </c>
      <c r="S304" s="213">
        <v>0.83333333333333337</v>
      </c>
      <c r="T304" s="13">
        <v>85</v>
      </c>
      <c r="U304" s="211" t="s">
        <v>83</v>
      </c>
      <c r="V304" s="13">
        <v>1</v>
      </c>
      <c r="W304" s="13" t="s">
        <v>2417</v>
      </c>
      <c r="X304" s="13" t="s">
        <v>1924</v>
      </c>
      <c r="Y304" s="13" t="s">
        <v>2073</v>
      </c>
      <c r="Z304" s="13" t="s">
        <v>2073</v>
      </c>
      <c r="AA304" s="13" t="s">
        <v>2073</v>
      </c>
      <c r="AB304" s="13" t="s">
        <v>1924</v>
      </c>
      <c r="AC304" s="211" t="s">
        <v>2415</v>
      </c>
      <c r="AD304" s="13" t="s">
        <v>2416</v>
      </c>
      <c r="AE304" s="69" t="s">
        <v>1451</v>
      </c>
      <c r="AF304" s="13" t="s">
        <v>2418</v>
      </c>
      <c r="AG304" s="13" t="s">
        <v>2419</v>
      </c>
      <c r="AH304" s="13" t="s">
        <v>2420</v>
      </c>
      <c r="AI304" s="13" t="s">
        <v>2421</v>
      </c>
      <c r="AJ304" s="13" t="s">
        <v>2422</v>
      </c>
      <c r="AK304" s="13" t="s">
        <v>2416</v>
      </c>
      <c r="AL304" s="13" t="s">
        <v>2077</v>
      </c>
      <c r="AM304" s="13" t="s">
        <v>2077</v>
      </c>
      <c r="AN304" s="13" t="s">
        <v>2077</v>
      </c>
      <c r="AO304" s="13" t="s">
        <v>2077</v>
      </c>
      <c r="AP304" s="13" t="s">
        <v>2077</v>
      </c>
      <c r="AQ304" s="13" t="s">
        <v>2077</v>
      </c>
      <c r="AR304" s="13" t="s">
        <v>2418</v>
      </c>
      <c r="AS304" s="13" t="s">
        <v>2419</v>
      </c>
      <c r="AT304" s="13" t="s">
        <v>2420</v>
      </c>
      <c r="AU304" s="13" t="s">
        <v>2421</v>
      </c>
      <c r="AV304" s="13" t="s">
        <v>2422</v>
      </c>
      <c r="AW304" s="13" t="s">
        <v>2416</v>
      </c>
      <c r="AX304" s="13" t="s">
        <v>2073</v>
      </c>
      <c r="AY304" s="13" t="s">
        <v>2073</v>
      </c>
      <c r="AZ304" s="13" t="s">
        <v>2073</v>
      </c>
      <c r="BA304" s="13" t="s">
        <v>2073</v>
      </c>
      <c r="BB304" s="13" t="s">
        <v>2073</v>
      </c>
      <c r="BC304" s="13" t="s">
        <v>2073</v>
      </c>
    </row>
    <row r="305" spans="1:55" ht="15.75" customHeight="1">
      <c r="A305" s="13">
        <v>2000</v>
      </c>
      <c r="B305" s="7" t="s">
        <v>1454</v>
      </c>
      <c r="C305" s="211" t="s">
        <v>2412</v>
      </c>
      <c r="D305" s="13" t="s">
        <v>1453</v>
      </c>
      <c r="E305" s="13" t="s">
        <v>1361</v>
      </c>
      <c r="F305" s="211" t="s">
        <v>2413</v>
      </c>
      <c r="G305" s="13" t="s">
        <v>2414</v>
      </c>
      <c r="H305" s="13" t="s">
        <v>2077</v>
      </c>
      <c r="I305" s="13" t="s">
        <v>2077</v>
      </c>
      <c r="J305" s="13" t="s">
        <v>2077</v>
      </c>
      <c r="K305" s="13" t="s">
        <v>2077</v>
      </c>
      <c r="L305" s="13" t="s">
        <v>2077</v>
      </c>
      <c r="M305" s="13" t="s">
        <v>2077</v>
      </c>
      <c r="N305" s="211" t="s">
        <v>2415</v>
      </c>
      <c r="O305" s="13" t="s">
        <v>2416</v>
      </c>
      <c r="P305" s="69" t="str">
        <f t="shared" ref="P305:Q305" si="301">D305</f>
        <v>CGD COOL PRESS</v>
      </c>
      <c r="Q305" s="13" t="str">
        <f t="shared" si="301"/>
        <v>3D2</v>
      </c>
      <c r="R305" s="212" t="s">
        <v>23</v>
      </c>
      <c r="S305" s="213">
        <v>0.83333333333333337</v>
      </c>
      <c r="T305" s="13">
        <v>85</v>
      </c>
      <c r="U305" s="211" t="s">
        <v>83</v>
      </c>
      <c r="V305" s="13">
        <v>1</v>
      </c>
      <c r="W305" s="13" t="s">
        <v>2417</v>
      </c>
      <c r="X305" s="13" t="s">
        <v>1924</v>
      </c>
      <c r="Y305" s="13" t="s">
        <v>2073</v>
      </c>
      <c r="Z305" s="13" t="s">
        <v>2073</v>
      </c>
      <c r="AA305" s="13" t="s">
        <v>2073</v>
      </c>
      <c r="AB305" s="13" t="s">
        <v>1924</v>
      </c>
      <c r="AC305" s="211" t="s">
        <v>2415</v>
      </c>
      <c r="AD305" s="13" t="s">
        <v>2416</v>
      </c>
      <c r="AE305" s="69" t="s">
        <v>1455</v>
      </c>
      <c r="AF305" s="13" t="s">
        <v>2418</v>
      </c>
      <c r="AG305" s="13" t="s">
        <v>2419</v>
      </c>
      <c r="AH305" s="13" t="s">
        <v>2420</v>
      </c>
      <c r="AI305" s="13" t="s">
        <v>2421</v>
      </c>
      <c r="AJ305" s="13" t="s">
        <v>2422</v>
      </c>
      <c r="AK305" s="13" t="s">
        <v>2416</v>
      </c>
      <c r="AL305" s="13" t="s">
        <v>2077</v>
      </c>
      <c r="AM305" s="13" t="s">
        <v>2077</v>
      </c>
      <c r="AN305" s="13" t="s">
        <v>2077</v>
      </c>
      <c r="AO305" s="13" t="s">
        <v>2077</v>
      </c>
      <c r="AP305" s="13" t="s">
        <v>2077</v>
      </c>
      <c r="AQ305" s="13" t="s">
        <v>2077</v>
      </c>
      <c r="AR305" s="13" t="s">
        <v>2418</v>
      </c>
      <c r="AS305" s="13" t="s">
        <v>2419</v>
      </c>
      <c r="AT305" s="13" t="s">
        <v>2420</v>
      </c>
      <c r="AU305" s="13" t="s">
        <v>2421</v>
      </c>
      <c r="AV305" s="13" t="s">
        <v>2422</v>
      </c>
      <c r="AW305" s="13" t="s">
        <v>2416</v>
      </c>
      <c r="AX305" s="13" t="s">
        <v>2073</v>
      </c>
      <c r="AY305" s="13" t="s">
        <v>2073</v>
      </c>
      <c r="AZ305" s="13" t="s">
        <v>2073</v>
      </c>
      <c r="BA305" s="13" t="s">
        <v>2073</v>
      </c>
      <c r="BB305" s="13" t="s">
        <v>2073</v>
      </c>
      <c r="BC305" s="13" t="s">
        <v>2073</v>
      </c>
    </row>
    <row r="306" spans="1:55" ht="15.75" customHeight="1">
      <c r="A306" s="13">
        <v>2000</v>
      </c>
      <c r="B306" s="7" t="s">
        <v>1459</v>
      </c>
      <c r="C306" s="211" t="s">
        <v>2412</v>
      </c>
      <c r="D306" s="13" t="s">
        <v>1458</v>
      </c>
      <c r="E306" s="13" t="s">
        <v>1361</v>
      </c>
      <c r="F306" s="211" t="s">
        <v>2413</v>
      </c>
      <c r="G306" s="13" t="s">
        <v>2414</v>
      </c>
      <c r="H306" s="13" t="s">
        <v>2077</v>
      </c>
      <c r="I306" s="13" t="s">
        <v>2077</v>
      </c>
      <c r="J306" s="13" t="s">
        <v>2077</v>
      </c>
      <c r="K306" s="13" t="s">
        <v>2077</v>
      </c>
      <c r="L306" s="13" t="s">
        <v>2077</v>
      </c>
      <c r="M306" s="13" t="s">
        <v>2077</v>
      </c>
      <c r="N306" s="211" t="s">
        <v>2415</v>
      </c>
      <c r="O306" s="13" t="s">
        <v>2416</v>
      </c>
      <c r="P306" s="69" t="str">
        <f t="shared" ref="P306:Q306" si="302">D306</f>
        <v>CGD SUB BODY A</v>
      </c>
      <c r="Q306" s="13" t="str">
        <f t="shared" si="302"/>
        <v>3D2</v>
      </c>
      <c r="R306" s="212" t="s">
        <v>23</v>
      </c>
      <c r="S306" s="213">
        <v>0.76041666666666663</v>
      </c>
      <c r="T306" s="13">
        <v>85</v>
      </c>
      <c r="U306" s="211" t="s">
        <v>24</v>
      </c>
      <c r="V306" s="13">
        <v>1</v>
      </c>
      <c r="W306" s="13" t="s">
        <v>2417</v>
      </c>
      <c r="X306" s="13" t="s">
        <v>1924</v>
      </c>
      <c r="Y306" s="13" t="s">
        <v>2073</v>
      </c>
      <c r="Z306" s="13" t="s">
        <v>2073</v>
      </c>
      <c r="AA306" s="13" t="s">
        <v>2073</v>
      </c>
      <c r="AB306" s="13" t="s">
        <v>1924</v>
      </c>
      <c r="AC306" s="211" t="s">
        <v>2415</v>
      </c>
      <c r="AD306" s="13" t="s">
        <v>2416</v>
      </c>
      <c r="AE306" s="69" t="s">
        <v>1460</v>
      </c>
      <c r="AF306" s="13" t="s">
        <v>2418</v>
      </c>
      <c r="AG306" s="13" t="s">
        <v>2419</v>
      </c>
      <c r="AH306" s="13" t="s">
        <v>2420</v>
      </c>
      <c r="AI306" s="13" t="s">
        <v>2421</v>
      </c>
      <c r="AJ306" s="13" t="s">
        <v>2422</v>
      </c>
      <c r="AK306" s="13" t="s">
        <v>2416</v>
      </c>
      <c r="AL306" s="13" t="s">
        <v>2077</v>
      </c>
      <c r="AM306" s="13" t="s">
        <v>2077</v>
      </c>
      <c r="AN306" s="13" t="s">
        <v>2077</v>
      </c>
      <c r="AO306" s="13" t="s">
        <v>2077</v>
      </c>
      <c r="AP306" s="13" t="s">
        <v>2077</v>
      </c>
      <c r="AQ306" s="13" t="s">
        <v>2077</v>
      </c>
      <c r="AR306" s="13" t="s">
        <v>2418</v>
      </c>
      <c r="AS306" s="13" t="s">
        <v>2419</v>
      </c>
      <c r="AT306" s="13" t="s">
        <v>2420</v>
      </c>
      <c r="AU306" s="13" t="s">
        <v>2421</v>
      </c>
      <c r="AV306" s="13" t="s">
        <v>2422</v>
      </c>
      <c r="AW306" s="13" t="s">
        <v>2416</v>
      </c>
      <c r="AX306" s="13" t="s">
        <v>2073</v>
      </c>
      <c r="AY306" s="13" t="s">
        <v>2073</v>
      </c>
      <c r="AZ306" s="13" t="s">
        <v>2073</v>
      </c>
      <c r="BA306" s="13" t="s">
        <v>2073</v>
      </c>
      <c r="BB306" s="13" t="s">
        <v>2073</v>
      </c>
      <c r="BC306" s="13" t="s">
        <v>2073</v>
      </c>
    </row>
    <row r="307" spans="1:55" ht="15.75" customHeight="1">
      <c r="A307" s="13">
        <v>2000</v>
      </c>
      <c r="B307" s="7" t="s">
        <v>1463</v>
      </c>
      <c r="C307" s="211" t="s">
        <v>2412</v>
      </c>
      <c r="D307" s="13" t="s">
        <v>1462</v>
      </c>
      <c r="E307" s="13" t="s">
        <v>1361</v>
      </c>
      <c r="F307" s="211" t="s">
        <v>2413</v>
      </c>
      <c r="G307" s="13" t="s">
        <v>2414</v>
      </c>
      <c r="H307" s="13" t="s">
        <v>2077</v>
      </c>
      <c r="I307" s="13" t="s">
        <v>2077</v>
      </c>
      <c r="J307" s="13" t="s">
        <v>2077</v>
      </c>
      <c r="K307" s="13" t="s">
        <v>2077</v>
      </c>
      <c r="L307" s="13" t="s">
        <v>2077</v>
      </c>
      <c r="M307" s="13" t="s">
        <v>2077</v>
      </c>
      <c r="N307" s="211" t="s">
        <v>2415</v>
      </c>
      <c r="O307" s="13" t="s">
        <v>2416</v>
      </c>
      <c r="P307" s="69" t="str">
        <f t="shared" ref="P307:Q307" si="303">D307</f>
        <v>CGD ASSY BODY A</v>
      </c>
      <c r="Q307" s="13" t="str">
        <f t="shared" si="303"/>
        <v>3D2</v>
      </c>
      <c r="R307" s="212" t="s">
        <v>23</v>
      </c>
      <c r="S307" s="213">
        <v>0.76041666666666663</v>
      </c>
      <c r="T307" s="13">
        <v>85</v>
      </c>
      <c r="U307" s="211" t="s">
        <v>24</v>
      </c>
      <c r="V307" s="13">
        <v>1</v>
      </c>
      <c r="W307" s="13" t="s">
        <v>2417</v>
      </c>
      <c r="X307" s="13" t="s">
        <v>1924</v>
      </c>
      <c r="Y307" s="13" t="s">
        <v>2073</v>
      </c>
      <c r="Z307" s="13" t="s">
        <v>2073</v>
      </c>
      <c r="AA307" s="13" t="s">
        <v>2073</v>
      </c>
      <c r="AB307" s="13" t="s">
        <v>1924</v>
      </c>
      <c r="AC307" s="211" t="s">
        <v>2415</v>
      </c>
      <c r="AD307" s="13" t="s">
        <v>2416</v>
      </c>
      <c r="AE307" s="69" t="s">
        <v>1464</v>
      </c>
      <c r="AF307" s="13" t="s">
        <v>2418</v>
      </c>
      <c r="AG307" s="13" t="s">
        <v>2419</v>
      </c>
      <c r="AH307" s="13" t="s">
        <v>2420</v>
      </c>
      <c r="AI307" s="13" t="s">
        <v>2421</v>
      </c>
      <c r="AJ307" s="13" t="s">
        <v>2422</v>
      </c>
      <c r="AK307" s="13" t="s">
        <v>2416</v>
      </c>
      <c r="AL307" s="13" t="s">
        <v>2077</v>
      </c>
      <c r="AM307" s="13" t="s">
        <v>2077</v>
      </c>
      <c r="AN307" s="13" t="s">
        <v>2077</v>
      </c>
      <c r="AO307" s="13" t="s">
        <v>2077</v>
      </c>
      <c r="AP307" s="13" t="s">
        <v>2077</v>
      </c>
      <c r="AQ307" s="13" t="s">
        <v>2077</v>
      </c>
      <c r="AR307" s="13" t="s">
        <v>2418</v>
      </c>
      <c r="AS307" s="13" t="s">
        <v>2419</v>
      </c>
      <c r="AT307" s="13" t="s">
        <v>2420</v>
      </c>
      <c r="AU307" s="13" t="s">
        <v>2421</v>
      </c>
      <c r="AV307" s="13" t="s">
        <v>2422</v>
      </c>
      <c r="AW307" s="13" t="s">
        <v>2416</v>
      </c>
      <c r="AX307" s="13" t="s">
        <v>2073</v>
      </c>
      <c r="AY307" s="13" t="s">
        <v>2073</v>
      </c>
      <c r="AZ307" s="13" t="s">
        <v>2073</v>
      </c>
      <c r="BA307" s="13" t="s">
        <v>2073</v>
      </c>
      <c r="BB307" s="13" t="s">
        <v>2073</v>
      </c>
      <c r="BC307" s="13" t="s">
        <v>2073</v>
      </c>
    </row>
    <row r="308" spans="1:55" ht="15.75" customHeight="1">
      <c r="A308" s="13">
        <v>2000</v>
      </c>
      <c r="B308" s="7" t="s">
        <v>1467</v>
      </c>
      <c r="C308" s="211" t="s">
        <v>2412</v>
      </c>
      <c r="D308" s="13" t="s">
        <v>1466</v>
      </c>
      <c r="E308" s="13" t="s">
        <v>1361</v>
      </c>
      <c r="F308" s="211" t="s">
        <v>2413</v>
      </c>
      <c r="G308" s="13" t="s">
        <v>2414</v>
      </c>
      <c r="H308" s="13" t="s">
        <v>2077</v>
      </c>
      <c r="I308" s="13" t="s">
        <v>2077</v>
      </c>
      <c r="J308" s="13" t="s">
        <v>2077</v>
      </c>
      <c r="K308" s="13" t="s">
        <v>2077</v>
      </c>
      <c r="L308" s="13" t="s">
        <v>2077</v>
      </c>
      <c r="M308" s="13" t="s">
        <v>2077</v>
      </c>
      <c r="N308" s="211" t="s">
        <v>2415</v>
      </c>
      <c r="O308" s="13" t="s">
        <v>2416</v>
      </c>
      <c r="P308" s="69" t="str">
        <f t="shared" ref="P308:Q308" si="304">D308</f>
        <v>CGD TOTAL ASSY A</v>
      </c>
      <c r="Q308" s="13" t="str">
        <f t="shared" si="304"/>
        <v>3D2</v>
      </c>
      <c r="R308" s="212" t="s">
        <v>23</v>
      </c>
      <c r="S308" s="213">
        <v>0.83333333333333337</v>
      </c>
      <c r="T308" s="13">
        <v>85</v>
      </c>
      <c r="U308" s="211" t="s">
        <v>83</v>
      </c>
      <c r="V308" s="13">
        <v>1</v>
      </c>
      <c r="W308" s="13" t="s">
        <v>2417</v>
      </c>
      <c r="X308" s="13" t="s">
        <v>1924</v>
      </c>
      <c r="Y308" s="13" t="s">
        <v>2073</v>
      </c>
      <c r="Z308" s="13" t="s">
        <v>2073</v>
      </c>
      <c r="AA308" s="13" t="s">
        <v>2073</v>
      </c>
      <c r="AB308" s="13" t="s">
        <v>1924</v>
      </c>
      <c r="AC308" s="211" t="s">
        <v>2415</v>
      </c>
      <c r="AD308" s="13" t="s">
        <v>2416</v>
      </c>
      <c r="AE308" s="69" t="s">
        <v>1469</v>
      </c>
      <c r="AF308" s="13" t="s">
        <v>2418</v>
      </c>
      <c r="AG308" s="13" t="s">
        <v>2419</v>
      </c>
      <c r="AH308" s="13" t="s">
        <v>2420</v>
      </c>
      <c r="AI308" s="13" t="s">
        <v>2421</v>
      </c>
      <c r="AJ308" s="13" t="s">
        <v>2422</v>
      </c>
      <c r="AK308" s="13" t="s">
        <v>2416</v>
      </c>
      <c r="AL308" s="13" t="s">
        <v>2077</v>
      </c>
      <c r="AM308" s="13" t="s">
        <v>2077</v>
      </c>
      <c r="AN308" s="13" t="s">
        <v>2077</v>
      </c>
      <c r="AO308" s="13" t="s">
        <v>2077</v>
      </c>
      <c r="AP308" s="13" t="s">
        <v>2077</v>
      </c>
      <c r="AQ308" s="13" t="s">
        <v>2077</v>
      </c>
      <c r="AR308" s="13" t="s">
        <v>2418</v>
      </c>
      <c r="AS308" s="13" t="s">
        <v>2419</v>
      </c>
      <c r="AT308" s="13" t="s">
        <v>2420</v>
      </c>
      <c r="AU308" s="13" t="s">
        <v>2421</v>
      </c>
      <c r="AV308" s="13" t="s">
        <v>2422</v>
      </c>
      <c r="AW308" s="13" t="s">
        <v>2416</v>
      </c>
      <c r="AX308" s="13" t="s">
        <v>2073</v>
      </c>
      <c r="AY308" s="13" t="s">
        <v>2073</v>
      </c>
      <c r="AZ308" s="13" t="s">
        <v>2073</v>
      </c>
      <c r="BA308" s="13" t="s">
        <v>2073</v>
      </c>
      <c r="BB308" s="13" t="s">
        <v>2073</v>
      </c>
      <c r="BC308" s="13" t="s">
        <v>2073</v>
      </c>
    </row>
    <row r="309" spans="1:55" ht="15.75" customHeight="1">
      <c r="A309" s="13">
        <v>2000</v>
      </c>
      <c r="B309" s="7" t="s">
        <v>1472</v>
      </c>
      <c r="C309" s="211" t="s">
        <v>2412</v>
      </c>
      <c r="D309" s="13" t="s">
        <v>1471</v>
      </c>
      <c r="E309" s="13" t="s">
        <v>1361</v>
      </c>
      <c r="F309" s="211" t="s">
        <v>2413</v>
      </c>
      <c r="G309" s="13" t="s">
        <v>2414</v>
      </c>
      <c r="H309" s="13" t="s">
        <v>2077</v>
      </c>
      <c r="I309" s="13" t="s">
        <v>2077</v>
      </c>
      <c r="J309" s="13" t="s">
        <v>2077</v>
      </c>
      <c r="K309" s="13" t="s">
        <v>2077</v>
      </c>
      <c r="L309" s="13" t="s">
        <v>2077</v>
      </c>
      <c r="M309" s="13" t="s">
        <v>2077</v>
      </c>
      <c r="N309" s="211" t="s">
        <v>2415</v>
      </c>
      <c r="O309" s="13" t="s">
        <v>2416</v>
      </c>
      <c r="P309" s="69" t="str">
        <f t="shared" ref="P309:Q309" si="305">D309</f>
        <v>CGD SUB BODY B</v>
      </c>
      <c r="Q309" s="13" t="str">
        <f t="shared" si="305"/>
        <v>3D2</v>
      </c>
      <c r="R309" s="212" t="s">
        <v>23</v>
      </c>
      <c r="S309" s="213">
        <v>0.76041666666666663</v>
      </c>
      <c r="T309" s="13">
        <v>85</v>
      </c>
      <c r="U309" s="211" t="s">
        <v>24</v>
      </c>
      <c r="V309" s="13">
        <v>1</v>
      </c>
      <c r="W309" s="13" t="s">
        <v>2417</v>
      </c>
      <c r="X309" s="13" t="s">
        <v>1924</v>
      </c>
      <c r="Y309" s="13" t="s">
        <v>2073</v>
      </c>
      <c r="Z309" s="13" t="s">
        <v>2073</v>
      </c>
      <c r="AA309" s="13" t="s">
        <v>2073</v>
      </c>
      <c r="AB309" s="13" t="s">
        <v>1924</v>
      </c>
      <c r="AC309" s="211" t="s">
        <v>2415</v>
      </c>
      <c r="AD309" s="13" t="s">
        <v>2416</v>
      </c>
      <c r="AE309" s="69" t="s">
        <v>1473</v>
      </c>
      <c r="AF309" s="13" t="s">
        <v>2418</v>
      </c>
      <c r="AG309" s="13" t="s">
        <v>2419</v>
      </c>
      <c r="AH309" s="13" t="s">
        <v>2420</v>
      </c>
      <c r="AI309" s="13" t="s">
        <v>2421</v>
      </c>
      <c r="AJ309" s="13" t="s">
        <v>2422</v>
      </c>
      <c r="AK309" s="13" t="s">
        <v>2416</v>
      </c>
      <c r="AL309" s="13" t="s">
        <v>2077</v>
      </c>
      <c r="AM309" s="13" t="s">
        <v>2077</v>
      </c>
      <c r="AN309" s="13" t="s">
        <v>2077</v>
      </c>
      <c r="AO309" s="13" t="s">
        <v>2077</v>
      </c>
      <c r="AP309" s="13" t="s">
        <v>2077</v>
      </c>
      <c r="AQ309" s="13" t="s">
        <v>2077</v>
      </c>
      <c r="AR309" s="13" t="s">
        <v>2418</v>
      </c>
      <c r="AS309" s="13" t="s">
        <v>2419</v>
      </c>
      <c r="AT309" s="13" t="s">
        <v>2420</v>
      </c>
      <c r="AU309" s="13" t="s">
        <v>2421</v>
      </c>
      <c r="AV309" s="13" t="s">
        <v>2422</v>
      </c>
      <c r="AW309" s="13" t="s">
        <v>2416</v>
      </c>
      <c r="AX309" s="13" t="s">
        <v>2073</v>
      </c>
      <c r="AY309" s="13" t="s">
        <v>2073</v>
      </c>
      <c r="AZ309" s="13" t="s">
        <v>2073</v>
      </c>
      <c r="BA309" s="13" t="s">
        <v>2073</v>
      </c>
      <c r="BB309" s="13" t="s">
        <v>2073</v>
      </c>
      <c r="BC309" s="13" t="s">
        <v>2073</v>
      </c>
    </row>
    <row r="310" spans="1:55" ht="15.75" customHeight="1">
      <c r="A310" s="13">
        <v>2000</v>
      </c>
      <c r="B310" s="7" t="s">
        <v>1476</v>
      </c>
      <c r="C310" s="211" t="s">
        <v>2412</v>
      </c>
      <c r="D310" s="13" t="s">
        <v>1475</v>
      </c>
      <c r="E310" s="13" t="s">
        <v>1361</v>
      </c>
      <c r="F310" s="211" t="s">
        <v>2413</v>
      </c>
      <c r="G310" s="13" t="s">
        <v>2414</v>
      </c>
      <c r="H310" s="13" t="s">
        <v>2077</v>
      </c>
      <c r="I310" s="13" t="s">
        <v>2077</v>
      </c>
      <c r="J310" s="13" t="s">
        <v>2077</v>
      </c>
      <c r="K310" s="13" t="s">
        <v>2077</v>
      </c>
      <c r="L310" s="13" t="s">
        <v>2077</v>
      </c>
      <c r="M310" s="13" t="s">
        <v>2077</v>
      </c>
      <c r="N310" s="211" t="s">
        <v>2415</v>
      </c>
      <c r="O310" s="13" t="s">
        <v>2416</v>
      </c>
      <c r="P310" s="69" t="str">
        <f t="shared" ref="P310:Q310" si="306">D310</f>
        <v>CGD ASSY BODY B</v>
      </c>
      <c r="Q310" s="13" t="str">
        <f t="shared" si="306"/>
        <v>3D2</v>
      </c>
      <c r="R310" s="212" t="s">
        <v>23</v>
      </c>
      <c r="S310" s="213">
        <v>0.76041666666666663</v>
      </c>
      <c r="T310" s="13">
        <v>85</v>
      </c>
      <c r="U310" s="211" t="s">
        <v>24</v>
      </c>
      <c r="V310" s="13">
        <v>1</v>
      </c>
      <c r="W310" s="13" t="s">
        <v>2417</v>
      </c>
      <c r="X310" s="13" t="s">
        <v>1924</v>
      </c>
      <c r="Y310" s="13" t="s">
        <v>2073</v>
      </c>
      <c r="Z310" s="13" t="s">
        <v>2073</v>
      </c>
      <c r="AA310" s="13" t="s">
        <v>2073</v>
      </c>
      <c r="AB310" s="13" t="s">
        <v>1924</v>
      </c>
      <c r="AC310" s="211" t="s">
        <v>2415</v>
      </c>
      <c r="AD310" s="13" t="s">
        <v>2416</v>
      </c>
      <c r="AE310" s="69" t="s">
        <v>1477</v>
      </c>
      <c r="AF310" s="13" t="s">
        <v>2418</v>
      </c>
      <c r="AG310" s="13" t="s">
        <v>2419</v>
      </c>
      <c r="AH310" s="13" t="s">
        <v>2420</v>
      </c>
      <c r="AI310" s="13" t="s">
        <v>2421</v>
      </c>
      <c r="AJ310" s="13" t="s">
        <v>2422</v>
      </c>
      <c r="AK310" s="13" t="s">
        <v>2416</v>
      </c>
      <c r="AL310" s="13" t="s">
        <v>2077</v>
      </c>
      <c r="AM310" s="13" t="s">
        <v>2077</v>
      </c>
      <c r="AN310" s="13" t="s">
        <v>2077</v>
      </c>
      <c r="AO310" s="13" t="s">
        <v>2077</v>
      </c>
      <c r="AP310" s="13" t="s">
        <v>2077</v>
      </c>
      <c r="AQ310" s="13" t="s">
        <v>2077</v>
      </c>
      <c r="AR310" s="13" t="s">
        <v>2418</v>
      </c>
      <c r="AS310" s="13" t="s">
        <v>2419</v>
      </c>
      <c r="AT310" s="13" t="s">
        <v>2420</v>
      </c>
      <c r="AU310" s="13" t="s">
        <v>2421</v>
      </c>
      <c r="AV310" s="13" t="s">
        <v>2422</v>
      </c>
      <c r="AW310" s="13" t="s">
        <v>2416</v>
      </c>
      <c r="AX310" s="13" t="s">
        <v>2073</v>
      </c>
      <c r="AY310" s="13" t="s">
        <v>2073</v>
      </c>
      <c r="AZ310" s="13" t="s">
        <v>2073</v>
      </c>
      <c r="BA310" s="13" t="s">
        <v>2073</v>
      </c>
      <c r="BB310" s="13" t="s">
        <v>2073</v>
      </c>
      <c r="BC310" s="13" t="s">
        <v>2073</v>
      </c>
    </row>
    <row r="311" spans="1:55" ht="15.75" customHeight="1">
      <c r="A311" s="13">
        <v>2000</v>
      </c>
      <c r="B311" s="7" t="s">
        <v>1480</v>
      </c>
      <c r="C311" s="211" t="s">
        <v>2412</v>
      </c>
      <c r="D311" s="13" t="s">
        <v>1479</v>
      </c>
      <c r="E311" s="13" t="s">
        <v>1361</v>
      </c>
      <c r="F311" s="211" t="s">
        <v>2413</v>
      </c>
      <c r="G311" s="13" t="s">
        <v>2414</v>
      </c>
      <c r="H311" s="13" t="s">
        <v>2077</v>
      </c>
      <c r="I311" s="13" t="s">
        <v>2077</v>
      </c>
      <c r="J311" s="13" t="s">
        <v>2077</v>
      </c>
      <c r="K311" s="13" t="s">
        <v>2077</v>
      </c>
      <c r="L311" s="13" t="s">
        <v>2077</v>
      </c>
      <c r="M311" s="13" t="s">
        <v>2077</v>
      </c>
      <c r="N311" s="211" t="s">
        <v>2415</v>
      </c>
      <c r="O311" s="13" t="s">
        <v>2416</v>
      </c>
      <c r="P311" s="69" t="str">
        <f t="shared" ref="P311:Q311" si="307">D311</f>
        <v>CGD TOTAL ASSY B</v>
      </c>
      <c r="Q311" s="13" t="str">
        <f t="shared" si="307"/>
        <v>3D2</v>
      </c>
      <c r="R311" s="212" t="s">
        <v>23</v>
      </c>
      <c r="S311" s="213">
        <v>0.83333333333333337</v>
      </c>
      <c r="T311" s="13">
        <v>85</v>
      </c>
      <c r="U311" s="211" t="s">
        <v>83</v>
      </c>
      <c r="V311" s="13">
        <v>1</v>
      </c>
      <c r="W311" s="13" t="s">
        <v>2417</v>
      </c>
      <c r="X311" s="13" t="s">
        <v>1924</v>
      </c>
      <c r="Y311" s="13" t="s">
        <v>2073</v>
      </c>
      <c r="Z311" s="13" t="s">
        <v>2073</v>
      </c>
      <c r="AA311" s="13" t="s">
        <v>2073</v>
      </c>
      <c r="AB311" s="13" t="s">
        <v>1924</v>
      </c>
      <c r="AC311" s="211" t="s">
        <v>2415</v>
      </c>
      <c r="AD311" s="13" t="s">
        <v>2416</v>
      </c>
      <c r="AE311" s="69" t="s">
        <v>1482</v>
      </c>
      <c r="AF311" s="13" t="s">
        <v>2418</v>
      </c>
      <c r="AG311" s="13" t="s">
        <v>2419</v>
      </c>
      <c r="AH311" s="13" t="s">
        <v>2420</v>
      </c>
      <c r="AI311" s="13" t="s">
        <v>2421</v>
      </c>
      <c r="AJ311" s="13" t="s">
        <v>2422</v>
      </c>
      <c r="AK311" s="13" t="s">
        <v>2416</v>
      </c>
      <c r="AL311" s="13" t="s">
        <v>2077</v>
      </c>
      <c r="AM311" s="13" t="s">
        <v>2077</v>
      </c>
      <c r="AN311" s="13" t="s">
        <v>2077</v>
      </c>
      <c r="AO311" s="13" t="s">
        <v>2077</v>
      </c>
      <c r="AP311" s="13" t="s">
        <v>2077</v>
      </c>
      <c r="AQ311" s="13" t="s">
        <v>2077</v>
      </c>
      <c r="AR311" s="13" t="s">
        <v>2418</v>
      </c>
      <c r="AS311" s="13" t="s">
        <v>2419</v>
      </c>
      <c r="AT311" s="13" t="s">
        <v>2420</v>
      </c>
      <c r="AU311" s="13" t="s">
        <v>2421</v>
      </c>
      <c r="AV311" s="13" t="s">
        <v>2422</v>
      </c>
      <c r="AW311" s="13" t="s">
        <v>2416</v>
      </c>
      <c r="AX311" s="13" t="s">
        <v>2073</v>
      </c>
      <c r="AY311" s="13" t="s">
        <v>2073</v>
      </c>
      <c r="AZ311" s="13" t="s">
        <v>2073</v>
      </c>
      <c r="BA311" s="13" t="s">
        <v>2073</v>
      </c>
      <c r="BB311" s="13" t="s">
        <v>2073</v>
      </c>
      <c r="BC311" s="13" t="s">
        <v>2073</v>
      </c>
    </row>
    <row r="312" spans="1:55" ht="15.75" customHeight="1">
      <c r="A312" s="13">
        <v>2000</v>
      </c>
      <c r="B312" s="7" t="s">
        <v>1486</v>
      </c>
      <c r="C312" s="211" t="s">
        <v>2412</v>
      </c>
      <c r="D312" s="13" t="s">
        <v>1485</v>
      </c>
      <c r="E312" s="13" t="s">
        <v>1361</v>
      </c>
      <c r="F312" s="211" t="s">
        <v>2413</v>
      </c>
      <c r="G312" s="13" t="s">
        <v>2414</v>
      </c>
      <c r="H312" s="13" t="s">
        <v>2077</v>
      </c>
      <c r="I312" s="13" t="s">
        <v>2077</v>
      </c>
      <c r="J312" s="13" t="s">
        <v>2077</v>
      </c>
      <c r="K312" s="13" t="s">
        <v>2077</v>
      </c>
      <c r="L312" s="13" t="s">
        <v>2077</v>
      </c>
      <c r="M312" s="13" t="s">
        <v>2077</v>
      </c>
      <c r="N312" s="211" t="s">
        <v>2415</v>
      </c>
      <c r="O312" s="13" t="s">
        <v>2416</v>
      </c>
      <c r="P312" s="69" t="str">
        <f t="shared" ref="P312:Q312" si="308">D312</f>
        <v>CGD PAINTING 1</v>
      </c>
      <c r="Q312" s="13" t="str">
        <f t="shared" si="308"/>
        <v>3D2</v>
      </c>
      <c r="R312" s="212" t="s">
        <v>23</v>
      </c>
      <c r="S312" s="213">
        <v>0.83333333333333337</v>
      </c>
      <c r="T312" s="13">
        <v>85</v>
      </c>
      <c r="U312" s="211" t="s">
        <v>83</v>
      </c>
      <c r="V312" s="13">
        <v>1</v>
      </c>
      <c r="W312" s="13" t="s">
        <v>2417</v>
      </c>
      <c r="X312" s="13" t="s">
        <v>1924</v>
      </c>
      <c r="Y312" s="13" t="s">
        <v>2073</v>
      </c>
      <c r="Z312" s="13" t="s">
        <v>2073</v>
      </c>
      <c r="AA312" s="13" t="s">
        <v>2073</v>
      </c>
      <c r="AB312" s="13" t="s">
        <v>1924</v>
      </c>
      <c r="AC312" s="211" t="s">
        <v>2415</v>
      </c>
      <c r="AD312" s="13" t="s">
        <v>2416</v>
      </c>
      <c r="AE312" s="69">
        <v>1112033102</v>
      </c>
      <c r="AF312" s="13" t="s">
        <v>2418</v>
      </c>
      <c r="AG312" s="13" t="s">
        <v>2419</v>
      </c>
      <c r="AH312" s="13" t="s">
        <v>2420</v>
      </c>
      <c r="AI312" s="13" t="s">
        <v>2421</v>
      </c>
      <c r="AJ312" s="13" t="s">
        <v>2422</v>
      </c>
      <c r="AK312" s="13" t="s">
        <v>2416</v>
      </c>
      <c r="AL312" s="13" t="s">
        <v>2077</v>
      </c>
      <c r="AM312" s="13" t="s">
        <v>2077</v>
      </c>
      <c r="AN312" s="13" t="s">
        <v>2077</v>
      </c>
      <c r="AO312" s="13" t="s">
        <v>2077</v>
      </c>
      <c r="AP312" s="13" t="s">
        <v>2077</v>
      </c>
      <c r="AQ312" s="13" t="s">
        <v>2077</v>
      </c>
      <c r="AR312" s="13" t="s">
        <v>2418</v>
      </c>
      <c r="AS312" s="13" t="s">
        <v>2419</v>
      </c>
      <c r="AT312" s="13" t="s">
        <v>2420</v>
      </c>
      <c r="AU312" s="13" t="s">
        <v>2421</v>
      </c>
      <c r="AV312" s="13" t="s">
        <v>2422</v>
      </c>
      <c r="AW312" s="13" t="s">
        <v>2416</v>
      </c>
      <c r="AX312" s="13" t="s">
        <v>2073</v>
      </c>
      <c r="AY312" s="13" t="s">
        <v>2073</v>
      </c>
      <c r="AZ312" s="13" t="s">
        <v>2073</v>
      </c>
      <c r="BA312" s="13" t="s">
        <v>2073</v>
      </c>
      <c r="BB312" s="13" t="s">
        <v>2073</v>
      </c>
      <c r="BC312" s="13" t="s">
        <v>2073</v>
      </c>
    </row>
    <row r="313" spans="1:55" ht="15.75" customHeight="1">
      <c r="A313" s="13">
        <v>2000</v>
      </c>
      <c r="B313" s="7" t="s">
        <v>1489</v>
      </c>
      <c r="C313" s="211" t="s">
        <v>2412</v>
      </c>
      <c r="D313" s="13" t="s">
        <v>1488</v>
      </c>
      <c r="E313" s="13" t="s">
        <v>1361</v>
      </c>
      <c r="F313" s="211" t="s">
        <v>2413</v>
      </c>
      <c r="G313" s="13" t="s">
        <v>2414</v>
      </c>
      <c r="H313" s="13" t="s">
        <v>2077</v>
      </c>
      <c r="I313" s="13" t="s">
        <v>2077</v>
      </c>
      <c r="J313" s="13" t="s">
        <v>2077</v>
      </c>
      <c r="K313" s="13" t="s">
        <v>2077</v>
      </c>
      <c r="L313" s="13" t="s">
        <v>2077</v>
      </c>
      <c r="M313" s="13" t="s">
        <v>2077</v>
      </c>
      <c r="N313" s="211" t="s">
        <v>2415</v>
      </c>
      <c r="O313" s="13" t="s">
        <v>2416</v>
      </c>
      <c r="P313" s="69" t="str">
        <f t="shared" ref="P313:Q313" si="309">D313</f>
        <v>CGD PAINTING 2</v>
      </c>
      <c r="Q313" s="13" t="str">
        <f t="shared" si="309"/>
        <v>3D2</v>
      </c>
      <c r="R313" s="212" t="s">
        <v>23</v>
      </c>
      <c r="S313" s="213">
        <v>0.83333333333333337</v>
      </c>
      <c r="T313" s="13">
        <v>85</v>
      </c>
      <c r="U313" s="211" t="s">
        <v>83</v>
      </c>
      <c r="V313" s="13">
        <v>1</v>
      </c>
      <c r="W313" s="13" t="s">
        <v>2417</v>
      </c>
      <c r="X313" s="13" t="s">
        <v>1924</v>
      </c>
      <c r="Y313" s="13" t="s">
        <v>2073</v>
      </c>
      <c r="Z313" s="13" t="s">
        <v>2073</v>
      </c>
      <c r="AA313" s="13" t="s">
        <v>2073</v>
      </c>
      <c r="AB313" s="13" t="s">
        <v>1924</v>
      </c>
      <c r="AC313" s="211" t="s">
        <v>2415</v>
      </c>
      <c r="AD313" s="13" t="s">
        <v>2416</v>
      </c>
      <c r="AE313" s="69">
        <v>1112033103</v>
      </c>
      <c r="AF313" s="13" t="s">
        <v>2418</v>
      </c>
      <c r="AG313" s="13" t="s">
        <v>2419</v>
      </c>
      <c r="AH313" s="13" t="s">
        <v>2420</v>
      </c>
      <c r="AI313" s="13" t="s">
        <v>2421</v>
      </c>
      <c r="AJ313" s="13" t="s">
        <v>2422</v>
      </c>
      <c r="AK313" s="13" t="s">
        <v>2416</v>
      </c>
      <c r="AL313" s="13" t="s">
        <v>2077</v>
      </c>
      <c r="AM313" s="13" t="s">
        <v>2077</v>
      </c>
      <c r="AN313" s="13" t="s">
        <v>2077</v>
      </c>
      <c r="AO313" s="13" t="s">
        <v>2077</v>
      </c>
      <c r="AP313" s="13" t="s">
        <v>2077</v>
      </c>
      <c r="AQ313" s="13" t="s">
        <v>2077</v>
      </c>
      <c r="AR313" s="13" t="s">
        <v>2418</v>
      </c>
      <c r="AS313" s="13" t="s">
        <v>2419</v>
      </c>
      <c r="AT313" s="13" t="s">
        <v>2420</v>
      </c>
      <c r="AU313" s="13" t="s">
        <v>2421</v>
      </c>
      <c r="AV313" s="13" t="s">
        <v>2422</v>
      </c>
      <c r="AW313" s="13" t="s">
        <v>2416</v>
      </c>
      <c r="AX313" s="13" t="s">
        <v>2073</v>
      </c>
      <c r="AY313" s="13" t="s">
        <v>2073</v>
      </c>
      <c r="AZ313" s="13" t="s">
        <v>2073</v>
      </c>
      <c r="BA313" s="13" t="s">
        <v>2073</v>
      </c>
      <c r="BB313" s="13" t="s">
        <v>2073</v>
      </c>
      <c r="BC313" s="13" t="s">
        <v>2073</v>
      </c>
    </row>
    <row r="314" spans="1:55" ht="15.75" customHeight="1">
      <c r="A314" s="13">
        <v>2000</v>
      </c>
      <c r="B314" s="7" t="s">
        <v>1492</v>
      </c>
      <c r="C314" s="211" t="s">
        <v>2412</v>
      </c>
      <c r="D314" s="13" t="s">
        <v>1491</v>
      </c>
      <c r="E314" s="13" t="s">
        <v>1361</v>
      </c>
      <c r="F314" s="211" t="s">
        <v>2413</v>
      </c>
      <c r="G314" s="13" t="s">
        <v>2414</v>
      </c>
      <c r="H314" s="13" t="s">
        <v>2077</v>
      </c>
      <c r="I314" s="13" t="s">
        <v>2077</v>
      </c>
      <c r="J314" s="13" t="s">
        <v>2077</v>
      </c>
      <c r="K314" s="13" t="s">
        <v>2077</v>
      </c>
      <c r="L314" s="13" t="s">
        <v>2077</v>
      </c>
      <c r="M314" s="13" t="s">
        <v>2077</v>
      </c>
      <c r="N314" s="211" t="s">
        <v>2415</v>
      </c>
      <c r="O314" s="13" t="s">
        <v>2416</v>
      </c>
      <c r="P314" s="69" t="str">
        <f t="shared" ref="P314:Q314" si="310">D314</f>
        <v>CGD PAINTING 3</v>
      </c>
      <c r="Q314" s="13" t="str">
        <f t="shared" si="310"/>
        <v>3D2</v>
      </c>
      <c r="R314" s="212" t="s">
        <v>23</v>
      </c>
      <c r="S314" s="213">
        <v>0.83333333333333337</v>
      </c>
      <c r="T314" s="13">
        <v>85</v>
      </c>
      <c r="U314" s="211" t="s">
        <v>83</v>
      </c>
      <c r="V314" s="13">
        <v>1</v>
      </c>
      <c r="W314" s="13" t="s">
        <v>2417</v>
      </c>
      <c r="X314" s="13" t="s">
        <v>1924</v>
      </c>
      <c r="Y314" s="13" t="s">
        <v>2073</v>
      </c>
      <c r="Z314" s="13" t="s">
        <v>2073</v>
      </c>
      <c r="AA314" s="13" t="s">
        <v>2073</v>
      </c>
      <c r="AB314" s="13" t="s">
        <v>1924</v>
      </c>
      <c r="AC314" s="211" t="s">
        <v>2415</v>
      </c>
      <c r="AD314" s="13" t="s">
        <v>2416</v>
      </c>
      <c r="AE314" s="69">
        <v>1112033104</v>
      </c>
      <c r="AF314" s="13" t="s">
        <v>2418</v>
      </c>
      <c r="AG314" s="13" t="s">
        <v>2419</v>
      </c>
      <c r="AH314" s="13" t="s">
        <v>2420</v>
      </c>
      <c r="AI314" s="13" t="s">
        <v>2421</v>
      </c>
      <c r="AJ314" s="13" t="s">
        <v>2422</v>
      </c>
      <c r="AK314" s="13" t="s">
        <v>2416</v>
      </c>
      <c r="AL314" s="13" t="s">
        <v>2077</v>
      </c>
      <c r="AM314" s="13" t="s">
        <v>2077</v>
      </c>
      <c r="AN314" s="13" t="s">
        <v>2077</v>
      </c>
      <c r="AO314" s="13" t="s">
        <v>2077</v>
      </c>
      <c r="AP314" s="13" t="s">
        <v>2077</v>
      </c>
      <c r="AQ314" s="13" t="s">
        <v>2077</v>
      </c>
      <c r="AR314" s="13" t="s">
        <v>2418</v>
      </c>
      <c r="AS314" s="13" t="s">
        <v>2419</v>
      </c>
      <c r="AT314" s="13" t="s">
        <v>2420</v>
      </c>
      <c r="AU314" s="13" t="s">
        <v>2421</v>
      </c>
      <c r="AV314" s="13" t="s">
        <v>2422</v>
      </c>
      <c r="AW314" s="13" t="s">
        <v>2416</v>
      </c>
      <c r="AX314" s="13" t="s">
        <v>2073</v>
      </c>
      <c r="AY314" s="13" t="s">
        <v>2073</v>
      </c>
      <c r="AZ314" s="13" t="s">
        <v>2073</v>
      </c>
      <c r="BA314" s="13" t="s">
        <v>2073</v>
      </c>
      <c r="BB314" s="13" t="s">
        <v>2073</v>
      </c>
      <c r="BC314" s="13" t="s">
        <v>2073</v>
      </c>
    </row>
    <row r="315" spans="1:55" ht="15.75" customHeight="1">
      <c r="A315" s="13">
        <v>2000</v>
      </c>
      <c r="B315" s="7" t="s">
        <v>1495</v>
      </c>
      <c r="C315" s="211" t="s">
        <v>2412</v>
      </c>
      <c r="D315" s="13" t="s">
        <v>1494</v>
      </c>
      <c r="E315" s="13" t="s">
        <v>1361</v>
      </c>
      <c r="F315" s="211" t="s">
        <v>2413</v>
      </c>
      <c r="G315" s="13" t="s">
        <v>2414</v>
      </c>
      <c r="H315" s="13" t="s">
        <v>2077</v>
      </c>
      <c r="I315" s="13" t="s">
        <v>2077</v>
      </c>
      <c r="J315" s="13" t="s">
        <v>2077</v>
      </c>
      <c r="K315" s="13" t="s">
        <v>2077</v>
      </c>
      <c r="L315" s="13" t="s">
        <v>2077</v>
      </c>
      <c r="M315" s="13" t="s">
        <v>2077</v>
      </c>
      <c r="N315" s="211" t="s">
        <v>2415</v>
      </c>
      <c r="O315" s="13" t="s">
        <v>2416</v>
      </c>
      <c r="P315" s="69" t="str">
        <f t="shared" ref="P315:Q315" si="311">D315</f>
        <v>CGD PAINTING 4</v>
      </c>
      <c r="Q315" s="13" t="str">
        <f t="shared" si="311"/>
        <v>3D2</v>
      </c>
      <c r="R315" s="212" t="s">
        <v>23</v>
      </c>
      <c r="S315" s="213">
        <v>0.83333333333333337</v>
      </c>
      <c r="T315" s="13">
        <v>85</v>
      </c>
      <c r="U315" s="211" t="s">
        <v>83</v>
      </c>
      <c r="V315" s="13">
        <v>1</v>
      </c>
      <c r="W315" s="13" t="s">
        <v>2417</v>
      </c>
      <c r="X315" s="13" t="s">
        <v>1924</v>
      </c>
      <c r="Y315" s="13" t="s">
        <v>2073</v>
      </c>
      <c r="Z315" s="13" t="s">
        <v>2073</v>
      </c>
      <c r="AA315" s="13" t="s">
        <v>2073</v>
      </c>
      <c r="AB315" s="13" t="s">
        <v>1924</v>
      </c>
      <c r="AC315" s="211" t="s">
        <v>2415</v>
      </c>
      <c r="AD315" s="13" t="s">
        <v>2416</v>
      </c>
      <c r="AE315" s="69">
        <v>1112033105</v>
      </c>
      <c r="AF315" s="13" t="s">
        <v>2418</v>
      </c>
      <c r="AG315" s="13" t="s">
        <v>2419</v>
      </c>
      <c r="AH315" s="13" t="s">
        <v>2420</v>
      </c>
      <c r="AI315" s="13" t="s">
        <v>2421</v>
      </c>
      <c r="AJ315" s="13" t="s">
        <v>2422</v>
      </c>
      <c r="AK315" s="13" t="s">
        <v>2416</v>
      </c>
      <c r="AL315" s="13" t="s">
        <v>2077</v>
      </c>
      <c r="AM315" s="13" t="s">
        <v>2077</v>
      </c>
      <c r="AN315" s="13" t="s">
        <v>2077</v>
      </c>
      <c r="AO315" s="13" t="s">
        <v>2077</v>
      </c>
      <c r="AP315" s="13" t="s">
        <v>2077</v>
      </c>
      <c r="AQ315" s="13" t="s">
        <v>2077</v>
      </c>
      <c r="AR315" s="13" t="s">
        <v>2418</v>
      </c>
      <c r="AS315" s="13" t="s">
        <v>2419</v>
      </c>
      <c r="AT315" s="13" t="s">
        <v>2420</v>
      </c>
      <c r="AU315" s="13" t="s">
        <v>2421</v>
      </c>
      <c r="AV315" s="13" t="s">
        <v>2422</v>
      </c>
      <c r="AW315" s="13" t="s">
        <v>2416</v>
      </c>
      <c r="AX315" s="13" t="s">
        <v>2073</v>
      </c>
      <c r="AY315" s="13" t="s">
        <v>2073</v>
      </c>
      <c r="AZ315" s="13" t="s">
        <v>2073</v>
      </c>
      <c r="BA315" s="13" t="s">
        <v>2073</v>
      </c>
      <c r="BB315" s="13" t="s">
        <v>2073</v>
      </c>
      <c r="BC315" s="13" t="s">
        <v>2073</v>
      </c>
    </row>
    <row r="316" spans="1:55" ht="15.75" customHeight="1">
      <c r="A316" s="13">
        <v>2000</v>
      </c>
      <c r="B316" s="7" t="s">
        <v>1498</v>
      </c>
      <c r="C316" s="211" t="s">
        <v>2412</v>
      </c>
      <c r="D316" s="13" t="s">
        <v>1497</v>
      </c>
      <c r="E316" s="13" t="s">
        <v>1361</v>
      </c>
      <c r="F316" s="211" t="s">
        <v>2413</v>
      </c>
      <c r="G316" s="13" t="s">
        <v>2414</v>
      </c>
      <c r="H316" s="13" t="s">
        <v>2077</v>
      </c>
      <c r="I316" s="13" t="s">
        <v>2077</v>
      </c>
      <c r="J316" s="13" t="s">
        <v>2077</v>
      </c>
      <c r="K316" s="13" t="s">
        <v>2077</v>
      </c>
      <c r="L316" s="13" t="s">
        <v>2077</v>
      </c>
      <c r="M316" s="13" t="s">
        <v>2077</v>
      </c>
      <c r="N316" s="211" t="s">
        <v>2415</v>
      </c>
      <c r="O316" s="13" t="s">
        <v>2416</v>
      </c>
      <c r="P316" s="69" t="str">
        <f t="shared" ref="P316:Q316" si="312">D316</f>
        <v>CGD PAINTING 5</v>
      </c>
      <c r="Q316" s="13" t="str">
        <f t="shared" si="312"/>
        <v>3D2</v>
      </c>
      <c r="R316" s="212" t="s">
        <v>23</v>
      </c>
      <c r="S316" s="213">
        <v>0.83333333333333337</v>
      </c>
      <c r="T316" s="13">
        <v>85</v>
      </c>
      <c r="U316" s="211" t="s">
        <v>83</v>
      </c>
      <c r="V316" s="13">
        <v>1</v>
      </c>
      <c r="W316" s="13" t="s">
        <v>2417</v>
      </c>
      <c r="X316" s="13" t="s">
        <v>1924</v>
      </c>
      <c r="Y316" s="13" t="s">
        <v>2073</v>
      </c>
      <c r="Z316" s="13" t="s">
        <v>2073</v>
      </c>
      <c r="AA316" s="13" t="s">
        <v>2073</v>
      </c>
      <c r="AB316" s="13" t="s">
        <v>1924</v>
      </c>
      <c r="AC316" s="211" t="s">
        <v>2415</v>
      </c>
      <c r="AD316" s="13" t="s">
        <v>2416</v>
      </c>
      <c r="AE316" s="69">
        <v>1112033106</v>
      </c>
      <c r="AF316" s="13" t="s">
        <v>2418</v>
      </c>
      <c r="AG316" s="13" t="s">
        <v>2419</v>
      </c>
      <c r="AH316" s="13" t="s">
        <v>2420</v>
      </c>
      <c r="AI316" s="13" t="s">
        <v>2421</v>
      </c>
      <c r="AJ316" s="13" t="s">
        <v>2422</v>
      </c>
      <c r="AK316" s="13" t="s">
        <v>2416</v>
      </c>
      <c r="AL316" s="13" t="s">
        <v>2077</v>
      </c>
      <c r="AM316" s="13" t="s">
        <v>2077</v>
      </c>
      <c r="AN316" s="13" t="s">
        <v>2077</v>
      </c>
      <c r="AO316" s="13" t="s">
        <v>2077</v>
      </c>
      <c r="AP316" s="13" t="s">
        <v>2077</v>
      </c>
      <c r="AQ316" s="13" t="s">
        <v>2077</v>
      </c>
      <c r="AR316" s="13" t="s">
        <v>2418</v>
      </c>
      <c r="AS316" s="13" t="s">
        <v>2419</v>
      </c>
      <c r="AT316" s="13" t="s">
        <v>2420</v>
      </c>
      <c r="AU316" s="13" t="s">
        <v>2421</v>
      </c>
      <c r="AV316" s="13" t="s">
        <v>2422</v>
      </c>
      <c r="AW316" s="13" t="s">
        <v>2416</v>
      </c>
      <c r="AX316" s="13" t="s">
        <v>2073</v>
      </c>
      <c r="AY316" s="13" t="s">
        <v>2073</v>
      </c>
      <c r="AZ316" s="13" t="s">
        <v>2073</v>
      </c>
      <c r="BA316" s="13" t="s">
        <v>2073</v>
      </c>
      <c r="BB316" s="13" t="s">
        <v>2073</v>
      </c>
      <c r="BC316" s="13" t="s">
        <v>2073</v>
      </c>
    </row>
    <row r="317" spans="1:55" ht="15.75" customHeight="1">
      <c r="A317" s="13">
        <v>2000</v>
      </c>
      <c r="B317" s="7" t="s">
        <v>1501</v>
      </c>
      <c r="C317" s="211" t="s">
        <v>2412</v>
      </c>
      <c r="D317" s="13" t="s">
        <v>1500</v>
      </c>
      <c r="E317" s="13" t="s">
        <v>1361</v>
      </c>
      <c r="F317" s="211" t="s">
        <v>2413</v>
      </c>
      <c r="G317" s="13" t="s">
        <v>2414</v>
      </c>
      <c r="H317" s="13" t="s">
        <v>2077</v>
      </c>
      <c r="I317" s="13" t="s">
        <v>2077</v>
      </c>
      <c r="J317" s="13" t="s">
        <v>2077</v>
      </c>
      <c r="K317" s="13" t="s">
        <v>2077</v>
      </c>
      <c r="L317" s="13" t="s">
        <v>2077</v>
      </c>
      <c r="M317" s="13" t="s">
        <v>2077</v>
      </c>
      <c r="N317" s="211" t="s">
        <v>2415</v>
      </c>
      <c r="O317" s="13" t="s">
        <v>2416</v>
      </c>
      <c r="P317" s="69" t="str">
        <f t="shared" ref="P317:Q317" si="313">D317</f>
        <v>CGD PAINTING 6</v>
      </c>
      <c r="Q317" s="13" t="str">
        <f t="shared" si="313"/>
        <v>3D2</v>
      </c>
      <c r="R317" s="212" t="s">
        <v>23</v>
      </c>
      <c r="S317" s="213">
        <v>0.83333333333333337</v>
      </c>
      <c r="T317" s="13">
        <v>85</v>
      </c>
      <c r="U317" s="211" t="s">
        <v>83</v>
      </c>
      <c r="V317" s="13">
        <v>1</v>
      </c>
      <c r="W317" s="13" t="s">
        <v>2417</v>
      </c>
      <c r="X317" s="13" t="s">
        <v>1924</v>
      </c>
      <c r="Y317" s="13" t="s">
        <v>2073</v>
      </c>
      <c r="Z317" s="13" t="s">
        <v>2073</v>
      </c>
      <c r="AA317" s="13" t="s">
        <v>2073</v>
      </c>
      <c r="AB317" s="13" t="s">
        <v>1924</v>
      </c>
      <c r="AC317" s="211" t="s">
        <v>2415</v>
      </c>
      <c r="AD317" s="13" t="s">
        <v>2416</v>
      </c>
      <c r="AE317" s="69">
        <v>1112033107</v>
      </c>
      <c r="AF317" s="13" t="s">
        <v>2418</v>
      </c>
      <c r="AG317" s="13" t="s">
        <v>2419</v>
      </c>
      <c r="AH317" s="13" t="s">
        <v>2420</v>
      </c>
      <c r="AI317" s="13" t="s">
        <v>2421</v>
      </c>
      <c r="AJ317" s="13" t="s">
        <v>2422</v>
      </c>
      <c r="AK317" s="13" t="s">
        <v>2416</v>
      </c>
      <c r="AL317" s="13" t="s">
        <v>2077</v>
      </c>
      <c r="AM317" s="13" t="s">
        <v>2077</v>
      </c>
      <c r="AN317" s="13" t="s">
        <v>2077</v>
      </c>
      <c r="AO317" s="13" t="s">
        <v>2077</v>
      </c>
      <c r="AP317" s="13" t="s">
        <v>2077</v>
      </c>
      <c r="AQ317" s="13" t="s">
        <v>2077</v>
      </c>
      <c r="AR317" s="13" t="s">
        <v>2418</v>
      </c>
      <c r="AS317" s="13" t="s">
        <v>2419</v>
      </c>
      <c r="AT317" s="13" t="s">
        <v>2420</v>
      </c>
      <c r="AU317" s="13" t="s">
        <v>2421</v>
      </c>
      <c r="AV317" s="13" t="s">
        <v>2422</v>
      </c>
      <c r="AW317" s="13" t="s">
        <v>2416</v>
      </c>
      <c r="AX317" s="13" t="s">
        <v>2073</v>
      </c>
      <c r="AY317" s="13" t="s">
        <v>2073</v>
      </c>
      <c r="AZ317" s="13" t="s">
        <v>2073</v>
      </c>
      <c r="BA317" s="13" t="s">
        <v>2073</v>
      </c>
      <c r="BB317" s="13" t="s">
        <v>2073</v>
      </c>
      <c r="BC317" s="13" t="s">
        <v>2073</v>
      </c>
    </row>
    <row r="318" spans="1:55" ht="15.75" customHeight="1">
      <c r="A318" s="13">
        <v>2000</v>
      </c>
      <c r="B318" s="7" t="s">
        <v>1504</v>
      </c>
      <c r="C318" s="211" t="s">
        <v>2412</v>
      </c>
      <c r="D318" s="13" t="s">
        <v>1503</v>
      </c>
      <c r="E318" s="13" t="s">
        <v>1361</v>
      </c>
      <c r="F318" s="211" t="s">
        <v>2413</v>
      </c>
      <c r="G318" s="13" t="s">
        <v>2414</v>
      </c>
      <c r="H318" s="13" t="s">
        <v>2077</v>
      </c>
      <c r="I318" s="13" t="s">
        <v>2077</v>
      </c>
      <c r="J318" s="13" t="s">
        <v>2077</v>
      </c>
      <c r="K318" s="13" t="s">
        <v>2077</v>
      </c>
      <c r="L318" s="13" t="s">
        <v>2077</v>
      </c>
      <c r="M318" s="13" t="s">
        <v>2077</v>
      </c>
      <c r="N318" s="211" t="s">
        <v>2415</v>
      </c>
      <c r="O318" s="13" t="s">
        <v>2416</v>
      </c>
      <c r="P318" s="69" t="str">
        <f t="shared" ref="P318:Q318" si="314">D318</f>
        <v>CGD PAINTING 7</v>
      </c>
      <c r="Q318" s="13" t="str">
        <f t="shared" si="314"/>
        <v>3D2</v>
      </c>
      <c r="R318" s="212" t="s">
        <v>23</v>
      </c>
      <c r="S318" s="213">
        <v>0.83333333333333337</v>
      </c>
      <c r="T318" s="13">
        <v>85</v>
      </c>
      <c r="U318" s="211" t="s">
        <v>83</v>
      </c>
      <c r="V318" s="13">
        <v>1</v>
      </c>
      <c r="W318" s="13" t="s">
        <v>2417</v>
      </c>
      <c r="X318" s="13" t="s">
        <v>1924</v>
      </c>
      <c r="Y318" s="13" t="s">
        <v>2073</v>
      </c>
      <c r="Z318" s="13" t="s">
        <v>2073</v>
      </c>
      <c r="AA318" s="13" t="s">
        <v>2073</v>
      </c>
      <c r="AB318" s="13" t="s">
        <v>1924</v>
      </c>
      <c r="AC318" s="211" t="s">
        <v>2415</v>
      </c>
      <c r="AD318" s="13" t="s">
        <v>2416</v>
      </c>
      <c r="AE318" s="69">
        <v>1112033108</v>
      </c>
      <c r="AF318" s="13" t="s">
        <v>2418</v>
      </c>
      <c r="AG318" s="13" t="s">
        <v>2419</v>
      </c>
      <c r="AH318" s="13" t="s">
        <v>2420</v>
      </c>
      <c r="AI318" s="13" t="s">
        <v>2421</v>
      </c>
      <c r="AJ318" s="13" t="s">
        <v>2422</v>
      </c>
      <c r="AK318" s="13" t="s">
        <v>2416</v>
      </c>
      <c r="AL318" s="13" t="s">
        <v>2077</v>
      </c>
      <c r="AM318" s="13" t="s">
        <v>2077</v>
      </c>
      <c r="AN318" s="13" t="s">
        <v>2077</v>
      </c>
      <c r="AO318" s="13" t="s">
        <v>2077</v>
      </c>
      <c r="AP318" s="13" t="s">
        <v>2077</v>
      </c>
      <c r="AQ318" s="13" t="s">
        <v>2077</v>
      </c>
      <c r="AR318" s="13" t="s">
        <v>2418</v>
      </c>
      <c r="AS318" s="13" t="s">
        <v>2419</v>
      </c>
      <c r="AT318" s="13" t="s">
        <v>2420</v>
      </c>
      <c r="AU318" s="13" t="s">
        <v>2421</v>
      </c>
      <c r="AV318" s="13" t="s">
        <v>2422</v>
      </c>
      <c r="AW318" s="13" t="s">
        <v>2416</v>
      </c>
      <c r="AX318" s="13" t="s">
        <v>2073</v>
      </c>
      <c r="AY318" s="13" t="s">
        <v>2073</v>
      </c>
      <c r="AZ318" s="13" t="s">
        <v>2073</v>
      </c>
      <c r="BA318" s="13" t="s">
        <v>2073</v>
      </c>
      <c r="BB318" s="13" t="s">
        <v>2073</v>
      </c>
      <c r="BC318" s="13" t="s">
        <v>2073</v>
      </c>
    </row>
    <row r="319" spans="1:55" ht="15.75" customHeight="1">
      <c r="A319" s="13">
        <v>2000</v>
      </c>
      <c r="B319" s="7" t="s">
        <v>1507</v>
      </c>
      <c r="C319" s="211" t="s">
        <v>2412</v>
      </c>
      <c r="D319" s="13" t="s">
        <v>1506</v>
      </c>
      <c r="E319" s="13" t="s">
        <v>1361</v>
      </c>
      <c r="F319" s="211" t="s">
        <v>2413</v>
      </c>
      <c r="G319" s="13" t="s">
        <v>2414</v>
      </c>
      <c r="H319" s="13" t="s">
        <v>2077</v>
      </c>
      <c r="I319" s="13" t="s">
        <v>2077</v>
      </c>
      <c r="J319" s="13" t="s">
        <v>2077</v>
      </c>
      <c r="K319" s="13" t="s">
        <v>2077</v>
      </c>
      <c r="L319" s="13" t="s">
        <v>2077</v>
      </c>
      <c r="M319" s="13" t="s">
        <v>2077</v>
      </c>
      <c r="N319" s="211" t="s">
        <v>2415</v>
      </c>
      <c r="O319" s="13" t="s">
        <v>2416</v>
      </c>
      <c r="P319" s="69" t="str">
        <f t="shared" ref="P319:Q319" si="315">D319</f>
        <v>CGD PAINTING 8</v>
      </c>
      <c r="Q319" s="13" t="str">
        <f t="shared" si="315"/>
        <v>3D2</v>
      </c>
      <c r="R319" s="212" t="s">
        <v>23</v>
      </c>
      <c r="S319" s="213">
        <v>0.83333333333333337</v>
      </c>
      <c r="T319" s="13">
        <v>85</v>
      </c>
      <c r="U319" s="211" t="s">
        <v>83</v>
      </c>
      <c r="V319" s="13">
        <v>1</v>
      </c>
      <c r="W319" s="13" t="s">
        <v>2417</v>
      </c>
      <c r="X319" s="13" t="s">
        <v>1924</v>
      </c>
      <c r="Y319" s="13" t="s">
        <v>2073</v>
      </c>
      <c r="Z319" s="13" t="s">
        <v>2073</v>
      </c>
      <c r="AA319" s="13" t="s">
        <v>2073</v>
      </c>
      <c r="AB319" s="13" t="s">
        <v>1924</v>
      </c>
      <c r="AC319" s="211" t="s">
        <v>2415</v>
      </c>
      <c r="AD319" s="13" t="s">
        <v>2416</v>
      </c>
      <c r="AE319" s="69">
        <v>1112033109</v>
      </c>
      <c r="AF319" s="13" t="s">
        <v>2418</v>
      </c>
      <c r="AG319" s="13" t="s">
        <v>2419</v>
      </c>
      <c r="AH319" s="13" t="s">
        <v>2420</v>
      </c>
      <c r="AI319" s="13" t="s">
        <v>2421</v>
      </c>
      <c r="AJ319" s="13" t="s">
        <v>2422</v>
      </c>
      <c r="AK319" s="13" t="s">
        <v>2416</v>
      </c>
      <c r="AL319" s="13" t="s">
        <v>2077</v>
      </c>
      <c r="AM319" s="13" t="s">
        <v>2077</v>
      </c>
      <c r="AN319" s="13" t="s">
        <v>2077</v>
      </c>
      <c r="AO319" s="13" t="s">
        <v>2077</v>
      </c>
      <c r="AP319" s="13" t="s">
        <v>2077</v>
      </c>
      <c r="AQ319" s="13" t="s">
        <v>2077</v>
      </c>
      <c r="AR319" s="13" t="s">
        <v>2418</v>
      </c>
      <c r="AS319" s="13" t="s">
        <v>2419</v>
      </c>
      <c r="AT319" s="13" t="s">
        <v>2420</v>
      </c>
      <c r="AU319" s="13" t="s">
        <v>2421</v>
      </c>
      <c r="AV319" s="13" t="s">
        <v>2422</v>
      </c>
      <c r="AW319" s="13" t="s">
        <v>2416</v>
      </c>
      <c r="AX319" s="13" t="s">
        <v>2073</v>
      </c>
      <c r="AY319" s="13" t="s">
        <v>2073</v>
      </c>
      <c r="AZ319" s="13" t="s">
        <v>2073</v>
      </c>
      <c r="BA319" s="13" t="s">
        <v>2073</v>
      </c>
      <c r="BB319" s="13" t="s">
        <v>2073</v>
      </c>
      <c r="BC319" s="13" t="s">
        <v>2073</v>
      </c>
    </row>
    <row r="320" spans="1:55" ht="15.75" customHeight="1">
      <c r="A320" s="13">
        <v>2000</v>
      </c>
      <c r="B320" s="7" t="s">
        <v>1510</v>
      </c>
      <c r="C320" s="211" t="s">
        <v>2412</v>
      </c>
      <c r="D320" s="13" t="s">
        <v>1509</v>
      </c>
      <c r="E320" s="13" t="s">
        <v>1361</v>
      </c>
      <c r="F320" s="211" t="s">
        <v>2413</v>
      </c>
      <c r="G320" s="13" t="s">
        <v>2414</v>
      </c>
      <c r="H320" s="13" t="s">
        <v>2077</v>
      </c>
      <c r="I320" s="13" t="s">
        <v>2077</v>
      </c>
      <c r="J320" s="13" t="s">
        <v>2077</v>
      </c>
      <c r="K320" s="13" t="s">
        <v>2077</v>
      </c>
      <c r="L320" s="13" t="s">
        <v>2077</v>
      </c>
      <c r="M320" s="13" t="s">
        <v>2077</v>
      </c>
      <c r="N320" s="211" t="s">
        <v>2415</v>
      </c>
      <c r="O320" s="13" t="s">
        <v>2416</v>
      </c>
      <c r="P320" s="69" t="str">
        <f t="shared" ref="P320:Q320" si="316">D320</f>
        <v>CGD PAINTING 9</v>
      </c>
      <c r="Q320" s="13" t="str">
        <f t="shared" si="316"/>
        <v>3D2</v>
      </c>
      <c r="R320" s="212" t="s">
        <v>23</v>
      </c>
      <c r="S320" s="213">
        <v>0.83333333333333337</v>
      </c>
      <c r="T320" s="13">
        <v>85</v>
      </c>
      <c r="U320" s="211" t="s">
        <v>83</v>
      </c>
      <c r="V320" s="13">
        <v>1</v>
      </c>
      <c r="W320" s="13" t="s">
        <v>2417</v>
      </c>
      <c r="X320" s="13" t="s">
        <v>1924</v>
      </c>
      <c r="Y320" s="13" t="s">
        <v>2073</v>
      </c>
      <c r="Z320" s="13" t="s">
        <v>2073</v>
      </c>
      <c r="AA320" s="13" t="s">
        <v>2073</v>
      </c>
      <c r="AB320" s="13" t="s">
        <v>1924</v>
      </c>
      <c r="AC320" s="211" t="s">
        <v>2415</v>
      </c>
      <c r="AD320" s="13" t="s">
        <v>2416</v>
      </c>
      <c r="AE320" s="69">
        <v>1112033110</v>
      </c>
      <c r="AF320" s="13" t="s">
        <v>2418</v>
      </c>
      <c r="AG320" s="13" t="s">
        <v>2419</v>
      </c>
      <c r="AH320" s="13" t="s">
        <v>2420</v>
      </c>
      <c r="AI320" s="13" t="s">
        <v>2421</v>
      </c>
      <c r="AJ320" s="13" t="s">
        <v>2422</v>
      </c>
      <c r="AK320" s="13" t="s">
        <v>2416</v>
      </c>
      <c r="AL320" s="13" t="s">
        <v>2077</v>
      </c>
      <c r="AM320" s="13" t="s">
        <v>2077</v>
      </c>
      <c r="AN320" s="13" t="s">
        <v>2077</v>
      </c>
      <c r="AO320" s="13" t="s">
        <v>2077</v>
      </c>
      <c r="AP320" s="13" t="s">
        <v>2077</v>
      </c>
      <c r="AQ320" s="13" t="s">
        <v>2077</v>
      </c>
      <c r="AR320" s="13" t="s">
        <v>2418</v>
      </c>
      <c r="AS320" s="13" t="s">
        <v>2419</v>
      </c>
      <c r="AT320" s="13" t="s">
        <v>2420</v>
      </c>
      <c r="AU320" s="13" t="s">
        <v>2421</v>
      </c>
      <c r="AV320" s="13" t="s">
        <v>2422</v>
      </c>
      <c r="AW320" s="13" t="s">
        <v>2416</v>
      </c>
      <c r="AX320" s="13" t="s">
        <v>2073</v>
      </c>
      <c r="AY320" s="13" t="s">
        <v>2073</v>
      </c>
      <c r="AZ320" s="13" t="s">
        <v>2073</v>
      </c>
      <c r="BA320" s="13" t="s">
        <v>2073</v>
      </c>
      <c r="BB320" s="13" t="s">
        <v>2073</v>
      </c>
      <c r="BC320" s="13" t="s">
        <v>2073</v>
      </c>
    </row>
    <row r="321" spans="1:55" ht="15.75" customHeight="1">
      <c r="A321" s="13">
        <v>2000</v>
      </c>
      <c r="B321" s="7" t="s">
        <v>1513</v>
      </c>
      <c r="C321" s="211" t="s">
        <v>2412</v>
      </c>
      <c r="D321" s="13" t="s">
        <v>1512</v>
      </c>
      <c r="E321" s="13" t="s">
        <v>1361</v>
      </c>
      <c r="F321" s="211" t="s">
        <v>2413</v>
      </c>
      <c r="G321" s="13" t="s">
        <v>2414</v>
      </c>
      <c r="H321" s="13" t="s">
        <v>2077</v>
      </c>
      <c r="I321" s="13" t="s">
        <v>2077</v>
      </c>
      <c r="J321" s="13" t="s">
        <v>2077</v>
      </c>
      <c r="K321" s="13" t="s">
        <v>2077</v>
      </c>
      <c r="L321" s="13" t="s">
        <v>2077</v>
      </c>
      <c r="M321" s="13" t="s">
        <v>2077</v>
      </c>
      <c r="N321" s="211" t="s">
        <v>2415</v>
      </c>
      <c r="O321" s="13" t="s">
        <v>2416</v>
      </c>
      <c r="P321" s="69" t="str">
        <f t="shared" ref="P321:Q321" si="317">D321</f>
        <v>CGD PAINTING 10</v>
      </c>
      <c r="Q321" s="13" t="str">
        <f t="shared" si="317"/>
        <v>3D2</v>
      </c>
      <c r="R321" s="212" t="s">
        <v>23</v>
      </c>
      <c r="S321" s="213">
        <v>0.83333333333333337</v>
      </c>
      <c r="T321" s="13">
        <v>85</v>
      </c>
      <c r="U321" s="211" t="s">
        <v>83</v>
      </c>
      <c r="V321" s="13">
        <v>1</v>
      </c>
      <c r="W321" s="13" t="s">
        <v>2417</v>
      </c>
      <c r="X321" s="13" t="s">
        <v>1924</v>
      </c>
      <c r="Y321" s="13" t="s">
        <v>2073</v>
      </c>
      <c r="Z321" s="13" t="s">
        <v>2073</v>
      </c>
      <c r="AA321" s="13" t="s">
        <v>2073</v>
      </c>
      <c r="AB321" s="13" t="s">
        <v>1924</v>
      </c>
      <c r="AC321" s="211" t="s">
        <v>2415</v>
      </c>
      <c r="AD321" s="13" t="s">
        <v>2416</v>
      </c>
      <c r="AE321" s="69">
        <v>1112033111</v>
      </c>
      <c r="AF321" s="13" t="s">
        <v>2418</v>
      </c>
      <c r="AG321" s="13" t="s">
        <v>2419</v>
      </c>
      <c r="AH321" s="13" t="s">
        <v>2420</v>
      </c>
      <c r="AI321" s="13" t="s">
        <v>2421</v>
      </c>
      <c r="AJ321" s="13" t="s">
        <v>2422</v>
      </c>
      <c r="AK321" s="13" t="s">
        <v>2416</v>
      </c>
      <c r="AL321" s="13" t="s">
        <v>2077</v>
      </c>
      <c r="AM321" s="13" t="s">
        <v>2077</v>
      </c>
      <c r="AN321" s="13" t="s">
        <v>2077</v>
      </c>
      <c r="AO321" s="13" t="s">
        <v>2077</v>
      </c>
      <c r="AP321" s="13" t="s">
        <v>2077</v>
      </c>
      <c r="AQ321" s="13" t="s">
        <v>2077</v>
      </c>
      <c r="AR321" s="13" t="s">
        <v>2418</v>
      </c>
      <c r="AS321" s="13" t="s">
        <v>2419</v>
      </c>
      <c r="AT321" s="13" t="s">
        <v>2420</v>
      </c>
      <c r="AU321" s="13" t="s">
        <v>2421</v>
      </c>
      <c r="AV321" s="13" t="s">
        <v>2422</v>
      </c>
      <c r="AW321" s="13" t="s">
        <v>2416</v>
      </c>
      <c r="AX321" s="13" t="s">
        <v>2073</v>
      </c>
      <c r="AY321" s="13" t="s">
        <v>2073</v>
      </c>
      <c r="AZ321" s="13" t="s">
        <v>2073</v>
      </c>
      <c r="BA321" s="13" t="s">
        <v>2073</v>
      </c>
      <c r="BB321" s="13" t="s">
        <v>2073</v>
      </c>
      <c r="BC321" s="13" t="s">
        <v>2073</v>
      </c>
    </row>
    <row r="322" spans="1:55" ht="15.75" customHeight="1">
      <c r="A322" s="13">
        <v>2000</v>
      </c>
      <c r="B322" s="7" t="s">
        <v>1516</v>
      </c>
      <c r="C322" s="211" t="s">
        <v>2412</v>
      </c>
      <c r="D322" s="13" t="s">
        <v>2310</v>
      </c>
      <c r="E322" s="13" t="s">
        <v>1361</v>
      </c>
      <c r="F322" s="211" t="s">
        <v>2413</v>
      </c>
      <c r="G322" s="13" t="s">
        <v>2414</v>
      </c>
      <c r="H322" s="13" t="s">
        <v>2077</v>
      </c>
      <c r="I322" s="13" t="s">
        <v>2077</v>
      </c>
      <c r="J322" s="13" t="s">
        <v>2077</v>
      </c>
      <c r="K322" s="13" t="s">
        <v>2077</v>
      </c>
      <c r="L322" s="13" t="s">
        <v>2077</v>
      </c>
      <c r="M322" s="13" t="s">
        <v>2077</v>
      </c>
      <c r="N322" s="211" t="s">
        <v>2415</v>
      </c>
      <c r="O322" s="13" t="s">
        <v>2416</v>
      </c>
      <c r="P322" s="69" t="str">
        <f t="shared" ref="P322:Q322" si="318">D322</f>
        <v>CGD PACKING 1</v>
      </c>
      <c r="Q322" s="13" t="str">
        <f t="shared" si="318"/>
        <v>3D2</v>
      </c>
      <c r="R322" s="212" t="s">
        <v>23</v>
      </c>
      <c r="S322" s="213">
        <v>0.83333333333333337</v>
      </c>
      <c r="T322" s="13">
        <v>85</v>
      </c>
      <c r="U322" s="211" t="s">
        <v>83</v>
      </c>
      <c r="V322" s="13">
        <v>1</v>
      </c>
      <c r="W322" s="13" t="s">
        <v>2417</v>
      </c>
      <c r="X322" s="13" t="s">
        <v>1924</v>
      </c>
      <c r="Y322" s="13" t="s">
        <v>2073</v>
      </c>
      <c r="Z322" s="13" t="s">
        <v>2073</v>
      </c>
      <c r="AA322" s="13" t="s">
        <v>2073</v>
      </c>
      <c r="AB322" s="13" t="s">
        <v>1924</v>
      </c>
      <c r="AC322" s="211" t="s">
        <v>2415</v>
      </c>
      <c r="AD322" s="13" t="s">
        <v>2416</v>
      </c>
      <c r="AE322" s="69" t="s">
        <v>1517</v>
      </c>
      <c r="AF322" s="13" t="s">
        <v>2418</v>
      </c>
      <c r="AG322" s="13" t="s">
        <v>2419</v>
      </c>
      <c r="AH322" s="13" t="s">
        <v>2420</v>
      </c>
      <c r="AI322" s="13" t="s">
        <v>2421</v>
      </c>
      <c r="AJ322" s="13" t="s">
        <v>2422</v>
      </c>
      <c r="AK322" s="13" t="s">
        <v>2416</v>
      </c>
      <c r="AL322" s="13" t="s">
        <v>2077</v>
      </c>
      <c r="AM322" s="13" t="s">
        <v>2077</v>
      </c>
      <c r="AN322" s="13" t="s">
        <v>2077</v>
      </c>
      <c r="AO322" s="13" t="s">
        <v>2077</v>
      </c>
      <c r="AP322" s="13" t="s">
        <v>2077</v>
      </c>
      <c r="AQ322" s="13" t="s">
        <v>2077</v>
      </c>
      <c r="AR322" s="13" t="s">
        <v>2418</v>
      </c>
      <c r="AS322" s="13" t="s">
        <v>2419</v>
      </c>
      <c r="AT322" s="13" t="s">
        <v>2420</v>
      </c>
      <c r="AU322" s="13" t="s">
        <v>2421</v>
      </c>
      <c r="AV322" s="13" t="s">
        <v>2422</v>
      </c>
      <c r="AW322" s="13" t="s">
        <v>2416</v>
      </c>
      <c r="AX322" s="13" t="s">
        <v>2073</v>
      </c>
      <c r="AY322" s="13" t="s">
        <v>2073</v>
      </c>
      <c r="AZ322" s="13" t="s">
        <v>2073</v>
      </c>
      <c r="BA322" s="13" t="s">
        <v>2073</v>
      </c>
      <c r="BB322" s="13" t="s">
        <v>2073</v>
      </c>
      <c r="BC322" s="13" t="s">
        <v>2073</v>
      </c>
    </row>
    <row r="323" spans="1:55" ht="15.75" customHeight="1">
      <c r="A323" s="13">
        <v>2000</v>
      </c>
      <c r="B323" s="7" t="s">
        <v>1519</v>
      </c>
      <c r="C323" s="211" t="s">
        <v>2412</v>
      </c>
      <c r="D323" s="13" t="s">
        <v>2311</v>
      </c>
      <c r="E323" s="13" t="s">
        <v>1361</v>
      </c>
      <c r="F323" s="211" t="s">
        <v>2413</v>
      </c>
      <c r="G323" s="13" t="s">
        <v>2414</v>
      </c>
      <c r="H323" s="13" t="s">
        <v>2077</v>
      </c>
      <c r="I323" s="13" t="s">
        <v>2077</v>
      </c>
      <c r="J323" s="13" t="s">
        <v>2077</v>
      </c>
      <c r="K323" s="13" t="s">
        <v>2077</v>
      </c>
      <c r="L323" s="13" t="s">
        <v>2077</v>
      </c>
      <c r="M323" s="13" t="s">
        <v>2077</v>
      </c>
      <c r="N323" s="211" t="s">
        <v>2415</v>
      </c>
      <c r="O323" s="13" t="s">
        <v>2416</v>
      </c>
      <c r="P323" s="69" t="str">
        <f t="shared" ref="P323:Q323" si="319">D323</f>
        <v>CGD PACKING 2</v>
      </c>
      <c r="Q323" s="13" t="str">
        <f t="shared" si="319"/>
        <v>3D2</v>
      </c>
      <c r="R323" s="212" t="s">
        <v>23</v>
      </c>
      <c r="S323" s="213">
        <v>0.83333333333333337</v>
      </c>
      <c r="T323" s="13">
        <v>85</v>
      </c>
      <c r="U323" s="211" t="s">
        <v>83</v>
      </c>
      <c r="V323" s="13">
        <v>1</v>
      </c>
      <c r="W323" s="13" t="s">
        <v>2417</v>
      </c>
      <c r="X323" s="13" t="s">
        <v>1924</v>
      </c>
      <c r="Y323" s="13" t="s">
        <v>2073</v>
      </c>
      <c r="Z323" s="13" t="s">
        <v>2073</v>
      </c>
      <c r="AA323" s="13" t="s">
        <v>2073</v>
      </c>
      <c r="AB323" s="13" t="s">
        <v>1924</v>
      </c>
      <c r="AC323" s="211" t="s">
        <v>2415</v>
      </c>
      <c r="AD323" s="13" t="s">
        <v>2416</v>
      </c>
      <c r="AE323" s="69" t="s">
        <v>1520</v>
      </c>
      <c r="AF323" s="13" t="s">
        <v>2418</v>
      </c>
      <c r="AG323" s="13" t="s">
        <v>2419</v>
      </c>
      <c r="AH323" s="13" t="s">
        <v>2420</v>
      </c>
      <c r="AI323" s="13" t="s">
        <v>2421</v>
      </c>
      <c r="AJ323" s="13" t="s">
        <v>2422</v>
      </c>
      <c r="AK323" s="13" t="s">
        <v>2416</v>
      </c>
      <c r="AL323" s="13" t="s">
        <v>2077</v>
      </c>
      <c r="AM323" s="13" t="s">
        <v>2077</v>
      </c>
      <c r="AN323" s="13" t="s">
        <v>2077</v>
      </c>
      <c r="AO323" s="13" t="s">
        <v>2077</v>
      </c>
      <c r="AP323" s="13" t="s">
        <v>2077</v>
      </c>
      <c r="AQ323" s="13" t="s">
        <v>2077</v>
      </c>
      <c r="AR323" s="13" t="s">
        <v>2418</v>
      </c>
      <c r="AS323" s="13" t="s">
        <v>2419</v>
      </c>
      <c r="AT323" s="13" t="s">
        <v>2420</v>
      </c>
      <c r="AU323" s="13" t="s">
        <v>2421</v>
      </c>
      <c r="AV323" s="13" t="s">
        <v>2422</v>
      </c>
      <c r="AW323" s="13" t="s">
        <v>2416</v>
      </c>
      <c r="AX323" s="13" t="s">
        <v>2073</v>
      </c>
      <c r="AY323" s="13" t="s">
        <v>2073</v>
      </c>
      <c r="AZ323" s="13" t="s">
        <v>2073</v>
      </c>
      <c r="BA323" s="13" t="s">
        <v>2073</v>
      </c>
      <c r="BB323" s="13" t="s">
        <v>2073</v>
      </c>
      <c r="BC323" s="13" t="s">
        <v>2073</v>
      </c>
    </row>
    <row r="324" spans="1:55" ht="15.75" customHeight="1">
      <c r="A324" s="13">
        <v>2000</v>
      </c>
      <c r="B324" s="7" t="s">
        <v>1522</v>
      </c>
      <c r="C324" s="211" t="s">
        <v>2412</v>
      </c>
      <c r="D324" s="13" t="s">
        <v>2312</v>
      </c>
      <c r="E324" s="13" t="s">
        <v>1361</v>
      </c>
      <c r="F324" s="211" t="s">
        <v>2413</v>
      </c>
      <c r="G324" s="13" t="s">
        <v>2414</v>
      </c>
      <c r="H324" s="13" t="s">
        <v>2077</v>
      </c>
      <c r="I324" s="13" t="s">
        <v>2077</v>
      </c>
      <c r="J324" s="13" t="s">
        <v>2077</v>
      </c>
      <c r="K324" s="13" t="s">
        <v>2077</v>
      </c>
      <c r="L324" s="13" t="s">
        <v>2077</v>
      </c>
      <c r="M324" s="13" t="s">
        <v>2077</v>
      </c>
      <c r="N324" s="211" t="s">
        <v>2415</v>
      </c>
      <c r="O324" s="13" t="s">
        <v>2416</v>
      </c>
      <c r="P324" s="69" t="str">
        <f t="shared" ref="P324:Q324" si="320">D324</f>
        <v>CGD PACKING 3</v>
      </c>
      <c r="Q324" s="13" t="str">
        <f t="shared" si="320"/>
        <v>3D2</v>
      </c>
      <c r="R324" s="212" t="s">
        <v>23</v>
      </c>
      <c r="S324" s="213">
        <v>0.83333333333333337</v>
      </c>
      <c r="T324" s="13">
        <v>85</v>
      </c>
      <c r="U324" s="211" t="s">
        <v>83</v>
      </c>
      <c r="V324" s="13">
        <v>1</v>
      </c>
      <c r="W324" s="13" t="s">
        <v>2417</v>
      </c>
      <c r="X324" s="13" t="s">
        <v>1924</v>
      </c>
      <c r="Y324" s="13" t="s">
        <v>2073</v>
      </c>
      <c r="Z324" s="13" t="s">
        <v>2073</v>
      </c>
      <c r="AA324" s="13" t="s">
        <v>2073</v>
      </c>
      <c r="AB324" s="13" t="s">
        <v>1924</v>
      </c>
      <c r="AC324" s="211" t="s">
        <v>2415</v>
      </c>
      <c r="AD324" s="13" t="s">
        <v>2416</v>
      </c>
      <c r="AE324" s="69" t="s">
        <v>1523</v>
      </c>
      <c r="AF324" s="13" t="s">
        <v>2418</v>
      </c>
      <c r="AG324" s="13" t="s">
        <v>2419</v>
      </c>
      <c r="AH324" s="13" t="s">
        <v>2420</v>
      </c>
      <c r="AI324" s="13" t="s">
        <v>2421</v>
      </c>
      <c r="AJ324" s="13" t="s">
        <v>2422</v>
      </c>
      <c r="AK324" s="13" t="s">
        <v>2416</v>
      </c>
      <c r="AL324" s="13" t="s">
        <v>2077</v>
      </c>
      <c r="AM324" s="13" t="s">
        <v>2077</v>
      </c>
      <c r="AN324" s="13" t="s">
        <v>2077</v>
      </c>
      <c r="AO324" s="13" t="s">
        <v>2077</v>
      </c>
      <c r="AP324" s="13" t="s">
        <v>2077</v>
      </c>
      <c r="AQ324" s="13" t="s">
        <v>2077</v>
      </c>
      <c r="AR324" s="13" t="s">
        <v>2418</v>
      </c>
      <c r="AS324" s="13" t="s">
        <v>2419</v>
      </c>
      <c r="AT324" s="13" t="s">
        <v>2420</v>
      </c>
      <c r="AU324" s="13" t="s">
        <v>2421</v>
      </c>
      <c r="AV324" s="13" t="s">
        <v>2422</v>
      </c>
      <c r="AW324" s="13" t="s">
        <v>2416</v>
      </c>
      <c r="AX324" s="13" t="s">
        <v>2073</v>
      </c>
      <c r="AY324" s="13" t="s">
        <v>2073</v>
      </c>
      <c r="AZ324" s="13" t="s">
        <v>2073</v>
      </c>
      <c r="BA324" s="13" t="s">
        <v>2073</v>
      </c>
      <c r="BB324" s="13" t="s">
        <v>2073</v>
      </c>
      <c r="BC324" s="13" t="s">
        <v>2073</v>
      </c>
    </row>
    <row r="325" spans="1:55" ht="15.75" customHeight="1">
      <c r="A325" s="13">
        <v>2000</v>
      </c>
      <c r="B325" s="7" t="s">
        <v>1525</v>
      </c>
      <c r="C325" s="211" t="s">
        <v>2412</v>
      </c>
      <c r="D325" s="13" t="s">
        <v>2313</v>
      </c>
      <c r="E325" s="13" t="s">
        <v>1361</v>
      </c>
      <c r="F325" s="211" t="s">
        <v>2413</v>
      </c>
      <c r="G325" s="13" t="s">
        <v>2414</v>
      </c>
      <c r="H325" s="13" t="s">
        <v>2077</v>
      </c>
      <c r="I325" s="13" t="s">
        <v>2077</v>
      </c>
      <c r="J325" s="13" t="s">
        <v>2077</v>
      </c>
      <c r="K325" s="13" t="s">
        <v>2077</v>
      </c>
      <c r="L325" s="13" t="s">
        <v>2077</v>
      </c>
      <c r="M325" s="13" t="s">
        <v>2077</v>
      </c>
      <c r="N325" s="211" t="s">
        <v>2415</v>
      </c>
      <c r="O325" s="13" t="s">
        <v>2416</v>
      </c>
      <c r="P325" s="69" t="str">
        <f t="shared" ref="P325:Q325" si="321">D325</f>
        <v>CGD PACKING 4</v>
      </c>
      <c r="Q325" s="13" t="str">
        <f t="shared" si="321"/>
        <v>3D2</v>
      </c>
      <c r="R325" s="212" t="s">
        <v>23</v>
      </c>
      <c r="S325" s="213">
        <v>0.83333333333333337</v>
      </c>
      <c r="T325" s="13">
        <v>85</v>
      </c>
      <c r="U325" s="211" t="s">
        <v>83</v>
      </c>
      <c r="V325" s="13">
        <v>1</v>
      </c>
      <c r="W325" s="13" t="s">
        <v>2417</v>
      </c>
      <c r="X325" s="13" t="s">
        <v>1924</v>
      </c>
      <c r="Y325" s="13" t="s">
        <v>2073</v>
      </c>
      <c r="Z325" s="13" t="s">
        <v>2073</v>
      </c>
      <c r="AA325" s="13" t="s">
        <v>2073</v>
      </c>
      <c r="AB325" s="13" t="s">
        <v>1924</v>
      </c>
      <c r="AC325" s="211" t="s">
        <v>2415</v>
      </c>
      <c r="AD325" s="13" t="s">
        <v>2416</v>
      </c>
      <c r="AE325" s="69" t="s">
        <v>1526</v>
      </c>
      <c r="AF325" s="13" t="s">
        <v>2418</v>
      </c>
      <c r="AG325" s="13" t="s">
        <v>2419</v>
      </c>
      <c r="AH325" s="13" t="s">
        <v>2420</v>
      </c>
      <c r="AI325" s="13" t="s">
        <v>2421</v>
      </c>
      <c r="AJ325" s="13" t="s">
        <v>2422</v>
      </c>
      <c r="AK325" s="13" t="s">
        <v>2416</v>
      </c>
      <c r="AL325" s="13" t="s">
        <v>2077</v>
      </c>
      <c r="AM325" s="13" t="s">
        <v>2077</v>
      </c>
      <c r="AN325" s="13" t="s">
        <v>2077</v>
      </c>
      <c r="AO325" s="13" t="s">
        <v>2077</v>
      </c>
      <c r="AP325" s="13" t="s">
        <v>2077</v>
      </c>
      <c r="AQ325" s="13" t="s">
        <v>2077</v>
      </c>
      <c r="AR325" s="13" t="s">
        <v>2418</v>
      </c>
      <c r="AS325" s="13" t="s">
        <v>2419</v>
      </c>
      <c r="AT325" s="13" t="s">
        <v>2420</v>
      </c>
      <c r="AU325" s="13" t="s">
        <v>2421</v>
      </c>
      <c r="AV325" s="13" t="s">
        <v>2422</v>
      </c>
      <c r="AW325" s="13" t="s">
        <v>2416</v>
      </c>
      <c r="AX325" s="13" t="s">
        <v>2073</v>
      </c>
      <c r="AY325" s="13" t="s">
        <v>2073</v>
      </c>
      <c r="AZ325" s="13" t="s">
        <v>2073</v>
      </c>
      <c r="BA325" s="13" t="s">
        <v>2073</v>
      </c>
      <c r="BB325" s="13" t="s">
        <v>2073</v>
      </c>
      <c r="BC325" s="13" t="s">
        <v>2073</v>
      </c>
    </row>
    <row r="326" spans="1:55" ht="15.75" customHeight="1">
      <c r="A326" s="13">
        <v>2000</v>
      </c>
      <c r="B326" s="7" t="s">
        <v>1528</v>
      </c>
      <c r="C326" s="211" t="s">
        <v>2412</v>
      </c>
      <c r="D326" s="13" t="s">
        <v>2314</v>
      </c>
      <c r="E326" s="13" t="s">
        <v>1361</v>
      </c>
      <c r="F326" s="211" t="s">
        <v>2413</v>
      </c>
      <c r="G326" s="13" t="s">
        <v>2414</v>
      </c>
      <c r="H326" s="13" t="s">
        <v>2077</v>
      </c>
      <c r="I326" s="13" t="s">
        <v>2077</v>
      </c>
      <c r="J326" s="13" t="s">
        <v>2077</v>
      </c>
      <c r="K326" s="13" t="s">
        <v>2077</v>
      </c>
      <c r="L326" s="13" t="s">
        <v>2077</v>
      </c>
      <c r="M326" s="13" t="s">
        <v>2077</v>
      </c>
      <c r="N326" s="211" t="s">
        <v>2415</v>
      </c>
      <c r="O326" s="13" t="s">
        <v>2416</v>
      </c>
      <c r="P326" s="69" t="str">
        <f t="shared" ref="P326:Q326" si="322">D326</f>
        <v>CGD PACKING 5</v>
      </c>
      <c r="Q326" s="13" t="str">
        <f t="shared" si="322"/>
        <v>3D2</v>
      </c>
      <c r="R326" s="212" t="s">
        <v>23</v>
      </c>
      <c r="S326" s="213">
        <v>0.83333333333333337</v>
      </c>
      <c r="T326" s="13">
        <v>85</v>
      </c>
      <c r="U326" s="211" t="s">
        <v>83</v>
      </c>
      <c r="V326" s="13">
        <v>1</v>
      </c>
      <c r="W326" s="13" t="s">
        <v>2417</v>
      </c>
      <c r="X326" s="13" t="s">
        <v>1924</v>
      </c>
      <c r="Y326" s="13" t="s">
        <v>2073</v>
      </c>
      <c r="Z326" s="13" t="s">
        <v>2073</v>
      </c>
      <c r="AA326" s="13" t="s">
        <v>2073</v>
      </c>
      <c r="AB326" s="13" t="s">
        <v>1924</v>
      </c>
      <c r="AC326" s="211" t="s">
        <v>2415</v>
      </c>
      <c r="AD326" s="13" t="s">
        <v>2416</v>
      </c>
      <c r="AE326" s="69" t="s">
        <v>1529</v>
      </c>
      <c r="AF326" s="13" t="s">
        <v>2418</v>
      </c>
      <c r="AG326" s="13" t="s">
        <v>2419</v>
      </c>
      <c r="AH326" s="13" t="s">
        <v>2420</v>
      </c>
      <c r="AI326" s="13" t="s">
        <v>2421</v>
      </c>
      <c r="AJ326" s="13" t="s">
        <v>2422</v>
      </c>
      <c r="AK326" s="13" t="s">
        <v>2416</v>
      </c>
      <c r="AL326" s="13" t="s">
        <v>2077</v>
      </c>
      <c r="AM326" s="13" t="s">
        <v>2077</v>
      </c>
      <c r="AN326" s="13" t="s">
        <v>2077</v>
      </c>
      <c r="AO326" s="13" t="s">
        <v>2077</v>
      </c>
      <c r="AP326" s="13" t="s">
        <v>2077</v>
      </c>
      <c r="AQ326" s="13" t="s">
        <v>2077</v>
      </c>
      <c r="AR326" s="13" t="s">
        <v>2418</v>
      </c>
      <c r="AS326" s="13" t="s">
        <v>2419</v>
      </c>
      <c r="AT326" s="13" t="s">
        <v>2420</v>
      </c>
      <c r="AU326" s="13" t="s">
        <v>2421</v>
      </c>
      <c r="AV326" s="13" t="s">
        <v>2422</v>
      </c>
      <c r="AW326" s="13" t="s">
        <v>2416</v>
      </c>
      <c r="AX326" s="13" t="s">
        <v>2073</v>
      </c>
      <c r="AY326" s="13" t="s">
        <v>2073</v>
      </c>
      <c r="AZ326" s="13" t="s">
        <v>2073</v>
      </c>
      <c r="BA326" s="13" t="s">
        <v>2073</v>
      </c>
      <c r="BB326" s="13" t="s">
        <v>2073</v>
      </c>
      <c r="BC326" s="13" t="s">
        <v>2073</v>
      </c>
    </row>
    <row r="327" spans="1:55" ht="15.75" customHeight="1">
      <c r="A327" s="13">
        <v>2000</v>
      </c>
      <c r="B327" s="7" t="s">
        <v>1531</v>
      </c>
      <c r="C327" s="211" t="s">
        <v>2412</v>
      </c>
      <c r="D327" s="13" t="s">
        <v>2315</v>
      </c>
      <c r="E327" s="13" t="s">
        <v>1361</v>
      </c>
      <c r="F327" s="211" t="s">
        <v>2413</v>
      </c>
      <c r="G327" s="13" t="s">
        <v>2414</v>
      </c>
      <c r="H327" s="13" t="s">
        <v>2077</v>
      </c>
      <c r="I327" s="13" t="s">
        <v>2077</v>
      </c>
      <c r="J327" s="13" t="s">
        <v>2077</v>
      </c>
      <c r="K327" s="13" t="s">
        <v>2077</v>
      </c>
      <c r="L327" s="13" t="s">
        <v>2077</v>
      </c>
      <c r="M327" s="13" t="s">
        <v>2077</v>
      </c>
      <c r="N327" s="211" t="s">
        <v>2415</v>
      </c>
      <c r="O327" s="13" t="s">
        <v>2416</v>
      </c>
      <c r="P327" s="69" t="str">
        <f t="shared" ref="P327:Q327" si="323">D327</f>
        <v>CGD PACKING 6</v>
      </c>
      <c r="Q327" s="13" t="str">
        <f t="shared" si="323"/>
        <v>3D2</v>
      </c>
      <c r="R327" s="212" t="s">
        <v>23</v>
      </c>
      <c r="S327" s="213">
        <v>0.83333333333333337</v>
      </c>
      <c r="T327" s="13">
        <v>85</v>
      </c>
      <c r="U327" s="211" t="s">
        <v>83</v>
      </c>
      <c r="V327" s="13">
        <v>1</v>
      </c>
      <c r="W327" s="13" t="s">
        <v>2417</v>
      </c>
      <c r="X327" s="13" t="s">
        <v>1924</v>
      </c>
      <c r="Y327" s="13" t="s">
        <v>2073</v>
      </c>
      <c r="Z327" s="13" t="s">
        <v>2073</v>
      </c>
      <c r="AA327" s="13" t="s">
        <v>2073</v>
      </c>
      <c r="AB327" s="13" t="s">
        <v>1924</v>
      </c>
      <c r="AC327" s="211" t="s">
        <v>2415</v>
      </c>
      <c r="AD327" s="13" t="s">
        <v>2416</v>
      </c>
      <c r="AE327" s="69" t="s">
        <v>1532</v>
      </c>
      <c r="AF327" s="13" t="s">
        <v>2418</v>
      </c>
      <c r="AG327" s="13" t="s">
        <v>2419</v>
      </c>
      <c r="AH327" s="13" t="s">
        <v>2420</v>
      </c>
      <c r="AI327" s="13" t="s">
        <v>2421</v>
      </c>
      <c r="AJ327" s="13" t="s">
        <v>2422</v>
      </c>
      <c r="AK327" s="13" t="s">
        <v>2416</v>
      </c>
      <c r="AL327" s="13" t="s">
        <v>2077</v>
      </c>
      <c r="AM327" s="13" t="s">
        <v>2077</v>
      </c>
      <c r="AN327" s="13" t="s">
        <v>2077</v>
      </c>
      <c r="AO327" s="13" t="s">
        <v>2077</v>
      </c>
      <c r="AP327" s="13" t="s">
        <v>2077</v>
      </c>
      <c r="AQ327" s="13" t="s">
        <v>2077</v>
      </c>
      <c r="AR327" s="13" t="s">
        <v>2418</v>
      </c>
      <c r="AS327" s="13" t="s">
        <v>2419</v>
      </c>
      <c r="AT327" s="13" t="s">
        <v>2420</v>
      </c>
      <c r="AU327" s="13" t="s">
        <v>2421</v>
      </c>
      <c r="AV327" s="13" t="s">
        <v>2422</v>
      </c>
      <c r="AW327" s="13" t="s">
        <v>2416</v>
      </c>
      <c r="AX327" s="13" t="s">
        <v>2073</v>
      </c>
      <c r="AY327" s="13" t="s">
        <v>2073</v>
      </c>
      <c r="AZ327" s="13" t="s">
        <v>2073</v>
      </c>
      <c r="BA327" s="13" t="s">
        <v>2073</v>
      </c>
      <c r="BB327" s="13" t="s">
        <v>2073</v>
      </c>
      <c r="BC327" s="13" t="s">
        <v>2073</v>
      </c>
    </row>
    <row r="328" spans="1:55" ht="15.75" customHeight="1">
      <c r="A328" s="13">
        <v>2000</v>
      </c>
      <c r="B328" s="7" t="s">
        <v>1534</v>
      </c>
      <c r="C328" s="211" t="s">
        <v>2412</v>
      </c>
      <c r="D328" s="13" t="s">
        <v>2316</v>
      </c>
      <c r="E328" s="13" t="s">
        <v>1361</v>
      </c>
      <c r="F328" s="211" t="s">
        <v>2413</v>
      </c>
      <c r="G328" s="13" t="s">
        <v>2414</v>
      </c>
      <c r="H328" s="13" t="s">
        <v>2077</v>
      </c>
      <c r="I328" s="13" t="s">
        <v>2077</v>
      </c>
      <c r="J328" s="13" t="s">
        <v>2077</v>
      </c>
      <c r="K328" s="13" t="s">
        <v>2077</v>
      </c>
      <c r="L328" s="13" t="s">
        <v>2077</v>
      </c>
      <c r="M328" s="13" t="s">
        <v>2077</v>
      </c>
      <c r="N328" s="211" t="s">
        <v>2415</v>
      </c>
      <c r="O328" s="13" t="s">
        <v>2416</v>
      </c>
      <c r="P328" s="69" t="str">
        <f t="shared" ref="P328:Q328" si="324">D328</f>
        <v>CGD PACKING 7</v>
      </c>
      <c r="Q328" s="13" t="str">
        <f t="shared" si="324"/>
        <v>3D2</v>
      </c>
      <c r="R328" s="212" t="s">
        <v>23</v>
      </c>
      <c r="S328" s="213">
        <v>0.83333333333333337</v>
      </c>
      <c r="T328" s="13">
        <v>85</v>
      </c>
      <c r="U328" s="211" t="s">
        <v>83</v>
      </c>
      <c r="V328" s="13">
        <v>1</v>
      </c>
      <c r="W328" s="13" t="s">
        <v>2417</v>
      </c>
      <c r="X328" s="13" t="s">
        <v>1924</v>
      </c>
      <c r="Y328" s="13" t="s">
        <v>2073</v>
      </c>
      <c r="Z328" s="13" t="s">
        <v>2073</v>
      </c>
      <c r="AA328" s="13" t="s">
        <v>2073</v>
      </c>
      <c r="AB328" s="13" t="s">
        <v>1924</v>
      </c>
      <c r="AC328" s="211" t="s">
        <v>2415</v>
      </c>
      <c r="AD328" s="13" t="s">
        <v>2416</v>
      </c>
      <c r="AE328" s="69" t="s">
        <v>1535</v>
      </c>
      <c r="AF328" s="13" t="s">
        <v>2418</v>
      </c>
      <c r="AG328" s="13" t="s">
        <v>2419</v>
      </c>
      <c r="AH328" s="13" t="s">
        <v>2420</v>
      </c>
      <c r="AI328" s="13" t="s">
        <v>2421</v>
      </c>
      <c r="AJ328" s="13" t="s">
        <v>2422</v>
      </c>
      <c r="AK328" s="13" t="s">
        <v>2416</v>
      </c>
      <c r="AL328" s="13" t="s">
        <v>2077</v>
      </c>
      <c r="AM328" s="13" t="s">
        <v>2077</v>
      </c>
      <c r="AN328" s="13" t="s">
        <v>2077</v>
      </c>
      <c r="AO328" s="13" t="s">
        <v>2077</v>
      </c>
      <c r="AP328" s="13" t="s">
        <v>2077</v>
      </c>
      <c r="AQ328" s="13" t="s">
        <v>2077</v>
      </c>
      <c r="AR328" s="13" t="s">
        <v>2418</v>
      </c>
      <c r="AS328" s="13" t="s">
        <v>2419</v>
      </c>
      <c r="AT328" s="13" t="s">
        <v>2420</v>
      </c>
      <c r="AU328" s="13" t="s">
        <v>2421</v>
      </c>
      <c r="AV328" s="13" t="s">
        <v>2422</v>
      </c>
      <c r="AW328" s="13" t="s">
        <v>2416</v>
      </c>
      <c r="AX328" s="13" t="s">
        <v>2073</v>
      </c>
      <c r="AY328" s="13" t="s">
        <v>2073</v>
      </c>
      <c r="AZ328" s="13" t="s">
        <v>2073</v>
      </c>
      <c r="BA328" s="13" t="s">
        <v>2073</v>
      </c>
      <c r="BB328" s="13" t="s">
        <v>2073</v>
      </c>
      <c r="BC328" s="13" t="s">
        <v>2073</v>
      </c>
    </row>
    <row r="329" spans="1:55" ht="15.75" customHeight="1">
      <c r="A329" s="13">
        <v>2000</v>
      </c>
      <c r="B329" s="7" t="s">
        <v>1537</v>
      </c>
      <c r="C329" s="211" t="s">
        <v>2412</v>
      </c>
      <c r="D329" s="13" t="s">
        <v>2317</v>
      </c>
      <c r="E329" s="13" t="s">
        <v>1361</v>
      </c>
      <c r="F329" s="211" t="s">
        <v>2413</v>
      </c>
      <c r="G329" s="13" t="s">
        <v>2414</v>
      </c>
      <c r="H329" s="13" t="s">
        <v>2077</v>
      </c>
      <c r="I329" s="13" t="s">
        <v>2077</v>
      </c>
      <c r="J329" s="13" t="s">
        <v>2077</v>
      </c>
      <c r="K329" s="13" t="s">
        <v>2077</v>
      </c>
      <c r="L329" s="13" t="s">
        <v>2077</v>
      </c>
      <c r="M329" s="13" t="s">
        <v>2077</v>
      </c>
      <c r="N329" s="211" t="s">
        <v>2415</v>
      </c>
      <c r="O329" s="13" t="s">
        <v>2416</v>
      </c>
      <c r="P329" s="69" t="str">
        <f t="shared" ref="P329:Q329" si="325">D329</f>
        <v>CGD PACKING 8</v>
      </c>
      <c r="Q329" s="13" t="str">
        <f t="shared" si="325"/>
        <v>3D2</v>
      </c>
      <c r="R329" s="212" t="s">
        <v>23</v>
      </c>
      <c r="S329" s="213">
        <v>0.83333333333333337</v>
      </c>
      <c r="T329" s="13">
        <v>85</v>
      </c>
      <c r="U329" s="211" t="s">
        <v>83</v>
      </c>
      <c r="V329" s="13">
        <v>1</v>
      </c>
      <c r="W329" s="13" t="s">
        <v>2417</v>
      </c>
      <c r="X329" s="13" t="s">
        <v>1924</v>
      </c>
      <c r="Y329" s="13" t="s">
        <v>2073</v>
      </c>
      <c r="Z329" s="13" t="s">
        <v>2073</v>
      </c>
      <c r="AA329" s="13" t="s">
        <v>2073</v>
      </c>
      <c r="AB329" s="13" t="s">
        <v>1924</v>
      </c>
      <c r="AC329" s="211" t="s">
        <v>2415</v>
      </c>
      <c r="AD329" s="13" t="s">
        <v>2416</v>
      </c>
      <c r="AE329" s="69" t="s">
        <v>1538</v>
      </c>
      <c r="AF329" s="13" t="s">
        <v>2418</v>
      </c>
      <c r="AG329" s="13" t="s">
        <v>2419</v>
      </c>
      <c r="AH329" s="13" t="s">
        <v>2420</v>
      </c>
      <c r="AI329" s="13" t="s">
        <v>2421</v>
      </c>
      <c r="AJ329" s="13" t="s">
        <v>2422</v>
      </c>
      <c r="AK329" s="13" t="s">
        <v>2416</v>
      </c>
      <c r="AL329" s="13" t="s">
        <v>2077</v>
      </c>
      <c r="AM329" s="13" t="s">
        <v>2077</v>
      </c>
      <c r="AN329" s="13" t="s">
        <v>2077</v>
      </c>
      <c r="AO329" s="13" t="s">
        <v>2077</v>
      </c>
      <c r="AP329" s="13" t="s">
        <v>2077</v>
      </c>
      <c r="AQ329" s="13" t="s">
        <v>2077</v>
      </c>
      <c r="AR329" s="13" t="s">
        <v>2418</v>
      </c>
      <c r="AS329" s="13" t="s">
        <v>2419</v>
      </c>
      <c r="AT329" s="13" t="s">
        <v>2420</v>
      </c>
      <c r="AU329" s="13" t="s">
        <v>2421</v>
      </c>
      <c r="AV329" s="13" t="s">
        <v>2422</v>
      </c>
      <c r="AW329" s="13" t="s">
        <v>2416</v>
      </c>
      <c r="AX329" s="13" t="s">
        <v>2073</v>
      </c>
      <c r="AY329" s="13" t="s">
        <v>2073</v>
      </c>
      <c r="AZ329" s="13" t="s">
        <v>2073</v>
      </c>
      <c r="BA329" s="13" t="s">
        <v>2073</v>
      </c>
      <c r="BB329" s="13" t="s">
        <v>2073</v>
      </c>
      <c r="BC329" s="13" t="s">
        <v>2073</v>
      </c>
    </row>
    <row r="330" spans="1:55" ht="15.75" customHeight="1">
      <c r="A330" s="13">
        <v>2000</v>
      </c>
      <c r="B330" s="7" t="s">
        <v>1540</v>
      </c>
      <c r="C330" s="211" t="s">
        <v>2412</v>
      </c>
      <c r="D330" s="13" t="s">
        <v>2318</v>
      </c>
      <c r="E330" s="13" t="s">
        <v>1361</v>
      </c>
      <c r="F330" s="211" t="s">
        <v>2413</v>
      </c>
      <c r="G330" s="13" t="s">
        <v>2414</v>
      </c>
      <c r="H330" s="13" t="s">
        <v>2077</v>
      </c>
      <c r="I330" s="13" t="s">
        <v>2077</v>
      </c>
      <c r="J330" s="13" t="s">
        <v>2077</v>
      </c>
      <c r="K330" s="13" t="s">
        <v>2077</v>
      </c>
      <c r="L330" s="13" t="s">
        <v>2077</v>
      </c>
      <c r="M330" s="13" t="s">
        <v>2077</v>
      </c>
      <c r="N330" s="211" t="s">
        <v>2415</v>
      </c>
      <c r="O330" s="13" t="s">
        <v>2416</v>
      </c>
      <c r="P330" s="69" t="str">
        <f t="shared" ref="P330:Q330" si="326">D330</f>
        <v>CGD PACKING 9</v>
      </c>
      <c r="Q330" s="13" t="str">
        <f t="shared" si="326"/>
        <v>3D2</v>
      </c>
      <c r="R330" s="212" t="s">
        <v>23</v>
      </c>
      <c r="S330" s="213">
        <v>0.83333333333333337</v>
      </c>
      <c r="T330" s="13">
        <v>85</v>
      </c>
      <c r="U330" s="211" t="s">
        <v>83</v>
      </c>
      <c r="V330" s="13">
        <v>1</v>
      </c>
      <c r="W330" s="13" t="s">
        <v>2417</v>
      </c>
      <c r="X330" s="13" t="s">
        <v>1924</v>
      </c>
      <c r="Y330" s="13" t="s">
        <v>2073</v>
      </c>
      <c r="Z330" s="13" t="s">
        <v>2073</v>
      </c>
      <c r="AA330" s="13" t="s">
        <v>2073</v>
      </c>
      <c r="AB330" s="13" t="s">
        <v>1924</v>
      </c>
      <c r="AC330" s="211" t="s">
        <v>2415</v>
      </c>
      <c r="AD330" s="13" t="s">
        <v>2416</v>
      </c>
      <c r="AE330" s="69" t="s">
        <v>1541</v>
      </c>
      <c r="AF330" s="13" t="s">
        <v>2418</v>
      </c>
      <c r="AG330" s="13" t="s">
        <v>2419</v>
      </c>
      <c r="AH330" s="13" t="s">
        <v>2420</v>
      </c>
      <c r="AI330" s="13" t="s">
        <v>2421</v>
      </c>
      <c r="AJ330" s="13" t="s">
        <v>2422</v>
      </c>
      <c r="AK330" s="13" t="s">
        <v>2416</v>
      </c>
      <c r="AL330" s="13" t="s">
        <v>2077</v>
      </c>
      <c r="AM330" s="13" t="s">
        <v>2077</v>
      </c>
      <c r="AN330" s="13" t="s">
        <v>2077</v>
      </c>
      <c r="AO330" s="13" t="s">
        <v>2077</v>
      </c>
      <c r="AP330" s="13" t="s">
        <v>2077</v>
      </c>
      <c r="AQ330" s="13" t="s">
        <v>2077</v>
      </c>
      <c r="AR330" s="13" t="s">
        <v>2418</v>
      </c>
      <c r="AS330" s="13" t="s">
        <v>2419</v>
      </c>
      <c r="AT330" s="13" t="s">
        <v>2420</v>
      </c>
      <c r="AU330" s="13" t="s">
        <v>2421</v>
      </c>
      <c r="AV330" s="13" t="s">
        <v>2422</v>
      </c>
      <c r="AW330" s="13" t="s">
        <v>2416</v>
      </c>
      <c r="AX330" s="13" t="s">
        <v>2073</v>
      </c>
      <c r="AY330" s="13" t="s">
        <v>2073</v>
      </c>
      <c r="AZ330" s="13" t="s">
        <v>2073</v>
      </c>
      <c r="BA330" s="13" t="s">
        <v>2073</v>
      </c>
      <c r="BB330" s="13" t="s">
        <v>2073</v>
      </c>
      <c r="BC330" s="13" t="s">
        <v>2073</v>
      </c>
    </row>
    <row r="331" spans="1:55" ht="15.75" customHeight="1">
      <c r="A331" s="13">
        <v>2000</v>
      </c>
      <c r="B331" s="7" t="s">
        <v>1543</v>
      </c>
      <c r="C331" s="211" t="s">
        <v>2412</v>
      </c>
      <c r="D331" s="13" t="s">
        <v>2319</v>
      </c>
      <c r="E331" s="13" t="s">
        <v>1361</v>
      </c>
      <c r="F331" s="211" t="s">
        <v>2413</v>
      </c>
      <c r="G331" s="13" t="s">
        <v>2414</v>
      </c>
      <c r="H331" s="13" t="s">
        <v>2077</v>
      </c>
      <c r="I331" s="13" t="s">
        <v>2077</v>
      </c>
      <c r="J331" s="13" t="s">
        <v>2077</v>
      </c>
      <c r="K331" s="13" t="s">
        <v>2077</v>
      </c>
      <c r="L331" s="13" t="s">
        <v>2077</v>
      </c>
      <c r="M331" s="13" t="s">
        <v>2077</v>
      </c>
      <c r="N331" s="211" t="s">
        <v>2415</v>
      </c>
      <c r="O331" s="13" t="s">
        <v>2416</v>
      </c>
      <c r="P331" s="69" t="str">
        <f t="shared" ref="P331:Q331" si="327">D331</f>
        <v>CGD PACKING 10</v>
      </c>
      <c r="Q331" s="13" t="str">
        <f t="shared" si="327"/>
        <v>3D2</v>
      </c>
      <c r="R331" s="212" t="s">
        <v>23</v>
      </c>
      <c r="S331" s="213">
        <v>0.83333333333333337</v>
      </c>
      <c r="T331" s="13">
        <v>85</v>
      </c>
      <c r="U331" s="211" t="s">
        <v>83</v>
      </c>
      <c r="V331" s="13">
        <v>1</v>
      </c>
      <c r="W331" s="13" t="s">
        <v>2417</v>
      </c>
      <c r="X331" s="13" t="s">
        <v>1924</v>
      </c>
      <c r="Y331" s="13" t="s">
        <v>2073</v>
      </c>
      <c r="Z331" s="13" t="s">
        <v>2073</v>
      </c>
      <c r="AA331" s="13" t="s">
        <v>2073</v>
      </c>
      <c r="AB331" s="13" t="s">
        <v>1924</v>
      </c>
      <c r="AC331" s="211" t="s">
        <v>2415</v>
      </c>
      <c r="AD331" s="13" t="s">
        <v>2416</v>
      </c>
      <c r="AE331" s="69" t="s">
        <v>1544</v>
      </c>
      <c r="AF331" s="13" t="s">
        <v>2418</v>
      </c>
      <c r="AG331" s="13" t="s">
        <v>2419</v>
      </c>
      <c r="AH331" s="13" t="s">
        <v>2420</v>
      </c>
      <c r="AI331" s="13" t="s">
        <v>2421</v>
      </c>
      <c r="AJ331" s="13" t="s">
        <v>2422</v>
      </c>
      <c r="AK331" s="13" t="s">
        <v>2416</v>
      </c>
      <c r="AL331" s="13" t="s">
        <v>2077</v>
      </c>
      <c r="AM331" s="13" t="s">
        <v>2077</v>
      </c>
      <c r="AN331" s="13" t="s">
        <v>2077</v>
      </c>
      <c r="AO331" s="13" t="s">
        <v>2077</v>
      </c>
      <c r="AP331" s="13" t="s">
        <v>2077</v>
      </c>
      <c r="AQ331" s="13" t="s">
        <v>2077</v>
      </c>
      <c r="AR331" s="13" t="s">
        <v>2418</v>
      </c>
      <c r="AS331" s="13" t="s">
        <v>2419</v>
      </c>
      <c r="AT331" s="13" t="s">
        <v>2420</v>
      </c>
      <c r="AU331" s="13" t="s">
        <v>2421</v>
      </c>
      <c r="AV331" s="13" t="s">
        <v>2422</v>
      </c>
      <c r="AW331" s="13" t="s">
        <v>2416</v>
      </c>
      <c r="AX331" s="13" t="s">
        <v>2073</v>
      </c>
      <c r="AY331" s="13" t="s">
        <v>2073</v>
      </c>
      <c r="AZ331" s="13" t="s">
        <v>2073</v>
      </c>
      <c r="BA331" s="13" t="s">
        <v>2073</v>
      </c>
      <c r="BB331" s="13" t="s">
        <v>2073</v>
      </c>
      <c r="BC331" s="13" t="s">
        <v>2073</v>
      </c>
    </row>
    <row r="332" spans="1:55" ht="15.75" customHeight="1">
      <c r="A332" s="13">
        <v>2000</v>
      </c>
      <c r="B332" s="7" t="s">
        <v>1546</v>
      </c>
      <c r="C332" s="211" t="s">
        <v>2412</v>
      </c>
      <c r="D332" s="13" t="s">
        <v>2320</v>
      </c>
      <c r="E332" s="13" t="s">
        <v>1361</v>
      </c>
      <c r="F332" s="211" t="s">
        <v>2413</v>
      </c>
      <c r="G332" s="13" t="s">
        <v>2414</v>
      </c>
      <c r="H332" s="13" t="s">
        <v>2077</v>
      </c>
      <c r="I332" s="13" t="s">
        <v>2077</v>
      </c>
      <c r="J332" s="13" t="s">
        <v>2077</v>
      </c>
      <c r="K332" s="13" t="s">
        <v>2077</v>
      </c>
      <c r="L332" s="13" t="s">
        <v>2077</v>
      </c>
      <c r="M332" s="13" t="s">
        <v>2077</v>
      </c>
      <c r="N332" s="211" t="s">
        <v>2415</v>
      </c>
      <c r="O332" s="13" t="s">
        <v>2416</v>
      </c>
      <c r="P332" s="69" t="str">
        <f t="shared" ref="P332:Q332" si="328">D332</f>
        <v>CGD PACKING 11</v>
      </c>
      <c r="Q332" s="13" t="str">
        <f t="shared" si="328"/>
        <v>3D2</v>
      </c>
      <c r="R332" s="212" t="s">
        <v>23</v>
      </c>
      <c r="S332" s="213">
        <v>0.83333333333333337</v>
      </c>
      <c r="T332" s="13">
        <v>85</v>
      </c>
      <c r="U332" s="211" t="s">
        <v>83</v>
      </c>
      <c r="V332" s="13">
        <v>1</v>
      </c>
      <c r="W332" s="13" t="s">
        <v>2417</v>
      </c>
      <c r="X332" s="13" t="s">
        <v>1924</v>
      </c>
      <c r="Y332" s="13" t="s">
        <v>2073</v>
      </c>
      <c r="Z332" s="13" t="s">
        <v>2073</v>
      </c>
      <c r="AA332" s="13" t="s">
        <v>2073</v>
      </c>
      <c r="AB332" s="13" t="s">
        <v>1924</v>
      </c>
      <c r="AC332" s="211" t="s">
        <v>2415</v>
      </c>
      <c r="AD332" s="13" t="s">
        <v>2416</v>
      </c>
      <c r="AE332" s="69" t="s">
        <v>1547</v>
      </c>
      <c r="AF332" s="13" t="s">
        <v>2418</v>
      </c>
      <c r="AG332" s="13" t="s">
        <v>2419</v>
      </c>
      <c r="AH332" s="13" t="s">
        <v>2420</v>
      </c>
      <c r="AI332" s="13" t="s">
        <v>2421</v>
      </c>
      <c r="AJ332" s="13" t="s">
        <v>2422</v>
      </c>
      <c r="AK332" s="13" t="s">
        <v>2416</v>
      </c>
      <c r="AL332" s="13" t="s">
        <v>2077</v>
      </c>
      <c r="AM332" s="13" t="s">
        <v>2077</v>
      </c>
      <c r="AN332" s="13" t="s">
        <v>2077</v>
      </c>
      <c r="AO332" s="13" t="s">
        <v>2077</v>
      </c>
      <c r="AP332" s="13" t="s">
        <v>2077</v>
      </c>
      <c r="AQ332" s="13" t="s">
        <v>2077</v>
      </c>
      <c r="AR332" s="13" t="s">
        <v>2418</v>
      </c>
      <c r="AS332" s="13" t="s">
        <v>2419</v>
      </c>
      <c r="AT332" s="13" t="s">
        <v>2420</v>
      </c>
      <c r="AU332" s="13" t="s">
        <v>2421</v>
      </c>
      <c r="AV332" s="13" t="s">
        <v>2422</v>
      </c>
      <c r="AW332" s="13" t="s">
        <v>2416</v>
      </c>
      <c r="AX332" s="13" t="s">
        <v>2073</v>
      </c>
      <c r="AY332" s="13" t="s">
        <v>2073</v>
      </c>
      <c r="AZ332" s="13" t="s">
        <v>2073</v>
      </c>
      <c r="BA332" s="13" t="s">
        <v>2073</v>
      </c>
      <c r="BB332" s="13" t="s">
        <v>2073</v>
      </c>
      <c r="BC332" s="13" t="s">
        <v>2073</v>
      </c>
    </row>
    <row r="333" spans="1:55" ht="15.75" customHeight="1">
      <c r="A333" s="13">
        <v>2000</v>
      </c>
      <c r="B333" s="7" t="s">
        <v>1551</v>
      </c>
      <c r="C333" s="211" t="s">
        <v>2412</v>
      </c>
      <c r="D333" s="13" t="s">
        <v>1550</v>
      </c>
      <c r="E333" s="13" t="s">
        <v>1554</v>
      </c>
      <c r="F333" s="211" t="s">
        <v>2413</v>
      </c>
      <c r="G333" s="13" t="s">
        <v>2414</v>
      </c>
      <c r="H333" s="13" t="s">
        <v>2077</v>
      </c>
      <c r="I333" s="13" t="s">
        <v>2077</v>
      </c>
      <c r="J333" s="13" t="s">
        <v>2077</v>
      </c>
      <c r="K333" s="13" t="s">
        <v>2077</v>
      </c>
      <c r="L333" s="13" t="s">
        <v>2077</v>
      </c>
      <c r="M333" s="13" t="s">
        <v>2077</v>
      </c>
      <c r="N333" s="211" t="s">
        <v>2415</v>
      </c>
      <c r="O333" s="13" t="s">
        <v>2416</v>
      </c>
      <c r="P333" s="69" t="str">
        <f t="shared" ref="P333:Q333" si="329">D333</f>
        <v>BC DOUBLE PLANNER</v>
      </c>
      <c r="Q333" s="13" t="str">
        <f t="shared" si="329"/>
        <v>3DR</v>
      </c>
      <c r="R333" s="212" t="s">
        <v>23</v>
      </c>
      <c r="S333" s="213">
        <v>0.64583333333333337</v>
      </c>
      <c r="T333" s="13">
        <v>85</v>
      </c>
      <c r="U333" s="211" t="s">
        <v>24</v>
      </c>
      <c r="V333" s="13">
        <v>1</v>
      </c>
      <c r="W333" s="13" t="s">
        <v>2417</v>
      </c>
      <c r="X333" s="13" t="s">
        <v>1924</v>
      </c>
      <c r="Y333" s="13" t="s">
        <v>2073</v>
      </c>
      <c r="Z333" s="13" t="s">
        <v>2073</v>
      </c>
      <c r="AA333" s="13" t="s">
        <v>2073</v>
      </c>
      <c r="AB333" s="13" t="s">
        <v>1924</v>
      </c>
      <c r="AC333" s="211" t="s">
        <v>2415</v>
      </c>
      <c r="AD333" s="13" t="s">
        <v>2416</v>
      </c>
      <c r="AE333" s="69" t="s">
        <v>1552</v>
      </c>
      <c r="AF333" s="13" t="s">
        <v>2418</v>
      </c>
      <c r="AG333" s="13" t="s">
        <v>2419</v>
      </c>
      <c r="AH333" s="13" t="s">
        <v>2420</v>
      </c>
      <c r="AI333" s="13" t="s">
        <v>2421</v>
      </c>
      <c r="AJ333" s="13" t="s">
        <v>2422</v>
      </c>
      <c r="AK333" s="13" t="s">
        <v>2416</v>
      </c>
      <c r="AL333" s="13" t="s">
        <v>2077</v>
      </c>
      <c r="AM333" s="13" t="s">
        <v>2077</v>
      </c>
      <c r="AN333" s="13" t="s">
        <v>2077</v>
      </c>
      <c r="AO333" s="13" t="s">
        <v>2077</v>
      </c>
      <c r="AP333" s="13" t="s">
        <v>2077</v>
      </c>
      <c r="AQ333" s="13" t="s">
        <v>2077</v>
      </c>
      <c r="AR333" s="13" t="s">
        <v>2418</v>
      </c>
      <c r="AS333" s="13" t="s">
        <v>2419</v>
      </c>
      <c r="AT333" s="13" t="s">
        <v>2420</v>
      </c>
      <c r="AU333" s="13" t="s">
        <v>2421</v>
      </c>
      <c r="AV333" s="13" t="s">
        <v>2422</v>
      </c>
      <c r="AW333" s="13" t="s">
        <v>2416</v>
      </c>
      <c r="AX333" s="13" t="s">
        <v>2073</v>
      </c>
      <c r="AY333" s="13" t="s">
        <v>2073</v>
      </c>
      <c r="AZ333" s="13" t="s">
        <v>2073</v>
      </c>
      <c r="BA333" s="13" t="s">
        <v>2073</v>
      </c>
      <c r="BB333" s="13" t="s">
        <v>2073</v>
      </c>
      <c r="BC333" s="13" t="s">
        <v>2073</v>
      </c>
    </row>
    <row r="334" spans="1:55" ht="15.75" customHeight="1">
      <c r="A334" s="13">
        <v>2000</v>
      </c>
      <c r="B334" s="7" t="s">
        <v>1557</v>
      </c>
      <c r="C334" s="211" t="s">
        <v>2412</v>
      </c>
      <c r="D334" s="13" t="s">
        <v>1556</v>
      </c>
      <c r="E334" s="13" t="s">
        <v>1554</v>
      </c>
      <c r="F334" s="211" t="s">
        <v>2413</v>
      </c>
      <c r="G334" s="13" t="s">
        <v>2414</v>
      </c>
      <c r="H334" s="13" t="s">
        <v>2077</v>
      </c>
      <c r="I334" s="13" t="s">
        <v>2077</v>
      </c>
      <c r="J334" s="13" t="s">
        <v>2077</v>
      </c>
      <c r="K334" s="13" t="s">
        <v>2077</v>
      </c>
      <c r="L334" s="13" t="s">
        <v>2077</v>
      </c>
      <c r="M334" s="13" t="s">
        <v>2077</v>
      </c>
      <c r="N334" s="211" t="s">
        <v>2415</v>
      </c>
      <c r="O334" s="13" t="s">
        <v>2416</v>
      </c>
      <c r="P334" s="69" t="str">
        <f t="shared" ref="P334:Q334" si="330">D334</f>
        <v>BC SINGLE RIP</v>
      </c>
      <c r="Q334" s="13" t="str">
        <f t="shared" si="330"/>
        <v>3DR</v>
      </c>
      <c r="R334" s="212" t="s">
        <v>23</v>
      </c>
      <c r="S334" s="213">
        <v>0.64583333333333337</v>
      </c>
      <c r="T334" s="13">
        <v>85</v>
      </c>
      <c r="U334" s="211" t="s">
        <v>24</v>
      </c>
      <c r="V334" s="13">
        <v>1</v>
      </c>
      <c r="W334" s="13" t="s">
        <v>2417</v>
      </c>
      <c r="X334" s="13" t="s">
        <v>1924</v>
      </c>
      <c r="Y334" s="13" t="s">
        <v>2073</v>
      </c>
      <c r="Z334" s="13" t="s">
        <v>2073</v>
      </c>
      <c r="AA334" s="13" t="s">
        <v>2073</v>
      </c>
      <c r="AB334" s="13" t="s">
        <v>1924</v>
      </c>
      <c r="AC334" s="211" t="s">
        <v>2415</v>
      </c>
      <c r="AD334" s="13" t="s">
        <v>2416</v>
      </c>
      <c r="AE334" s="69">
        <v>1112041015</v>
      </c>
      <c r="AF334" s="13" t="s">
        <v>2418</v>
      </c>
      <c r="AG334" s="13" t="s">
        <v>2419</v>
      </c>
      <c r="AH334" s="13" t="s">
        <v>2420</v>
      </c>
      <c r="AI334" s="13" t="s">
        <v>2421</v>
      </c>
      <c r="AJ334" s="13" t="s">
        <v>2422</v>
      </c>
      <c r="AK334" s="13" t="s">
        <v>2416</v>
      </c>
      <c r="AL334" s="13" t="s">
        <v>2077</v>
      </c>
      <c r="AM334" s="13" t="s">
        <v>2077</v>
      </c>
      <c r="AN334" s="13" t="s">
        <v>2077</v>
      </c>
      <c r="AO334" s="13" t="s">
        <v>2077</v>
      </c>
      <c r="AP334" s="13" t="s">
        <v>2077</v>
      </c>
      <c r="AQ334" s="13" t="s">
        <v>2077</v>
      </c>
      <c r="AR334" s="13" t="s">
        <v>2418</v>
      </c>
      <c r="AS334" s="13" t="s">
        <v>2419</v>
      </c>
      <c r="AT334" s="13" t="s">
        <v>2420</v>
      </c>
      <c r="AU334" s="13" t="s">
        <v>2421</v>
      </c>
      <c r="AV334" s="13" t="s">
        <v>2422</v>
      </c>
      <c r="AW334" s="13" t="s">
        <v>2416</v>
      </c>
      <c r="AX334" s="13" t="s">
        <v>2073</v>
      </c>
      <c r="AY334" s="13" t="s">
        <v>2073</v>
      </c>
      <c r="AZ334" s="13" t="s">
        <v>2073</v>
      </c>
      <c r="BA334" s="13" t="s">
        <v>2073</v>
      </c>
      <c r="BB334" s="13" t="s">
        <v>2073</v>
      </c>
      <c r="BC334" s="13" t="s">
        <v>2073</v>
      </c>
    </row>
    <row r="335" spans="1:55" ht="15.75" customHeight="1">
      <c r="A335" s="13">
        <v>2000</v>
      </c>
      <c r="B335" s="7" t="s">
        <v>1560</v>
      </c>
      <c r="C335" s="211" t="s">
        <v>2412</v>
      </c>
      <c r="D335" s="13" t="s">
        <v>1559</v>
      </c>
      <c r="E335" s="13" t="s">
        <v>1554</v>
      </c>
      <c r="F335" s="211" t="s">
        <v>2413</v>
      </c>
      <c r="G335" s="13" t="s">
        <v>2414</v>
      </c>
      <c r="H335" s="13" t="s">
        <v>2077</v>
      </c>
      <c r="I335" s="13" t="s">
        <v>2077</v>
      </c>
      <c r="J335" s="13" t="s">
        <v>2077</v>
      </c>
      <c r="K335" s="13" t="s">
        <v>2077</v>
      </c>
      <c r="L335" s="13" t="s">
        <v>2077</v>
      </c>
      <c r="M335" s="13" t="s">
        <v>2077</v>
      </c>
      <c r="N335" s="211" t="s">
        <v>2415</v>
      </c>
      <c r="O335" s="13" t="s">
        <v>2416</v>
      </c>
      <c r="P335" s="69" t="str">
        <f t="shared" ref="P335:Q335" si="331">D335</f>
        <v xml:space="preserve">BC CUTTING 1 </v>
      </c>
      <c r="Q335" s="13" t="str">
        <f t="shared" si="331"/>
        <v>3DR</v>
      </c>
      <c r="R335" s="212" t="s">
        <v>23</v>
      </c>
      <c r="S335" s="213">
        <v>0.64583333333333337</v>
      </c>
      <c r="T335" s="13">
        <v>85</v>
      </c>
      <c r="U335" s="211" t="s">
        <v>24</v>
      </c>
      <c r="V335" s="13">
        <v>1</v>
      </c>
      <c r="W335" s="13" t="s">
        <v>2417</v>
      </c>
      <c r="X335" s="13" t="s">
        <v>1924</v>
      </c>
      <c r="Y335" s="13" t="s">
        <v>2073</v>
      </c>
      <c r="Z335" s="13" t="s">
        <v>2073</v>
      </c>
      <c r="AA335" s="13" t="s">
        <v>2073</v>
      </c>
      <c r="AB335" s="13" t="s">
        <v>1924</v>
      </c>
      <c r="AC335" s="211" t="s">
        <v>2415</v>
      </c>
      <c r="AD335" s="13" t="s">
        <v>2416</v>
      </c>
      <c r="AE335" s="69">
        <v>1112041016</v>
      </c>
      <c r="AF335" s="13" t="s">
        <v>2418</v>
      </c>
      <c r="AG335" s="13" t="s">
        <v>2419</v>
      </c>
      <c r="AH335" s="13" t="s">
        <v>2420</v>
      </c>
      <c r="AI335" s="13" t="s">
        <v>2421</v>
      </c>
      <c r="AJ335" s="13" t="s">
        <v>2422</v>
      </c>
      <c r="AK335" s="13" t="s">
        <v>2416</v>
      </c>
      <c r="AL335" s="13" t="s">
        <v>2077</v>
      </c>
      <c r="AM335" s="13" t="s">
        <v>2077</v>
      </c>
      <c r="AN335" s="13" t="s">
        <v>2077</v>
      </c>
      <c r="AO335" s="13" t="s">
        <v>2077</v>
      </c>
      <c r="AP335" s="13" t="s">
        <v>2077</v>
      </c>
      <c r="AQ335" s="13" t="s">
        <v>2077</v>
      </c>
      <c r="AR335" s="13" t="s">
        <v>2418</v>
      </c>
      <c r="AS335" s="13" t="s">
        <v>2419</v>
      </c>
      <c r="AT335" s="13" t="s">
        <v>2420</v>
      </c>
      <c r="AU335" s="13" t="s">
        <v>2421</v>
      </c>
      <c r="AV335" s="13" t="s">
        <v>2422</v>
      </c>
      <c r="AW335" s="13" t="s">
        <v>2416</v>
      </c>
      <c r="AX335" s="13" t="s">
        <v>2073</v>
      </c>
      <c r="AY335" s="13" t="s">
        <v>2073</v>
      </c>
      <c r="AZ335" s="13" t="s">
        <v>2073</v>
      </c>
      <c r="BA335" s="13" t="s">
        <v>2073</v>
      </c>
      <c r="BB335" s="13" t="s">
        <v>2073</v>
      </c>
      <c r="BC335" s="13" t="s">
        <v>2073</v>
      </c>
    </row>
    <row r="336" spans="1:55" ht="15.75" customHeight="1">
      <c r="A336" s="13">
        <v>2000</v>
      </c>
      <c r="B336" s="7" t="s">
        <v>1563</v>
      </c>
      <c r="C336" s="211" t="s">
        <v>2412</v>
      </c>
      <c r="D336" s="13" t="s">
        <v>1564</v>
      </c>
      <c r="E336" s="13" t="s">
        <v>1554</v>
      </c>
      <c r="F336" s="211" t="s">
        <v>2413</v>
      </c>
      <c r="G336" s="13" t="s">
        <v>2414</v>
      </c>
      <c r="H336" s="13" t="s">
        <v>2077</v>
      </c>
      <c r="I336" s="13" t="s">
        <v>2077</v>
      </c>
      <c r="J336" s="13" t="s">
        <v>2077</v>
      </c>
      <c r="K336" s="13" t="s">
        <v>2077</v>
      </c>
      <c r="L336" s="13" t="s">
        <v>2077</v>
      </c>
      <c r="M336" s="13" t="s">
        <v>2077</v>
      </c>
      <c r="N336" s="211" t="s">
        <v>2415</v>
      </c>
      <c r="O336" s="13" t="s">
        <v>2416</v>
      </c>
      <c r="P336" s="69" t="str">
        <f t="shared" ref="P336:Q336" si="332">D336</f>
        <v>BC CNC 1</v>
      </c>
      <c r="Q336" s="13" t="str">
        <f t="shared" si="332"/>
        <v>3DR</v>
      </c>
      <c r="R336" s="212" t="s">
        <v>23</v>
      </c>
      <c r="S336" s="213">
        <v>0.97916666666666663</v>
      </c>
      <c r="T336" s="13">
        <v>85</v>
      </c>
      <c r="U336" s="211" t="s">
        <v>83</v>
      </c>
      <c r="V336" s="13">
        <v>1</v>
      </c>
      <c r="W336" s="13" t="s">
        <v>2417</v>
      </c>
      <c r="X336" s="13" t="s">
        <v>1924</v>
      </c>
      <c r="Y336" s="13" t="s">
        <v>2073</v>
      </c>
      <c r="Z336" s="13" t="s">
        <v>2073</v>
      </c>
      <c r="AA336" s="13" t="s">
        <v>2073</v>
      </c>
      <c r="AB336" s="13" t="s">
        <v>1924</v>
      </c>
      <c r="AC336" s="211" t="s">
        <v>2415</v>
      </c>
      <c r="AD336" s="13" t="s">
        <v>2416</v>
      </c>
      <c r="AE336" s="69" t="s">
        <v>1565</v>
      </c>
      <c r="AF336" s="13" t="s">
        <v>2418</v>
      </c>
      <c r="AG336" s="13" t="s">
        <v>2419</v>
      </c>
      <c r="AH336" s="13" t="s">
        <v>2420</v>
      </c>
      <c r="AI336" s="13" t="s">
        <v>2421</v>
      </c>
      <c r="AJ336" s="13" t="s">
        <v>2422</v>
      </c>
      <c r="AK336" s="13" t="s">
        <v>2416</v>
      </c>
      <c r="AL336" s="13" t="s">
        <v>2077</v>
      </c>
      <c r="AM336" s="13" t="s">
        <v>2077</v>
      </c>
      <c r="AN336" s="13" t="s">
        <v>2077</v>
      </c>
      <c r="AO336" s="13" t="s">
        <v>2077</v>
      </c>
      <c r="AP336" s="13" t="s">
        <v>2077</v>
      </c>
      <c r="AQ336" s="13" t="s">
        <v>2077</v>
      </c>
      <c r="AR336" s="13" t="s">
        <v>2418</v>
      </c>
      <c r="AS336" s="13" t="s">
        <v>2419</v>
      </c>
      <c r="AT336" s="13" t="s">
        <v>2420</v>
      </c>
      <c r="AU336" s="13" t="s">
        <v>2421</v>
      </c>
      <c r="AV336" s="13" t="s">
        <v>2422</v>
      </c>
      <c r="AW336" s="13" t="s">
        <v>2416</v>
      </c>
      <c r="AX336" s="13" t="s">
        <v>2073</v>
      </c>
      <c r="AY336" s="13" t="s">
        <v>2073</v>
      </c>
      <c r="AZ336" s="13" t="s">
        <v>2073</v>
      </c>
      <c r="BA336" s="13" t="s">
        <v>2073</v>
      </c>
      <c r="BB336" s="13" t="s">
        <v>2073</v>
      </c>
      <c r="BC336" s="13" t="s">
        <v>2073</v>
      </c>
    </row>
    <row r="337" spans="1:55" ht="15.75" customHeight="1">
      <c r="A337" s="13">
        <v>2000</v>
      </c>
      <c r="B337" s="7" t="s">
        <v>1568</v>
      </c>
      <c r="C337" s="211" t="s">
        <v>2412</v>
      </c>
      <c r="D337" s="13" t="s">
        <v>1569</v>
      </c>
      <c r="E337" s="13" t="s">
        <v>1554</v>
      </c>
      <c r="F337" s="211" t="s">
        <v>2413</v>
      </c>
      <c r="G337" s="13" t="s">
        <v>2414</v>
      </c>
      <c r="H337" s="13" t="s">
        <v>2077</v>
      </c>
      <c r="I337" s="13" t="s">
        <v>2077</v>
      </c>
      <c r="J337" s="13" t="s">
        <v>2077</v>
      </c>
      <c r="K337" s="13" t="s">
        <v>2077</v>
      </c>
      <c r="L337" s="13" t="s">
        <v>2077</v>
      </c>
      <c r="M337" s="13" t="s">
        <v>2077</v>
      </c>
      <c r="N337" s="211" t="s">
        <v>2415</v>
      </c>
      <c r="O337" s="13" t="s">
        <v>2416</v>
      </c>
      <c r="P337" s="69" t="str">
        <f t="shared" ref="P337:Q337" si="333">D337</f>
        <v>BC CNC 2</v>
      </c>
      <c r="Q337" s="13" t="str">
        <f t="shared" si="333"/>
        <v>3DR</v>
      </c>
      <c r="R337" s="212" t="s">
        <v>23</v>
      </c>
      <c r="S337" s="213">
        <v>0.97916666666666663</v>
      </c>
      <c r="T337" s="13">
        <v>85</v>
      </c>
      <c r="U337" s="211" t="s">
        <v>83</v>
      </c>
      <c r="V337" s="13">
        <v>1</v>
      </c>
      <c r="W337" s="13" t="s">
        <v>2417</v>
      </c>
      <c r="X337" s="13" t="s">
        <v>1924</v>
      </c>
      <c r="Y337" s="13" t="s">
        <v>2073</v>
      </c>
      <c r="Z337" s="13" t="s">
        <v>2073</v>
      </c>
      <c r="AA337" s="13" t="s">
        <v>2073</v>
      </c>
      <c r="AB337" s="13" t="s">
        <v>1924</v>
      </c>
      <c r="AC337" s="211" t="s">
        <v>2415</v>
      </c>
      <c r="AD337" s="13" t="s">
        <v>2416</v>
      </c>
      <c r="AE337" s="69" t="s">
        <v>1570</v>
      </c>
      <c r="AF337" s="13" t="s">
        <v>2418</v>
      </c>
      <c r="AG337" s="13" t="s">
        <v>2419</v>
      </c>
      <c r="AH337" s="13" t="s">
        <v>2420</v>
      </c>
      <c r="AI337" s="13" t="s">
        <v>2421</v>
      </c>
      <c r="AJ337" s="13" t="s">
        <v>2422</v>
      </c>
      <c r="AK337" s="13" t="s">
        <v>2416</v>
      </c>
      <c r="AL337" s="13" t="s">
        <v>2077</v>
      </c>
      <c r="AM337" s="13" t="s">
        <v>2077</v>
      </c>
      <c r="AN337" s="13" t="s">
        <v>2077</v>
      </c>
      <c r="AO337" s="13" t="s">
        <v>2077</v>
      </c>
      <c r="AP337" s="13" t="s">
        <v>2077</v>
      </c>
      <c r="AQ337" s="13" t="s">
        <v>2077</v>
      </c>
      <c r="AR337" s="13" t="s">
        <v>2418</v>
      </c>
      <c r="AS337" s="13" t="s">
        <v>2419</v>
      </c>
      <c r="AT337" s="13" t="s">
        <v>2420</v>
      </c>
      <c r="AU337" s="13" t="s">
        <v>2421</v>
      </c>
      <c r="AV337" s="13" t="s">
        <v>2422</v>
      </c>
      <c r="AW337" s="13" t="s">
        <v>2416</v>
      </c>
      <c r="AX337" s="13" t="s">
        <v>2073</v>
      </c>
      <c r="AY337" s="13" t="s">
        <v>2073</v>
      </c>
      <c r="AZ337" s="13" t="s">
        <v>2073</v>
      </c>
      <c r="BA337" s="13" t="s">
        <v>2073</v>
      </c>
      <c r="BB337" s="13" t="s">
        <v>2073</v>
      </c>
      <c r="BC337" s="13" t="s">
        <v>2073</v>
      </c>
    </row>
    <row r="338" spans="1:55" ht="15.75" customHeight="1">
      <c r="A338" s="13">
        <v>2000</v>
      </c>
      <c r="B338" s="7" t="s">
        <v>1035</v>
      </c>
      <c r="C338" s="211" t="s">
        <v>2412</v>
      </c>
      <c r="D338" s="13" t="s">
        <v>1573</v>
      </c>
      <c r="E338" s="13" t="s">
        <v>1554</v>
      </c>
      <c r="F338" s="211" t="s">
        <v>2413</v>
      </c>
      <c r="G338" s="13" t="s">
        <v>2414</v>
      </c>
      <c r="H338" s="13" t="s">
        <v>2077</v>
      </c>
      <c r="I338" s="13" t="s">
        <v>2077</v>
      </c>
      <c r="J338" s="13" t="s">
        <v>2077</v>
      </c>
      <c r="K338" s="13" t="s">
        <v>2077</v>
      </c>
      <c r="L338" s="13" t="s">
        <v>2077</v>
      </c>
      <c r="M338" s="13" t="s">
        <v>2077</v>
      </c>
      <c r="N338" s="211" t="s">
        <v>2415</v>
      </c>
      <c r="O338" s="13" t="s">
        <v>2416</v>
      </c>
      <c r="P338" s="69" t="str">
        <f t="shared" ref="P338:Q338" si="334">D338</f>
        <v>BC CNC 3</v>
      </c>
      <c r="Q338" s="13" t="str">
        <f t="shared" si="334"/>
        <v>3DR</v>
      </c>
      <c r="R338" s="212" t="s">
        <v>23</v>
      </c>
      <c r="S338" s="213">
        <v>0.97916666666666663</v>
      </c>
      <c r="T338" s="13">
        <v>85</v>
      </c>
      <c r="U338" s="211" t="s">
        <v>83</v>
      </c>
      <c r="V338" s="13">
        <v>1</v>
      </c>
      <c r="W338" s="13" t="s">
        <v>2417</v>
      </c>
      <c r="X338" s="13" t="s">
        <v>1924</v>
      </c>
      <c r="Y338" s="13" t="s">
        <v>2073</v>
      </c>
      <c r="Z338" s="13" t="s">
        <v>2073</v>
      </c>
      <c r="AA338" s="13" t="s">
        <v>2073</v>
      </c>
      <c r="AB338" s="13" t="s">
        <v>1924</v>
      </c>
      <c r="AC338" s="211" t="s">
        <v>2415</v>
      </c>
      <c r="AD338" s="13" t="s">
        <v>2416</v>
      </c>
      <c r="AE338" s="69" t="s">
        <v>1574</v>
      </c>
      <c r="AF338" s="13" t="s">
        <v>2418</v>
      </c>
      <c r="AG338" s="13" t="s">
        <v>2419</v>
      </c>
      <c r="AH338" s="13" t="s">
        <v>2420</v>
      </c>
      <c r="AI338" s="13" t="s">
        <v>2421</v>
      </c>
      <c r="AJ338" s="13" t="s">
        <v>2422</v>
      </c>
      <c r="AK338" s="13" t="s">
        <v>2416</v>
      </c>
      <c r="AL338" s="13" t="s">
        <v>2077</v>
      </c>
      <c r="AM338" s="13" t="s">
        <v>2077</v>
      </c>
      <c r="AN338" s="13" t="s">
        <v>2077</v>
      </c>
      <c r="AO338" s="13" t="s">
        <v>2077</v>
      </c>
      <c r="AP338" s="13" t="s">
        <v>2077</v>
      </c>
      <c r="AQ338" s="13" t="s">
        <v>2077</v>
      </c>
      <c r="AR338" s="13" t="s">
        <v>2418</v>
      </c>
      <c r="AS338" s="13" t="s">
        <v>2419</v>
      </c>
      <c r="AT338" s="13" t="s">
        <v>2420</v>
      </c>
      <c r="AU338" s="13" t="s">
        <v>2421</v>
      </c>
      <c r="AV338" s="13" t="s">
        <v>2422</v>
      </c>
      <c r="AW338" s="13" t="s">
        <v>2416</v>
      </c>
      <c r="AX338" s="13" t="s">
        <v>2073</v>
      </c>
      <c r="AY338" s="13" t="s">
        <v>2073</v>
      </c>
      <c r="AZ338" s="13" t="s">
        <v>2073</v>
      </c>
      <c r="BA338" s="13" t="s">
        <v>2073</v>
      </c>
      <c r="BB338" s="13" t="s">
        <v>2073</v>
      </c>
      <c r="BC338" s="13" t="s">
        <v>2073</v>
      </c>
    </row>
    <row r="339" spans="1:55" ht="15.75" customHeight="1">
      <c r="A339" s="13">
        <v>2000</v>
      </c>
      <c r="B339" s="7" t="s">
        <v>1040</v>
      </c>
      <c r="C339" s="211" t="s">
        <v>2412</v>
      </c>
      <c r="D339" s="13" t="s">
        <v>1577</v>
      </c>
      <c r="E339" s="13" t="s">
        <v>1554</v>
      </c>
      <c r="F339" s="211" t="s">
        <v>2413</v>
      </c>
      <c r="G339" s="13" t="s">
        <v>2414</v>
      </c>
      <c r="H339" s="13" t="s">
        <v>2077</v>
      </c>
      <c r="I339" s="13" t="s">
        <v>2077</v>
      </c>
      <c r="J339" s="13" t="s">
        <v>2077</v>
      </c>
      <c r="K339" s="13" t="s">
        <v>2077</v>
      </c>
      <c r="L339" s="13" t="s">
        <v>2077</v>
      </c>
      <c r="M339" s="13" t="s">
        <v>2077</v>
      </c>
      <c r="N339" s="211" t="s">
        <v>2415</v>
      </c>
      <c r="O339" s="13" t="s">
        <v>2416</v>
      </c>
      <c r="P339" s="69" t="str">
        <f t="shared" ref="P339:Q339" si="335">D339</f>
        <v>BC CNC 4</v>
      </c>
      <c r="Q339" s="13" t="str">
        <f t="shared" si="335"/>
        <v>3DR</v>
      </c>
      <c r="R339" s="212" t="s">
        <v>23</v>
      </c>
      <c r="S339" s="213">
        <v>0.97916666666666663</v>
      </c>
      <c r="T339" s="13">
        <v>85</v>
      </c>
      <c r="U339" s="211" t="s">
        <v>83</v>
      </c>
      <c r="V339" s="13">
        <v>1</v>
      </c>
      <c r="W339" s="13" t="s">
        <v>2417</v>
      </c>
      <c r="X339" s="13" t="s">
        <v>1924</v>
      </c>
      <c r="Y339" s="13" t="s">
        <v>2073</v>
      </c>
      <c r="Z339" s="13" t="s">
        <v>2073</v>
      </c>
      <c r="AA339" s="13" t="s">
        <v>2073</v>
      </c>
      <c r="AB339" s="13" t="s">
        <v>1924</v>
      </c>
      <c r="AC339" s="211" t="s">
        <v>2415</v>
      </c>
      <c r="AD339" s="13" t="s">
        <v>2416</v>
      </c>
      <c r="AE339" s="69" t="s">
        <v>1578</v>
      </c>
      <c r="AF339" s="13" t="s">
        <v>2418</v>
      </c>
      <c r="AG339" s="13" t="s">
        <v>2419</v>
      </c>
      <c r="AH339" s="13" t="s">
        <v>2420</v>
      </c>
      <c r="AI339" s="13" t="s">
        <v>2421</v>
      </c>
      <c r="AJ339" s="13" t="s">
        <v>2422</v>
      </c>
      <c r="AK339" s="13" t="s">
        <v>2416</v>
      </c>
      <c r="AL339" s="13" t="s">
        <v>2077</v>
      </c>
      <c r="AM339" s="13" t="s">
        <v>2077</v>
      </c>
      <c r="AN339" s="13" t="s">
        <v>2077</v>
      </c>
      <c r="AO339" s="13" t="s">
        <v>2077</v>
      </c>
      <c r="AP339" s="13" t="s">
        <v>2077</v>
      </c>
      <c r="AQ339" s="13" t="s">
        <v>2077</v>
      </c>
      <c r="AR339" s="13" t="s">
        <v>2418</v>
      </c>
      <c r="AS339" s="13" t="s">
        <v>2419</v>
      </c>
      <c r="AT339" s="13" t="s">
        <v>2420</v>
      </c>
      <c r="AU339" s="13" t="s">
        <v>2421</v>
      </c>
      <c r="AV339" s="13" t="s">
        <v>2422</v>
      </c>
      <c r="AW339" s="13" t="s">
        <v>2416</v>
      </c>
      <c r="AX339" s="13" t="s">
        <v>2073</v>
      </c>
      <c r="AY339" s="13" t="s">
        <v>2073</v>
      </c>
      <c r="AZ339" s="13" t="s">
        <v>2073</v>
      </c>
      <c r="BA339" s="13" t="s">
        <v>2073</v>
      </c>
      <c r="BB339" s="13" t="s">
        <v>2073</v>
      </c>
      <c r="BC339" s="13" t="s">
        <v>2073</v>
      </c>
    </row>
    <row r="340" spans="1:55" ht="15.75" customHeight="1">
      <c r="A340" s="13">
        <v>2000</v>
      </c>
      <c r="B340" s="7" t="s">
        <v>1045</v>
      </c>
      <c r="C340" s="211" t="s">
        <v>2412</v>
      </c>
      <c r="D340" s="13" t="s">
        <v>1581</v>
      </c>
      <c r="E340" s="13" t="s">
        <v>1554</v>
      </c>
      <c r="F340" s="211" t="s">
        <v>2413</v>
      </c>
      <c r="G340" s="13" t="s">
        <v>2414</v>
      </c>
      <c r="H340" s="13" t="s">
        <v>2077</v>
      </c>
      <c r="I340" s="13" t="s">
        <v>2077</v>
      </c>
      <c r="J340" s="13" t="s">
        <v>2077</v>
      </c>
      <c r="K340" s="13" t="s">
        <v>2077</v>
      </c>
      <c r="L340" s="13" t="s">
        <v>2077</v>
      </c>
      <c r="M340" s="13" t="s">
        <v>2077</v>
      </c>
      <c r="N340" s="211" t="s">
        <v>2415</v>
      </c>
      <c r="O340" s="13" t="s">
        <v>2416</v>
      </c>
      <c r="P340" s="69" t="str">
        <f t="shared" ref="P340:Q340" si="336">D340</f>
        <v>BC CNC 5</v>
      </c>
      <c r="Q340" s="13" t="str">
        <f t="shared" si="336"/>
        <v>3DR</v>
      </c>
      <c r="R340" s="212" t="s">
        <v>23</v>
      </c>
      <c r="S340" s="213">
        <v>0.97916666666666663</v>
      </c>
      <c r="T340" s="13">
        <v>85</v>
      </c>
      <c r="U340" s="211" t="s">
        <v>83</v>
      </c>
      <c r="V340" s="13">
        <v>1</v>
      </c>
      <c r="W340" s="13" t="s">
        <v>2417</v>
      </c>
      <c r="X340" s="13" t="s">
        <v>1924</v>
      </c>
      <c r="Y340" s="13" t="s">
        <v>2073</v>
      </c>
      <c r="Z340" s="13" t="s">
        <v>2073</v>
      </c>
      <c r="AA340" s="13" t="s">
        <v>2073</v>
      </c>
      <c r="AB340" s="13" t="s">
        <v>1924</v>
      </c>
      <c r="AC340" s="211" t="s">
        <v>2415</v>
      </c>
      <c r="AD340" s="13" t="s">
        <v>2416</v>
      </c>
      <c r="AE340" s="69" t="s">
        <v>1582</v>
      </c>
      <c r="AF340" s="13" t="s">
        <v>2418</v>
      </c>
      <c r="AG340" s="13" t="s">
        <v>2419</v>
      </c>
      <c r="AH340" s="13" t="s">
        <v>2420</v>
      </c>
      <c r="AI340" s="13" t="s">
        <v>2421</v>
      </c>
      <c r="AJ340" s="13" t="s">
        <v>2422</v>
      </c>
      <c r="AK340" s="13" t="s">
        <v>2416</v>
      </c>
      <c r="AL340" s="13" t="s">
        <v>2077</v>
      </c>
      <c r="AM340" s="13" t="s">
        <v>2077</v>
      </c>
      <c r="AN340" s="13" t="s">
        <v>2077</v>
      </c>
      <c r="AO340" s="13" t="s">
        <v>2077</v>
      </c>
      <c r="AP340" s="13" t="s">
        <v>2077</v>
      </c>
      <c r="AQ340" s="13" t="s">
        <v>2077</v>
      </c>
      <c r="AR340" s="13" t="s">
        <v>2418</v>
      </c>
      <c r="AS340" s="13" t="s">
        <v>2419</v>
      </c>
      <c r="AT340" s="13" t="s">
        <v>2420</v>
      </c>
      <c r="AU340" s="13" t="s">
        <v>2421</v>
      </c>
      <c r="AV340" s="13" t="s">
        <v>2422</v>
      </c>
      <c r="AW340" s="13" t="s">
        <v>2416</v>
      </c>
      <c r="AX340" s="13" t="s">
        <v>2073</v>
      </c>
      <c r="AY340" s="13" t="s">
        <v>2073</v>
      </c>
      <c r="AZ340" s="13" t="s">
        <v>2073</v>
      </c>
      <c r="BA340" s="13" t="s">
        <v>2073</v>
      </c>
      <c r="BB340" s="13" t="s">
        <v>2073</v>
      </c>
      <c r="BC340" s="13" t="s">
        <v>2073</v>
      </c>
    </row>
    <row r="341" spans="1:55" ht="15.75" customHeight="1">
      <c r="A341" s="13">
        <v>2000</v>
      </c>
      <c r="B341" s="7" t="s">
        <v>1050</v>
      </c>
      <c r="C341" s="211" t="s">
        <v>2412</v>
      </c>
      <c r="D341" s="13" t="s">
        <v>1585</v>
      </c>
      <c r="E341" s="13" t="s">
        <v>1554</v>
      </c>
      <c r="F341" s="211" t="s">
        <v>2413</v>
      </c>
      <c r="G341" s="13" t="s">
        <v>2414</v>
      </c>
      <c r="H341" s="13" t="s">
        <v>2077</v>
      </c>
      <c r="I341" s="13" t="s">
        <v>2077</v>
      </c>
      <c r="J341" s="13" t="s">
        <v>2077</v>
      </c>
      <c r="K341" s="13" t="s">
        <v>2077</v>
      </c>
      <c r="L341" s="13" t="s">
        <v>2077</v>
      </c>
      <c r="M341" s="13" t="s">
        <v>2077</v>
      </c>
      <c r="N341" s="211" t="s">
        <v>2415</v>
      </c>
      <c r="O341" s="13" t="s">
        <v>2416</v>
      </c>
      <c r="P341" s="69" t="str">
        <f t="shared" ref="P341:Q341" si="337">D341</f>
        <v>BC CNC 6</v>
      </c>
      <c r="Q341" s="13" t="str">
        <f t="shared" si="337"/>
        <v>3DR</v>
      </c>
      <c r="R341" s="212" t="s">
        <v>23</v>
      </c>
      <c r="S341" s="213">
        <v>0.97916666666666663</v>
      </c>
      <c r="T341" s="13">
        <v>85</v>
      </c>
      <c r="U341" s="211" t="s">
        <v>83</v>
      </c>
      <c r="V341" s="13">
        <v>1</v>
      </c>
      <c r="W341" s="13" t="s">
        <v>2417</v>
      </c>
      <c r="X341" s="13" t="s">
        <v>1924</v>
      </c>
      <c r="Y341" s="13" t="s">
        <v>2073</v>
      </c>
      <c r="Z341" s="13" t="s">
        <v>2073</v>
      </c>
      <c r="AA341" s="13" t="s">
        <v>2073</v>
      </c>
      <c r="AB341" s="13" t="s">
        <v>1924</v>
      </c>
      <c r="AC341" s="211" t="s">
        <v>2415</v>
      </c>
      <c r="AD341" s="13" t="s">
        <v>2416</v>
      </c>
      <c r="AE341" s="69" t="s">
        <v>1586</v>
      </c>
      <c r="AF341" s="13" t="s">
        <v>2418</v>
      </c>
      <c r="AG341" s="13" t="s">
        <v>2419</v>
      </c>
      <c r="AH341" s="13" t="s">
        <v>2420</v>
      </c>
      <c r="AI341" s="13" t="s">
        <v>2421</v>
      </c>
      <c r="AJ341" s="13" t="s">
        <v>2422</v>
      </c>
      <c r="AK341" s="13" t="s">
        <v>2416</v>
      </c>
      <c r="AL341" s="13" t="s">
        <v>2077</v>
      </c>
      <c r="AM341" s="13" t="s">
        <v>2077</v>
      </c>
      <c r="AN341" s="13" t="s">
        <v>2077</v>
      </c>
      <c r="AO341" s="13" t="s">
        <v>2077</v>
      </c>
      <c r="AP341" s="13" t="s">
        <v>2077</v>
      </c>
      <c r="AQ341" s="13" t="s">
        <v>2077</v>
      </c>
      <c r="AR341" s="13" t="s">
        <v>2418</v>
      </c>
      <c r="AS341" s="13" t="s">
        <v>2419</v>
      </c>
      <c r="AT341" s="13" t="s">
        <v>2420</v>
      </c>
      <c r="AU341" s="13" t="s">
        <v>2421</v>
      </c>
      <c r="AV341" s="13" t="s">
        <v>2422</v>
      </c>
      <c r="AW341" s="13" t="s">
        <v>2416</v>
      </c>
      <c r="AX341" s="13" t="s">
        <v>2073</v>
      </c>
      <c r="AY341" s="13" t="s">
        <v>2073</v>
      </c>
      <c r="AZ341" s="13" t="s">
        <v>2073</v>
      </c>
      <c r="BA341" s="13" t="s">
        <v>2073</v>
      </c>
      <c r="BB341" s="13" t="s">
        <v>2073</v>
      </c>
      <c r="BC341" s="13" t="s">
        <v>2073</v>
      </c>
    </row>
    <row r="342" spans="1:55" ht="15.75" customHeight="1">
      <c r="A342" s="13">
        <v>2000</v>
      </c>
      <c r="B342" s="7" t="s">
        <v>1055</v>
      </c>
      <c r="C342" s="211" t="s">
        <v>2412</v>
      </c>
      <c r="D342" s="13" t="s">
        <v>1589</v>
      </c>
      <c r="E342" s="13" t="s">
        <v>1554</v>
      </c>
      <c r="F342" s="211" t="s">
        <v>2413</v>
      </c>
      <c r="G342" s="13" t="s">
        <v>2414</v>
      </c>
      <c r="H342" s="13" t="s">
        <v>2077</v>
      </c>
      <c r="I342" s="13" t="s">
        <v>2077</v>
      </c>
      <c r="J342" s="13" t="s">
        <v>2077</v>
      </c>
      <c r="K342" s="13" t="s">
        <v>2077</v>
      </c>
      <c r="L342" s="13" t="s">
        <v>2077</v>
      </c>
      <c r="M342" s="13" t="s">
        <v>2077</v>
      </c>
      <c r="N342" s="211" t="s">
        <v>2415</v>
      </c>
      <c r="O342" s="13" t="s">
        <v>2416</v>
      </c>
      <c r="P342" s="69" t="str">
        <f t="shared" ref="P342:Q342" si="338">D342</f>
        <v>BC CNC 7</v>
      </c>
      <c r="Q342" s="13" t="str">
        <f t="shared" si="338"/>
        <v>3DR</v>
      </c>
      <c r="R342" s="212" t="s">
        <v>23</v>
      </c>
      <c r="S342" s="213">
        <v>0.64583333333333337</v>
      </c>
      <c r="T342" s="13">
        <v>85</v>
      </c>
      <c r="U342" s="211" t="s">
        <v>24</v>
      </c>
      <c r="V342" s="13">
        <v>1</v>
      </c>
      <c r="W342" s="13" t="s">
        <v>2417</v>
      </c>
      <c r="X342" s="13" t="s">
        <v>1924</v>
      </c>
      <c r="Y342" s="13" t="s">
        <v>2073</v>
      </c>
      <c r="Z342" s="13" t="s">
        <v>2073</v>
      </c>
      <c r="AA342" s="13" t="s">
        <v>2073</v>
      </c>
      <c r="AB342" s="13" t="s">
        <v>1924</v>
      </c>
      <c r="AC342" s="211" t="s">
        <v>2415</v>
      </c>
      <c r="AD342" s="13" t="s">
        <v>2416</v>
      </c>
      <c r="AE342" s="69">
        <v>1112041017</v>
      </c>
      <c r="AF342" s="13" t="s">
        <v>2418</v>
      </c>
      <c r="AG342" s="13" t="s">
        <v>2419</v>
      </c>
      <c r="AH342" s="13" t="s">
        <v>2420</v>
      </c>
      <c r="AI342" s="13" t="s">
        <v>2421</v>
      </c>
      <c r="AJ342" s="13" t="s">
        <v>2422</v>
      </c>
      <c r="AK342" s="13" t="s">
        <v>2416</v>
      </c>
      <c r="AL342" s="13" t="s">
        <v>2077</v>
      </c>
      <c r="AM342" s="13" t="s">
        <v>2077</v>
      </c>
      <c r="AN342" s="13" t="s">
        <v>2077</v>
      </c>
      <c r="AO342" s="13" t="s">
        <v>2077</v>
      </c>
      <c r="AP342" s="13" t="s">
        <v>2077</v>
      </c>
      <c r="AQ342" s="13" t="s">
        <v>2077</v>
      </c>
      <c r="AR342" s="13" t="s">
        <v>2418</v>
      </c>
      <c r="AS342" s="13" t="s">
        <v>2419</v>
      </c>
      <c r="AT342" s="13" t="s">
        <v>2420</v>
      </c>
      <c r="AU342" s="13" t="s">
        <v>2421</v>
      </c>
      <c r="AV342" s="13" t="s">
        <v>2422</v>
      </c>
      <c r="AW342" s="13" t="s">
        <v>2416</v>
      </c>
      <c r="AX342" s="13" t="s">
        <v>2073</v>
      </c>
      <c r="AY342" s="13" t="s">
        <v>2073</v>
      </c>
      <c r="AZ342" s="13" t="s">
        <v>2073</v>
      </c>
      <c r="BA342" s="13" t="s">
        <v>2073</v>
      </c>
      <c r="BB342" s="13" t="s">
        <v>2073</v>
      </c>
      <c r="BC342" s="13" t="s">
        <v>2073</v>
      </c>
    </row>
    <row r="343" spans="1:55" ht="15.75" customHeight="1">
      <c r="A343" s="13">
        <v>2000</v>
      </c>
      <c r="B343" s="7" t="s">
        <v>1060</v>
      </c>
      <c r="C343" s="211" t="s">
        <v>2412</v>
      </c>
      <c r="D343" s="13" t="s">
        <v>1592</v>
      </c>
      <c r="E343" s="13" t="s">
        <v>1554</v>
      </c>
      <c r="F343" s="211" t="s">
        <v>2413</v>
      </c>
      <c r="G343" s="13" t="s">
        <v>2414</v>
      </c>
      <c r="H343" s="13" t="s">
        <v>2077</v>
      </c>
      <c r="I343" s="13" t="s">
        <v>2077</v>
      </c>
      <c r="J343" s="13" t="s">
        <v>2077</v>
      </c>
      <c r="K343" s="13" t="s">
        <v>2077</v>
      </c>
      <c r="L343" s="13" t="s">
        <v>2077</v>
      </c>
      <c r="M343" s="13" t="s">
        <v>2077</v>
      </c>
      <c r="N343" s="211" t="s">
        <v>2415</v>
      </c>
      <c r="O343" s="13" t="s">
        <v>2416</v>
      </c>
      <c r="P343" s="69" t="str">
        <f t="shared" ref="P343:Q343" si="339">D343</f>
        <v>BC CNC 8</v>
      </c>
      <c r="Q343" s="13" t="str">
        <f t="shared" si="339"/>
        <v>3DR</v>
      </c>
      <c r="R343" s="212" t="s">
        <v>23</v>
      </c>
      <c r="S343" s="213">
        <v>0.64583333333333337</v>
      </c>
      <c r="T343" s="13">
        <v>85</v>
      </c>
      <c r="U343" s="211" t="s">
        <v>24</v>
      </c>
      <c r="V343" s="13">
        <v>1</v>
      </c>
      <c r="W343" s="13" t="s">
        <v>2417</v>
      </c>
      <c r="X343" s="13" t="s">
        <v>1924</v>
      </c>
      <c r="Y343" s="13" t="s">
        <v>2073</v>
      </c>
      <c r="Z343" s="13" t="s">
        <v>2073</v>
      </c>
      <c r="AA343" s="13" t="s">
        <v>2073</v>
      </c>
      <c r="AB343" s="13" t="s">
        <v>1924</v>
      </c>
      <c r="AC343" s="211" t="s">
        <v>2415</v>
      </c>
      <c r="AD343" s="13" t="s">
        <v>2416</v>
      </c>
      <c r="AE343" s="69">
        <v>1112041018</v>
      </c>
      <c r="AF343" s="13" t="s">
        <v>2418</v>
      </c>
      <c r="AG343" s="13" t="s">
        <v>2419</v>
      </c>
      <c r="AH343" s="13" t="s">
        <v>2420</v>
      </c>
      <c r="AI343" s="13" t="s">
        <v>2421</v>
      </c>
      <c r="AJ343" s="13" t="s">
        <v>2422</v>
      </c>
      <c r="AK343" s="13" t="s">
        <v>2416</v>
      </c>
      <c r="AL343" s="13" t="s">
        <v>2077</v>
      </c>
      <c r="AM343" s="13" t="s">
        <v>2077</v>
      </c>
      <c r="AN343" s="13" t="s">
        <v>2077</v>
      </c>
      <c r="AO343" s="13" t="s">
        <v>2077</v>
      </c>
      <c r="AP343" s="13" t="s">
        <v>2077</v>
      </c>
      <c r="AQ343" s="13" t="s">
        <v>2077</v>
      </c>
      <c r="AR343" s="13" t="s">
        <v>2418</v>
      </c>
      <c r="AS343" s="13" t="s">
        <v>2419</v>
      </c>
      <c r="AT343" s="13" t="s">
        <v>2420</v>
      </c>
      <c r="AU343" s="13" t="s">
        <v>2421</v>
      </c>
      <c r="AV343" s="13" t="s">
        <v>2422</v>
      </c>
      <c r="AW343" s="13" t="s">
        <v>2416</v>
      </c>
      <c r="AX343" s="13" t="s">
        <v>2073</v>
      </c>
      <c r="AY343" s="13" t="s">
        <v>2073</v>
      </c>
      <c r="AZ343" s="13" t="s">
        <v>2073</v>
      </c>
      <c r="BA343" s="13" t="s">
        <v>2073</v>
      </c>
      <c r="BB343" s="13" t="s">
        <v>2073</v>
      </c>
      <c r="BC343" s="13" t="s">
        <v>2073</v>
      </c>
    </row>
    <row r="344" spans="1:55" ht="15.75" customHeight="1">
      <c r="A344" s="13">
        <v>2000</v>
      </c>
      <c r="B344" s="7" t="s">
        <v>1065</v>
      </c>
      <c r="C344" s="211" t="s">
        <v>2412</v>
      </c>
      <c r="D344" s="13" t="s">
        <v>1595</v>
      </c>
      <c r="E344" s="13" t="s">
        <v>1554</v>
      </c>
      <c r="F344" s="211" t="s">
        <v>2413</v>
      </c>
      <c r="G344" s="13" t="s">
        <v>2414</v>
      </c>
      <c r="H344" s="13" t="s">
        <v>2077</v>
      </c>
      <c r="I344" s="13" t="s">
        <v>2077</v>
      </c>
      <c r="J344" s="13" t="s">
        <v>2077</v>
      </c>
      <c r="K344" s="13" t="s">
        <v>2077</v>
      </c>
      <c r="L344" s="13" t="s">
        <v>2077</v>
      </c>
      <c r="M344" s="13" t="s">
        <v>2077</v>
      </c>
      <c r="N344" s="211" t="s">
        <v>2415</v>
      </c>
      <c r="O344" s="13" t="s">
        <v>2416</v>
      </c>
      <c r="P344" s="69" t="str">
        <f t="shared" ref="P344:Q344" si="340">D344</f>
        <v>BC CNC 9</v>
      </c>
      <c r="Q344" s="13" t="str">
        <f t="shared" si="340"/>
        <v>3DR</v>
      </c>
      <c r="R344" s="212" t="s">
        <v>23</v>
      </c>
      <c r="S344" s="213">
        <v>0.64583333333333337</v>
      </c>
      <c r="T344" s="13">
        <v>85</v>
      </c>
      <c r="U344" s="211" t="s">
        <v>24</v>
      </c>
      <c r="V344" s="13">
        <v>1</v>
      </c>
      <c r="W344" s="13" t="s">
        <v>2417</v>
      </c>
      <c r="X344" s="13" t="s">
        <v>1924</v>
      </c>
      <c r="Y344" s="13" t="s">
        <v>2073</v>
      </c>
      <c r="Z344" s="13" t="s">
        <v>2073</v>
      </c>
      <c r="AA344" s="13" t="s">
        <v>2073</v>
      </c>
      <c r="AB344" s="13" t="s">
        <v>1924</v>
      </c>
      <c r="AC344" s="211" t="s">
        <v>2415</v>
      </c>
      <c r="AD344" s="13" t="s">
        <v>2416</v>
      </c>
      <c r="AE344" s="69">
        <v>1112041019</v>
      </c>
      <c r="AF344" s="13" t="s">
        <v>2418</v>
      </c>
      <c r="AG344" s="13" t="s">
        <v>2419</v>
      </c>
      <c r="AH344" s="13" t="s">
        <v>2420</v>
      </c>
      <c r="AI344" s="13" t="s">
        <v>2421</v>
      </c>
      <c r="AJ344" s="13" t="s">
        <v>2422</v>
      </c>
      <c r="AK344" s="13" t="s">
        <v>2416</v>
      </c>
      <c r="AL344" s="13" t="s">
        <v>2077</v>
      </c>
      <c r="AM344" s="13" t="s">
        <v>2077</v>
      </c>
      <c r="AN344" s="13" t="s">
        <v>2077</v>
      </c>
      <c r="AO344" s="13" t="s">
        <v>2077</v>
      </c>
      <c r="AP344" s="13" t="s">
        <v>2077</v>
      </c>
      <c r="AQ344" s="13" t="s">
        <v>2077</v>
      </c>
      <c r="AR344" s="13" t="s">
        <v>2418</v>
      </c>
      <c r="AS344" s="13" t="s">
        <v>2419</v>
      </c>
      <c r="AT344" s="13" t="s">
        <v>2420</v>
      </c>
      <c r="AU344" s="13" t="s">
        <v>2421</v>
      </c>
      <c r="AV344" s="13" t="s">
        <v>2422</v>
      </c>
      <c r="AW344" s="13" t="s">
        <v>2416</v>
      </c>
      <c r="AX344" s="13" t="s">
        <v>2073</v>
      </c>
      <c r="AY344" s="13" t="s">
        <v>2073</v>
      </c>
      <c r="AZ344" s="13" t="s">
        <v>2073</v>
      </c>
      <c r="BA344" s="13" t="s">
        <v>2073</v>
      </c>
      <c r="BB344" s="13" t="s">
        <v>2073</v>
      </c>
      <c r="BC344" s="13" t="s">
        <v>2073</v>
      </c>
    </row>
    <row r="345" spans="1:55" ht="15.75" customHeight="1">
      <c r="A345" s="13">
        <v>2000</v>
      </c>
      <c r="B345" s="7" t="s">
        <v>1070</v>
      </c>
      <c r="C345" s="211" t="s">
        <v>2412</v>
      </c>
      <c r="D345" s="13" t="s">
        <v>2321</v>
      </c>
      <c r="E345" s="13" t="s">
        <v>1554</v>
      </c>
      <c r="F345" s="211" t="s">
        <v>2413</v>
      </c>
      <c r="G345" s="13" t="s">
        <v>2414</v>
      </c>
      <c r="H345" s="13" t="s">
        <v>2077</v>
      </c>
      <c r="I345" s="13" t="s">
        <v>2077</v>
      </c>
      <c r="J345" s="13" t="s">
        <v>2077</v>
      </c>
      <c r="K345" s="13" t="s">
        <v>2077</v>
      </c>
      <c r="L345" s="13" t="s">
        <v>2077</v>
      </c>
      <c r="M345" s="13" t="s">
        <v>2077</v>
      </c>
      <c r="N345" s="211" t="s">
        <v>2415</v>
      </c>
      <c r="O345" s="13" t="s">
        <v>2416</v>
      </c>
      <c r="P345" s="69" t="str">
        <f t="shared" ref="P345:Q345" si="341">D345</f>
        <v>BC MANUAL 1</v>
      </c>
      <c r="Q345" s="13" t="str">
        <f t="shared" si="341"/>
        <v>3DR</v>
      </c>
      <c r="R345" s="212" t="s">
        <v>23</v>
      </c>
      <c r="S345" s="213">
        <v>0.97916666666666663</v>
      </c>
      <c r="T345" s="13">
        <v>85</v>
      </c>
      <c r="U345" s="211" t="s">
        <v>83</v>
      </c>
      <c r="V345" s="13">
        <v>1</v>
      </c>
      <c r="W345" s="13" t="s">
        <v>2417</v>
      </c>
      <c r="X345" s="13" t="s">
        <v>1924</v>
      </c>
      <c r="Y345" s="13" t="s">
        <v>2073</v>
      </c>
      <c r="Z345" s="13" t="s">
        <v>2073</v>
      </c>
      <c r="AA345" s="13" t="s">
        <v>2073</v>
      </c>
      <c r="AB345" s="13" t="s">
        <v>1924</v>
      </c>
      <c r="AC345" s="211" t="s">
        <v>2415</v>
      </c>
      <c r="AD345" s="13" t="s">
        <v>2416</v>
      </c>
      <c r="AE345" s="69" t="s">
        <v>1598</v>
      </c>
      <c r="AF345" s="13" t="s">
        <v>2418</v>
      </c>
      <c r="AG345" s="13" t="s">
        <v>2419</v>
      </c>
      <c r="AH345" s="13" t="s">
        <v>2420</v>
      </c>
      <c r="AI345" s="13" t="s">
        <v>2421</v>
      </c>
      <c r="AJ345" s="13" t="s">
        <v>2422</v>
      </c>
      <c r="AK345" s="13" t="s">
        <v>2416</v>
      </c>
      <c r="AL345" s="13" t="s">
        <v>2077</v>
      </c>
      <c r="AM345" s="13" t="s">
        <v>2077</v>
      </c>
      <c r="AN345" s="13" t="s">
        <v>2077</v>
      </c>
      <c r="AO345" s="13" t="s">
        <v>2077</v>
      </c>
      <c r="AP345" s="13" t="s">
        <v>2077</v>
      </c>
      <c r="AQ345" s="13" t="s">
        <v>2077</v>
      </c>
      <c r="AR345" s="13" t="s">
        <v>2418</v>
      </c>
      <c r="AS345" s="13" t="s">
        <v>2419</v>
      </c>
      <c r="AT345" s="13" t="s">
        <v>2420</v>
      </c>
      <c r="AU345" s="13" t="s">
        <v>2421</v>
      </c>
      <c r="AV345" s="13" t="s">
        <v>2422</v>
      </c>
      <c r="AW345" s="13" t="s">
        <v>2416</v>
      </c>
      <c r="AX345" s="13" t="s">
        <v>2073</v>
      </c>
      <c r="AY345" s="13" t="s">
        <v>2073</v>
      </c>
      <c r="AZ345" s="13" t="s">
        <v>2073</v>
      </c>
      <c r="BA345" s="13" t="s">
        <v>2073</v>
      </c>
      <c r="BB345" s="13" t="s">
        <v>2073</v>
      </c>
      <c r="BC345" s="13" t="s">
        <v>2073</v>
      </c>
    </row>
    <row r="346" spans="1:55" ht="15.75" customHeight="1">
      <c r="A346" s="13">
        <v>2000</v>
      </c>
      <c r="B346" s="7" t="s">
        <v>1075</v>
      </c>
      <c r="C346" s="211" t="s">
        <v>2412</v>
      </c>
      <c r="D346" s="13" t="s">
        <v>1601</v>
      </c>
      <c r="E346" s="13" t="s">
        <v>1554</v>
      </c>
      <c r="F346" s="211" t="s">
        <v>2413</v>
      </c>
      <c r="G346" s="13" t="s">
        <v>2414</v>
      </c>
      <c r="H346" s="13" t="s">
        <v>2077</v>
      </c>
      <c r="I346" s="13" t="s">
        <v>2077</v>
      </c>
      <c r="J346" s="13" t="s">
        <v>2077</v>
      </c>
      <c r="K346" s="13" t="s">
        <v>2077</v>
      </c>
      <c r="L346" s="13" t="s">
        <v>2077</v>
      </c>
      <c r="M346" s="13" t="s">
        <v>2077</v>
      </c>
      <c r="N346" s="211" t="s">
        <v>2415</v>
      </c>
      <c r="O346" s="13" t="s">
        <v>2416</v>
      </c>
      <c r="P346" s="69" t="str">
        <f t="shared" ref="P346:Q346" si="342">D346</f>
        <v>BC MANUAL 2</v>
      </c>
      <c r="Q346" s="13" t="str">
        <f t="shared" si="342"/>
        <v>3DR</v>
      </c>
      <c r="R346" s="212" t="s">
        <v>23</v>
      </c>
      <c r="S346" s="213">
        <v>0.97916666666666663</v>
      </c>
      <c r="T346" s="13">
        <v>85</v>
      </c>
      <c r="U346" s="211" t="s">
        <v>83</v>
      </c>
      <c r="V346" s="13">
        <v>1</v>
      </c>
      <c r="W346" s="13" t="s">
        <v>2417</v>
      </c>
      <c r="X346" s="13" t="s">
        <v>1924</v>
      </c>
      <c r="Y346" s="13" t="s">
        <v>2073</v>
      </c>
      <c r="Z346" s="13" t="s">
        <v>2073</v>
      </c>
      <c r="AA346" s="13" t="s">
        <v>2073</v>
      </c>
      <c r="AB346" s="13" t="s">
        <v>1924</v>
      </c>
      <c r="AC346" s="211" t="s">
        <v>2415</v>
      </c>
      <c r="AD346" s="13" t="s">
        <v>2416</v>
      </c>
      <c r="AE346" s="69" t="s">
        <v>1598</v>
      </c>
      <c r="AF346" s="13" t="s">
        <v>2418</v>
      </c>
      <c r="AG346" s="13" t="s">
        <v>2419</v>
      </c>
      <c r="AH346" s="13" t="s">
        <v>2420</v>
      </c>
      <c r="AI346" s="13" t="s">
        <v>2421</v>
      </c>
      <c r="AJ346" s="13" t="s">
        <v>2422</v>
      </c>
      <c r="AK346" s="13" t="s">
        <v>2416</v>
      </c>
      <c r="AL346" s="13" t="s">
        <v>2077</v>
      </c>
      <c r="AM346" s="13" t="s">
        <v>2077</v>
      </c>
      <c r="AN346" s="13" t="s">
        <v>2077</v>
      </c>
      <c r="AO346" s="13" t="s">
        <v>2077</v>
      </c>
      <c r="AP346" s="13" t="s">
        <v>2077</v>
      </c>
      <c r="AQ346" s="13" t="s">
        <v>2077</v>
      </c>
      <c r="AR346" s="13" t="s">
        <v>2418</v>
      </c>
      <c r="AS346" s="13" t="s">
        <v>2419</v>
      </c>
      <c r="AT346" s="13" t="s">
        <v>2420</v>
      </c>
      <c r="AU346" s="13" t="s">
        <v>2421</v>
      </c>
      <c r="AV346" s="13" t="s">
        <v>2422</v>
      </c>
      <c r="AW346" s="13" t="s">
        <v>2416</v>
      </c>
      <c r="AX346" s="13" t="s">
        <v>2073</v>
      </c>
      <c r="AY346" s="13" t="s">
        <v>2073</v>
      </c>
      <c r="AZ346" s="13" t="s">
        <v>2073</v>
      </c>
      <c r="BA346" s="13" t="s">
        <v>2073</v>
      </c>
      <c r="BB346" s="13" t="s">
        <v>2073</v>
      </c>
      <c r="BC346" s="13" t="s">
        <v>2073</v>
      </c>
    </row>
    <row r="347" spans="1:55" ht="15.75" customHeight="1">
      <c r="A347" s="13">
        <v>2000</v>
      </c>
      <c r="B347" s="7" t="s">
        <v>1080</v>
      </c>
      <c r="C347" s="211" t="s">
        <v>2412</v>
      </c>
      <c r="D347" s="13" t="s">
        <v>1604</v>
      </c>
      <c r="E347" s="13" t="s">
        <v>1554</v>
      </c>
      <c r="F347" s="211" t="s">
        <v>2413</v>
      </c>
      <c r="G347" s="13" t="s">
        <v>2414</v>
      </c>
      <c r="H347" s="13" t="s">
        <v>2077</v>
      </c>
      <c r="I347" s="13" t="s">
        <v>2077</v>
      </c>
      <c r="J347" s="13" t="s">
        <v>2077</v>
      </c>
      <c r="K347" s="13" t="s">
        <v>2077</v>
      </c>
      <c r="L347" s="13" t="s">
        <v>2077</v>
      </c>
      <c r="M347" s="13" t="s">
        <v>2077</v>
      </c>
      <c r="N347" s="211" t="s">
        <v>2415</v>
      </c>
      <c r="O347" s="13" t="s">
        <v>2416</v>
      </c>
      <c r="P347" s="69" t="str">
        <f t="shared" ref="P347:Q347" si="343">D347</f>
        <v>BC MANUAL 3</v>
      </c>
      <c r="Q347" s="13" t="str">
        <f t="shared" si="343"/>
        <v>3DR</v>
      </c>
      <c r="R347" s="212" t="s">
        <v>23</v>
      </c>
      <c r="S347" s="213">
        <v>0.97916666666666663</v>
      </c>
      <c r="T347" s="13">
        <v>85</v>
      </c>
      <c r="U347" s="211" t="s">
        <v>83</v>
      </c>
      <c r="V347" s="13">
        <v>1</v>
      </c>
      <c r="W347" s="13" t="s">
        <v>2417</v>
      </c>
      <c r="X347" s="13" t="s">
        <v>1924</v>
      </c>
      <c r="Y347" s="13" t="s">
        <v>2073</v>
      </c>
      <c r="Z347" s="13" t="s">
        <v>2073</v>
      </c>
      <c r="AA347" s="13" t="s">
        <v>2073</v>
      </c>
      <c r="AB347" s="13" t="s">
        <v>1924</v>
      </c>
      <c r="AC347" s="211" t="s">
        <v>2415</v>
      </c>
      <c r="AD347" s="13" t="s">
        <v>2416</v>
      </c>
      <c r="AE347" s="69" t="s">
        <v>1598</v>
      </c>
      <c r="AF347" s="13" t="s">
        <v>2418</v>
      </c>
      <c r="AG347" s="13" t="s">
        <v>2419</v>
      </c>
      <c r="AH347" s="13" t="s">
        <v>2420</v>
      </c>
      <c r="AI347" s="13" t="s">
        <v>2421</v>
      </c>
      <c r="AJ347" s="13" t="s">
        <v>2422</v>
      </c>
      <c r="AK347" s="13" t="s">
        <v>2416</v>
      </c>
      <c r="AL347" s="13" t="s">
        <v>2077</v>
      </c>
      <c r="AM347" s="13" t="s">
        <v>2077</v>
      </c>
      <c r="AN347" s="13" t="s">
        <v>2077</v>
      </c>
      <c r="AO347" s="13" t="s">
        <v>2077</v>
      </c>
      <c r="AP347" s="13" t="s">
        <v>2077</v>
      </c>
      <c r="AQ347" s="13" t="s">
        <v>2077</v>
      </c>
      <c r="AR347" s="13" t="s">
        <v>2418</v>
      </c>
      <c r="AS347" s="13" t="s">
        <v>2419</v>
      </c>
      <c r="AT347" s="13" t="s">
        <v>2420</v>
      </c>
      <c r="AU347" s="13" t="s">
        <v>2421</v>
      </c>
      <c r="AV347" s="13" t="s">
        <v>2422</v>
      </c>
      <c r="AW347" s="13" t="s">
        <v>2416</v>
      </c>
      <c r="AX347" s="13" t="s">
        <v>2073</v>
      </c>
      <c r="AY347" s="13" t="s">
        <v>2073</v>
      </c>
      <c r="AZ347" s="13" t="s">
        <v>2073</v>
      </c>
      <c r="BA347" s="13" t="s">
        <v>2073</v>
      </c>
      <c r="BB347" s="13" t="s">
        <v>2073</v>
      </c>
      <c r="BC347" s="13" t="s">
        <v>2073</v>
      </c>
    </row>
    <row r="348" spans="1:55" ht="15.75" customHeight="1">
      <c r="A348" s="13">
        <v>2000</v>
      </c>
      <c r="B348" s="7" t="s">
        <v>1085</v>
      </c>
      <c r="C348" s="211" t="s">
        <v>2412</v>
      </c>
      <c r="D348" s="13" t="s">
        <v>1607</v>
      </c>
      <c r="E348" s="13" t="s">
        <v>1554</v>
      </c>
      <c r="F348" s="211" t="s">
        <v>2413</v>
      </c>
      <c r="G348" s="13" t="s">
        <v>2414</v>
      </c>
      <c r="H348" s="13" t="s">
        <v>2077</v>
      </c>
      <c r="I348" s="13" t="s">
        <v>2077</v>
      </c>
      <c r="J348" s="13" t="s">
        <v>2077</v>
      </c>
      <c r="K348" s="13" t="s">
        <v>2077</v>
      </c>
      <c r="L348" s="13" t="s">
        <v>2077</v>
      </c>
      <c r="M348" s="13" t="s">
        <v>2077</v>
      </c>
      <c r="N348" s="211" t="s">
        <v>2415</v>
      </c>
      <c r="O348" s="13" t="s">
        <v>2416</v>
      </c>
      <c r="P348" s="69" t="str">
        <f t="shared" ref="P348:Q348" si="344">D348</f>
        <v>BC SINGLE END</v>
      </c>
      <c r="Q348" s="13" t="str">
        <f t="shared" si="344"/>
        <v>3DR</v>
      </c>
      <c r="R348" s="212" t="s">
        <v>23</v>
      </c>
      <c r="S348" s="213">
        <v>0.97916666666666663</v>
      </c>
      <c r="T348" s="13">
        <v>85</v>
      </c>
      <c r="U348" s="211" t="s">
        <v>83</v>
      </c>
      <c r="V348" s="13">
        <v>1</v>
      </c>
      <c r="W348" s="13" t="s">
        <v>2417</v>
      </c>
      <c r="X348" s="13" t="s">
        <v>1924</v>
      </c>
      <c r="Y348" s="13" t="s">
        <v>2073</v>
      </c>
      <c r="Z348" s="13" t="s">
        <v>2073</v>
      </c>
      <c r="AA348" s="13" t="s">
        <v>2073</v>
      </c>
      <c r="AB348" s="13" t="s">
        <v>1924</v>
      </c>
      <c r="AC348" s="211" t="s">
        <v>2415</v>
      </c>
      <c r="AD348" s="13" t="s">
        <v>2416</v>
      </c>
      <c r="AE348" s="69" t="s">
        <v>1608</v>
      </c>
      <c r="AF348" s="13" t="s">
        <v>2418</v>
      </c>
      <c r="AG348" s="13" t="s">
        <v>2419</v>
      </c>
      <c r="AH348" s="13" t="s">
        <v>2420</v>
      </c>
      <c r="AI348" s="13" t="s">
        <v>2421</v>
      </c>
      <c r="AJ348" s="13" t="s">
        <v>2422</v>
      </c>
      <c r="AK348" s="13" t="s">
        <v>2416</v>
      </c>
      <c r="AL348" s="13" t="s">
        <v>2077</v>
      </c>
      <c r="AM348" s="13" t="s">
        <v>2077</v>
      </c>
      <c r="AN348" s="13" t="s">
        <v>2077</v>
      </c>
      <c r="AO348" s="13" t="s">
        <v>2077</v>
      </c>
      <c r="AP348" s="13" t="s">
        <v>2077</v>
      </c>
      <c r="AQ348" s="13" t="s">
        <v>2077</v>
      </c>
      <c r="AR348" s="13" t="s">
        <v>2418</v>
      </c>
      <c r="AS348" s="13" t="s">
        <v>2419</v>
      </c>
      <c r="AT348" s="13" t="s">
        <v>2420</v>
      </c>
      <c r="AU348" s="13" t="s">
        <v>2421</v>
      </c>
      <c r="AV348" s="13" t="s">
        <v>2422</v>
      </c>
      <c r="AW348" s="13" t="s">
        <v>2416</v>
      </c>
      <c r="AX348" s="13" t="s">
        <v>2073</v>
      </c>
      <c r="AY348" s="13" t="s">
        <v>2073</v>
      </c>
      <c r="AZ348" s="13" t="s">
        <v>2073</v>
      </c>
      <c r="BA348" s="13" t="s">
        <v>2073</v>
      </c>
      <c r="BB348" s="13" t="s">
        <v>2073</v>
      </c>
      <c r="BC348" s="13" t="s">
        <v>2073</v>
      </c>
    </row>
    <row r="349" spans="1:55" ht="15.75" customHeight="1">
      <c r="A349" s="13">
        <v>2000</v>
      </c>
      <c r="B349" s="7" t="s">
        <v>1090</v>
      </c>
      <c r="C349" s="211" t="s">
        <v>2412</v>
      </c>
      <c r="D349" s="13" t="s">
        <v>1611</v>
      </c>
      <c r="E349" s="13" t="s">
        <v>1554</v>
      </c>
      <c r="F349" s="211" t="s">
        <v>2413</v>
      </c>
      <c r="G349" s="13" t="s">
        <v>2414</v>
      </c>
      <c r="H349" s="13" t="s">
        <v>2077</v>
      </c>
      <c r="I349" s="13" t="s">
        <v>2077</v>
      </c>
      <c r="J349" s="13" t="s">
        <v>2077</v>
      </c>
      <c r="K349" s="13" t="s">
        <v>2077</v>
      </c>
      <c r="L349" s="13" t="s">
        <v>2077</v>
      </c>
      <c r="M349" s="13" t="s">
        <v>2077</v>
      </c>
      <c r="N349" s="211" t="s">
        <v>2415</v>
      </c>
      <c r="O349" s="13" t="s">
        <v>2416</v>
      </c>
      <c r="P349" s="69" t="str">
        <f t="shared" ref="P349:Q349" si="345">D349</f>
        <v>BC SANDING</v>
      </c>
      <c r="Q349" s="13" t="str">
        <f t="shared" si="345"/>
        <v>3DR</v>
      </c>
      <c r="R349" s="212" t="s">
        <v>23</v>
      </c>
      <c r="S349" s="213">
        <v>0.64583333333333337</v>
      </c>
      <c r="T349" s="13">
        <v>85</v>
      </c>
      <c r="U349" s="211" t="s">
        <v>24</v>
      </c>
      <c r="V349" s="13">
        <v>1</v>
      </c>
      <c r="W349" s="13" t="s">
        <v>2417</v>
      </c>
      <c r="X349" s="13" t="s">
        <v>1924</v>
      </c>
      <c r="Y349" s="13" t="s">
        <v>2073</v>
      </c>
      <c r="Z349" s="13" t="s">
        <v>2073</v>
      </c>
      <c r="AA349" s="13" t="s">
        <v>2073</v>
      </c>
      <c r="AB349" s="13" t="s">
        <v>1924</v>
      </c>
      <c r="AC349" s="211" t="s">
        <v>2415</v>
      </c>
      <c r="AD349" s="13" t="s">
        <v>2416</v>
      </c>
      <c r="AE349" s="69" t="s">
        <v>1612</v>
      </c>
      <c r="AF349" s="13" t="s">
        <v>2418</v>
      </c>
      <c r="AG349" s="13" t="s">
        <v>2419</v>
      </c>
      <c r="AH349" s="13" t="s">
        <v>2420</v>
      </c>
      <c r="AI349" s="13" t="s">
        <v>2421</v>
      </c>
      <c r="AJ349" s="13" t="s">
        <v>2422</v>
      </c>
      <c r="AK349" s="13" t="s">
        <v>2416</v>
      </c>
      <c r="AL349" s="13" t="s">
        <v>2077</v>
      </c>
      <c r="AM349" s="13" t="s">
        <v>2077</v>
      </c>
      <c r="AN349" s="13" t="s">
        <v>2077</v>
      </c>
      <c r="AO349" s="13" t="s">
        <v>2077</v>
      </c>
      <c r="AP349" s="13" t="s">
        <v>2077</v>
      </c>
      <c r="AQ349" s="13" t="s">
        <v>2077</v>
      </c>
      <c r="AR349" s="13" t="s">
        <v>2418</v>
      </c>
      <c r="AS349" s="13" t="s">
        <v>2419</v>
      </c>
      <c r="AT349" s="13" t="s">
        <v>2420</v>
      </c>
      <c r="AU349" s="13" t="s">
        <v>2421</v>
      </c>
      <c r="AV349" s="13" t="s">
        <v>2422</v>
      </c>
      <c r="AW349" s="13" t="s">
        <v>2416</v>
      </c>
      <c r="AX349" s="13" t="s">
        <v>2073</v>
      </c>
      <c r="AY349" s="13" t="s">
        <v>2073</v>
      </c>
      <c r="AZ349" s="13" t="s">
        <v>2073</v>
      </c>
      <c r="BA349" s="13" t="s">
        <v>2073</v>
      </c>
      <c r="BB349" s="13" t="s">
        <v>2073</v>
      </c>
      <c r="BC349" s="13" t="s">
        <v>2073</v>
      </c>
    </row>
    <row r="350" spans="1:55" ht="15.75" customHeight="1">
      <c r="A350" s="13">
        <v>2000</v>
      </c>
      <c r="B350" s="7" t="s">
        <v>1095</v>
      </c>
      <c r="C350" s="211" t="s">
        <v>2412</v>
      </c>
      <c r="D350" s="13" t="s">
        <v>1615</v>
      </c>
      <c r="E350" s="13" t="s">
        <v>1554</v>
      </c>
      <c r="F350" s="211" t="s">
        <v>2413</v>
      </c>
      <c r="G350" s="13" t="s">
        <v>2414</v>
      </c>
      <c r="H350" s="13" t="s">
        <v>2077</v>
      </c>
      <c r="I350" s="13" t="s">
        <v>2077</v>
      </c>
      <c r="J350" s="13" t="s">
        <v>2077</v>
      </c>
      <c r="K350" s="13" t="s">
        <v>2077</v>
      </c>
      <c r="L350" s="13" t="s">
        <v>2077</v>
      </c>
      <c r="M350" s="13" t="s">
        <v>2077</v>
      </c>
      <c r="N350" s="211" t="s">
        <v>2415</v>
      </c>
      <c r="O350" s="13" t="s">
        <v>2416</v>
      </c>
      <c r="P350" s="69" t="str">
        <f t="shared" ref="P350:Q350" si="346">D350</f>
        <v>BC RESIN 1</v>
      </c>
      <c r="Q350" s="13" t="str">
        <f t="shared" si="346"/>
        <v>3DR</v>
      </c>
      <c r="R350" s="212" t="s">
        <v>23</v>
      </c>
      <c r="S350" s="213">
        <v>0.64583333333333337</v>
      </c>
      <c r="T350" s="13">
        <v>85</v>
      </c>
      <c r="U350" s="211" t="s">
        <v>24</v>
      </c>
      <c r="V350" s="13">
        <v>1</v>
      </c>
      <c r="W350" s="13" t="s">
        <v>2417</v>
      </c>
      <c r="X350" s="13" t="s">
        <v>1924</v>
      </c>
      <c r="Y350" s="13" t="s">
        <v>2073</v>
      </c>
      <c r="Z350" s="13" t="s">
        <v>2073</v>
      </c>
      <c r="AA350" s="13" t="s">
        <v>2073</v>
      </c>
      <c r="AB350" s="13" t="s">
        <v>1924</v>
      </c>
      <c r="AC350" s="211" t="s">
        <v>2415</v>
      </c>
      <c r="AD350" s="13" t="s">
        <v>2416</v>
      </c>
      <c r="AE350" s="69">
        <v>1112041013</v>
      </c>
      <c r="AF350" s="13" t="s">
        <v>2418</v>
      </c>
      <c r="AG350" s="13" t="s">
        <v>2419</v>
      </c>
      <c r="AH350" s="13" t="s">
        <v>2420</v>
      </c>
      <c r="AI350" s="13" t="s">
        <v>2421</v>
      </c>
      <c r="AJ350" s="13" t="s">
        <v>2422</v>
      </c>
      <c r="AK350" s="13" t="s">
        <v>2416</v>
      </c>
      <c r="AL350" s="13" t="s">
        <v>2077</v>
      </c>
      <c r="AM350" s="13" t="s">
        <v>2077</v>
      </c>
      <c r="AN350" s="13" t="s">
        <v>2077</v>
      </c>
      <c r="AO350" s="13" t="s">
        <v>2077</v>
      </c>
      <c r="AP350" s="13" t="s">
        <v>2077</v>
      </c>
      <c r="AQ350" s="13" t="s">
        <v>2077</v>
      </c>
      <c r="AR350" s="13" t="s">
        <v>2418</v>
      </c>
      <c r="AS350" s="13" t="s">
        <v>2419</v>
      </c>
      <c r="AT350" s="13" t="s">
        <v>2420</v>
      </c>
      <c r="AU350" s="13" t="s">
        <v>2421</v>
      </c>
      <c r="AV350" s="13" t="s">
        <v>2422</v>
      </c>
      <c r="AW350" s="13" t="s">
        <v>2416</v>
      </c>
      <c r="AX350" s="13" t="s">
        <v>2073</v>
      </c>
      <c r="AY350" s="13" t="s">
        <v>2073</v>
      </c>
      <c r="AZ350" s="13" t="s">
        <v>2073</v>
      </c>
      <c r="BA350" s="13" t="s">
        <v>2073</v>
      </c>
      <c r="BB350" s="13" t="s">
        <v>2073</v>
      </c>
      <c r="BC350" s="13" t="s">
        <v>2073</v>
      </c>
    </row>
    <row r="351" spans="1:55" ht="15.75" customHeight="1">
      <c r="A351" s="13">
        <v>2000</v>
      </c>
      <c r="B351" s="7" t="s">
        <v>1100</v>
      </c>
      <c r="C351" s="211" t="s">
        <v>2412</v>
      </c>
      <c r="D351" s="13" t="s">
        <v>1618</v>
      </c>
      <c r="E351" s="13" t="s">
        <v>1554</v>
      </c>
      <c r="F351" s="211" t="s">
        <v>2413</v>
      </c>
      <c r="G351" s="13" t="s">
        <v>2414</v>
      </c>
      <c r="H351" s="13" t="s">
        <v>2077</v>
      </c>
      <c r="I351" s="13" t="s">
        <v>2077</v>
      </c>
      <c r="J351" s="13" t="s">
        <v>2077</v>
      </c>
      <c r="K351" s="13" t="s">
        <v>2077</v>
      </c>
      <c r="L351" s="13" t="s">
        <v>2077</v>
      </c>
      <c r="M351" s="13" t="s">
        <v>2077</v>
      </c>
      <c r="N351" s="211" t="s">
        <v>2415</v>
      </c>
      <c r="O351" s="13" t="s">
        <v>2416</v>
      </c>
      <c r="P351" s="69" t="str">
        <f t="shared" ref="P351:Q351" si="347">D351</f>
        <v>BC RESIN 2</v>
      </c>
      <c r="Q351" s="13" t="str">
        <f t="shared" si="347"/>
        <v>3DR</v>
      </c>
      <c r="R351" s="212" t="s">
        <v>23</v>
      </c>
      <c r="S351" s="213">
        <v>0.64583333333333337</v>
      </c>
      <c r="T351" s="13">
        <v>85</v>
      </c>
      <c r="U351" s="211" t="s">
        <v>24</v>
      </c>
      <c r="V351" s="13">
        <v>1</v>
      </c>
      <c r="W351" s="13" t="s">
        <v>2417</v>
      </c>
      <c r="X351" s="13" t="s">
        <v>1924</v>
      </c>
      <c r="Y351" s="13" t="s">
        <v>2073</v>
      </c>
      <c r="Z351" s="13" t="s">
        <v>2073</v>
      </c>
      <c r="AA351" s="13" t="s">
        <v>2073</v>
      </c>
      <c r="AB351" s="13" t="s">
        <v>1924</v>
      </c>
      <c r="AC351" s="211" t="s">
        <v>2415</v>
      </c>
      <c r="AD351" s="13" t="s">
        <v>2416</v>
      </c>
      <c r="AE351" s="69">
        <v>1112041013</v>
      </c>
      <c r="AF351" s="13" t="s">
        <v>2418</v>
      </c>
      <c r="AG351" s="13" t="s">
        <v>2419</v>
      </c>
      <c r="AH351" s="13" t="s">
        <v>2420</v>
      </c>
      <c r="AI351" s="13" t="s">
        <v>2421</v>
      </c>
      <c r="AJ351" s="13" t="s">
        <v>2422</v>
      </c>
      <c r="AK351" s="13" t="s">
        <v>2416</v>
      </c>
      <c r="AL351" s="13" t="s">
        <v>2077</v>
      </c>
      <c r="AM351" s="13" t="s">
        <v>2077</v>
      </c>
      <c r="AN351" s="13" t="s">
        <v>2077</v>
      </c>
      <c r="AO351" s="13" t="s">
        <v>2077</v>
      </c>
      <c r="AP351" s="13" t="s">
        <v>2077</v>
      </c>
      <c r="AQ351" s="13" t="s">
        <v>2077</v>
      </c>
      <c r="AR351" s="13" t="s">
        <v>2418</v>
      </c>
      <c r="AS351" s="13" t="s">
        <v>2419</v>
      </c>
      <c r="AT351" s="13" t="s">
        <v>2420</v>
      </c>
      <c r="AU351" s="13" t="s">
        <v>2421</v>
      </c>
      <c r="AV351" s="13" t="s">
        <v>2422</v>
      </c>
      <c r="AW351" s="13" t="s">
        <v>2416</v>
      </c>
      <c r="AX351" s="13" t="s">
        <v>2073</v>
      </c>
      <c r="AY351" s="13" t="s">
        <v>2073</v>
      </c>
      <c r="AZ351" s="13" t="s">
        <v>2073</v>
      </c>
      <c r="BA351" s="13" t="s">
        <v>2073</v>
      </c>
      <c r="BB351" s="13" t="s">
        <v>2073</v>
      </c>
      <c r="BC351" s="13" t="s">
        <v>2073</v>
      </c>
    </row>
    <row r="352" spans="1:55" ht="15.75" customHeight="1">
      <c r="A352" s="13">
        <v>2000</v>
      </c>
      <c r="B352" s="7" t="s">
        <v>1104</v>
      </c>
      <c r="C352" s="211" t="s">
        <v>2412</v>
      </c>
      <c r="D352" s="13" t="s">
        <v>1624</v>
      </c>
      <c r="E352" s="13" t="s">
        <v>1554</v>
      </c>
      <c r="F352" s="211" t="s">
        <v>2413</v>
      </c>
      <c r="G352" s="13" t="s">
        <v>2414</v>
      </c>
      <c r="H352" s="13" t="s">
        <v>2077</v>
      </c>
      <c r="I352" s="13" t="s">
        <v>2077</v>
      </c>
      <c r="J352" s="13" t="s">
        <v>2077</v>
      </c>
      <c r="K352" s="13" t="s">
        <v>2077</v>
      </c>
      <c r="L352" s="13" t="s">
        <v>2077</v>
      </c>
      <c r="M352" s="13" t="s">
        <v>2077</v>
      </c>
      <c r="N352" s="211" t="s">
        <v>2415</v>
      </c>
      <c r="O352" s="13" t="s">
        <v>2416</v>
      </c>
      <c r="P352" s="69" t="str">
        <f t="shared" ref="P352:Q352" si="348">D352</f>
        <v>BC FINAL SANDING</v>
      </c>
      <c r="Q352" s="13" t="str">
        <f t="shared" si="348"/>
        <v>3DR</v>
      </c>
      <c r="R352" s="212" t="s">
        <v>23</v>
      </c>
      <c r="S352" s="213">
        <v>0.83333333333333337</v>
      </c>
      <c r="T352" s="13">
        <v>85</v>
      </c>
      <c r="U352" s="211" t="s">
        <v>83</v>
      </c>
      <c r="V352" s="13">
        <v>1</v>
      </c>
      <c r="W352" s="13" t="s">
        <v>2417</v>
      </c>
      <c r="X352" s="13" t="s">
        <v>1924</v>
      </c>
      <c r="Y352" s="13" t="s">
        <v>2073</v>
      </c>
      <c r="Z352" s="13" t="s">
        <v>2073</v>
      </c>
      <c r="AA352" s="13" t="s">
        <v>2073</v>
      </c>
      <c r="AB352" s="13" t="s">
        <v>1924</v>
      </c>
      <c r="AC352" s="211" t="s">
        <v>2415</v>
      </c>
      <c r="AD352" s="13" t="s">
        <v>2416</v>
      </c>
      <c r="AE352" s="69" t="s">
        <v>1625</v>
      </c>
      <c r="AF352" s="13" t="s">
        <v>2418</v>
      </c>
      <c r="AG352" s="13" t="s">
        <v>2419</v>
      </c>
      <c r="AH352" s="13" t="s">
        <v>2420</v>
      </c>
      <c r="AI352" s="13" t="s">
        <v>2421</v>
      </c>
      <c r="AJ352" s="13" t="s">
        <v>2422</v>
      </c>
      <c r="AK352" s="13" t="s">
        <v>2416</v>
      </c>
      <c r="AL352" s="13" t="s">
        <v>2077</v>
      </c>
      <c r="AM352" s="13" t="s">
        <v>2077</v>
      </c>
      <c r="AN352" s="13" t="s">
        <v>2077</v>
      </c>
      <c r="AO352" s="13" t="s">
        <v>2077</v>
      </c>
      <c r="AP352" s="13" t="s">
        <v>2077</v>
      </c>
      <c r="AQ352" s="13" t="s">
        <v>2077</v>
      </c>
      <c r="AR352" s="13" t="s">
        <v>2418</v>
      </c>
      <c r="AS352" s="13" t="s">
        <v>2419</v>
      </c>
      <c r="AT352" s="13" t="s">
        <v>2420</v>
      </c>
      <c r="AU352" s="13" t="s">
        <v>2421</v>
      </c>
      <c r="AV352" s="13" t="s">
        <v>2422</v>
      </c>
      <c r="AW352" s="13" t="s">
        <v>2416</v>
      </c>
      <c r="AX352" s="13" t="s">
        <v>2073</v>
      </c>
      <c r="AY352" s="13" t="s">
        <v>2073</v>
      </c>
      <c r="AZ352" s="13" t="s">
        <v>2073</v>
      </c>
      <c r="BA352" s="13" t="s">
        <v>2073</v>
      </c>
      <c r="BB352" s="13" t="s">
        <v>2073</v>
      </c>
      <c r="BC352" s="13" t="s">
        <v>2073</v>
      </c>
    </row>
    <row r="353" spans="1:55" ht="15.75" customHeight="1">
      <c r="A353" s="13">
        <v>2000</v>
      </c>
      <c r="B353" s="7" t="s">
        <v>1107</v>
      </c>
      <c r="C353" s="211" t="s">
        <v>2412</v>
      </c>
      <c r="D353" s="13" t="s">
        <v>1628</v>
      </c>
      <c r="E353" s="13" t="s">
        <v>1554</v>
      </c>
      <c r="F353" s="211" t="s">
        <v>2413</v>
      </c>
      <c r="G353" s="13" t="s">
        <v>2414</v>
      </c>
      <c r="H353" s="13" t="s">
        <v>2077</v>
      </c>
      <c r="I353" s="13" t="s">
        <v>2077</v>
      </c>
      <c r="J353" s="13" t="s">
        <v>2077</v>
      </c>
      <c r="K353" s="13" t="s">
        <v>2077</v>
      </c>
      <c r="L353" s="13" t="s">
        <v>2077</v>
      </c>
      <c r="M353" s="13" t="s">
        <v>2077</v>
      </c>
      <c r="N353" s="211" t="s">
        <v>2415</v>
      </c>
      <c r="O353" s="13" t="s">
        <v>2416</v>
      </c>
      <c r="P353" s="69" t="str">
        <f t="shared" ref="P353:Q353" si="349">D353</f>
        <v>BC BRUSH</v>
      </c>
      <c r="Q353" s="13" t="str">
        <f t="shared" si="349"/>
        <v>3DR</v>
      </c>
      <c r="R353" s="212" t="s">
        <v>23</v>
      </c>
      <c r="S353" s="213">
        <v>0.83333333333333337</v>
      </c>
      <c r="T353" s="13">
        <v>85</v>
      </c>
      <c r="U353" s="211" t="s">
        <v>83</v>
      </c>
      <c r="V353" s="13">
        <v>1</v>
      </c>
      <c r="W353" s="13" t="s">
        <v>2417</v>
      </c>
      <c r="X353" s="13" t="s">
        <v>1924</v>
      </c>
      <c r="Y353" s="13" t="s">
        <v>2073</v>
      </c>
      <c r="Z353" s="13" t="s">
        <v>2073</v>
      </c>
      <c r="AA353" s="13" t="s">
        <v>2073</v>
      </c>
      <c r="AB353" s="13" t="s">
        <v>1924</v>
      </c>
      <c r="AC353" s="211" t="s">
        <v>2415</v>
      </c>
      <c r="AD353" s="13" t="s">
        <v>2416</v>
      </c>
      <c r="AE353" s="69">
        <v>1112042004</v>
      </c>
      <c r="AF353" s="13" t="s">
        <v>2418</v>
      </c>
      <c r="AG353" s="13" t="s">
        <v>2419</v>
      </c>
      <c r="AH353" s="13" t="s">
        <v>2420</v>
      </c>
      <c r="AI353" s="13" t="s">
        <v>2421</v>
      </c>
      <c r="AJ353" s="13" t="s">
        <v>2422</v>
      </c>
      <c r="AK353" s="13" t="s">
        <v>2416</v>
      </c>
      <c r="AL353" s="13" t="s">
        <v>2077</v>
      </c>
      <c r="AM353" s="13" t="s">
        <v>2077</v>
      </c>
      <c r="AN353" s="13" t="s">
        <v>2077</v>
      </c>
      <c r="AO353" s="13" t="s">
        <v>2077</v>
      </c>
      <c r="AP353" s="13" t="s">
        <v>2077</v>
      </c>
      <c r="AQ353" s="13" t="s">
        <v>2077</v>
      </c>
      <c r="AR353" s="13" t="s">
        <v>2418</v>
      </c>
      <c r="AS353" s="13" t="s">
        <v>2419</v>
      </c>
      <c r="AT353" s="13" t="s">
        <v>2420</v>
      </c>
      <c r="AU353" s="13" t="s">
        <v>2421</v>
      </c>
      <c r="AV353" s="13" t="s">
        <v>2422</v>
      </c>
      <c r="AW353" s="13" t="s">
        <v>2416</v>
      </c>
      <c r="AX353" s="13" t="s">
        <v>2073</v>
      </c>
      <c r="AY353" s="13" t="s">
        <v>2073</v>
      </c>
      <c r="AZ353" s="13" t="s">
        <v>2073</v>
      </c>
      <c r="BA353" s="13" t="s">
        <v>2073</v>
      </c>
      <c r="BB353" s="13" t="s">
        <v>2073</v>
      </c>
      <c r="BC353" s="13" t="s">
        <v>2073</v>
      </c>
    </row>
    <row r="354" spans="1:55" ht="15.75" customHeight="1">
      <c r="A354" s="13">
        <v>2000</v>
      </c>
      <c r="B354" s="7" t="s">
        <v>1109</v>
      </c>
      <c r="C354" s="211" t="s">
        <v>2412</v>
      </c>
      <c r="D354" s="13" t="s">
        <v>1631</v>
      </c>
      <c r="E354" s="13" t="s">
        <v>1554</v>
      </c>
      <c r="F354" s="211" t="s">
        <v>2413</v>
      </c>
      <c r="G354" s="13" t="s">
        <v>2414</v>
      </c>
      <c r="H354" s="13" t="s">
        <v>2077</v>
      </c>
      <c r="I354" s="13" t="s">
        <v>2077</v>
      </c>
      <c r="J354" s="13" t="s">
        <v>2077</v>
      </c>
      <c r="K354" s="13" t="s">
        <v>2077</v>
      </c>
      <c r="L354" s="13" t="s">
        <v>2077</v>
      </c>
      <c r="M354" s="13" t="s">
        <v>2077</v>
      </c>
      <c r="N354" s="211" t="s">
        <v>2415</v>
      </c>
      <c r="O354" s="13" t="s">
        <v>2416</v>
      </c>
      <c r="P354" s="69" t="str">
        <f t="shared" ref="P354:Q354" si="350">D354</f>
        <v>BC SUB ASSY</v>
      </c>
      <c r="Q354" s="13" t="str">
        <f t="shared" si="350"/>
        <v>3DR</v>
      </c>
      <c r="R354" s="212" t="s">
        <v>23</v>
      </c>
      <c r="S354" s="213">
        <v>0.83333333333333337</v>
      </c>
      <c r="T354" s="13">
        <v>85</v>
      </c>
      <c r="U354" s="211" t="s">
        <v>83</v>
      </c>
      <c r="V354" s="13">
        <v>1</v>
      </c>
      <c r="W354" s="13" t="s">
        <v>2417</v>
      </c>
      <c r="X354" s="13" t="s">
        <v>1924</v>
      </c>
      <c r="Y354" s="13" t="s">
        <v>2073</v>
      </c>
      <c r="Z354" s="13" t="s">
        <v>2073</v>
      </c>
      <c r="AA354" s="13" t="s">
        <v>2073</v>
      </c>
      <c r="AB354" s="13" t="s">
        <v>1924</v>
      </c>
      <c r="AC354" s="211" t="s">
        <v>2415</v>
      </c>
      <c r="AD354" s="13" t="s">
        <v>2416</v>
      </c>
      <c r="AE354" s="69">
        <v>1112042005</v>
      </c>
      <c r="AF354" s="13" t="s">
        <v>2418</v>
      </c>
      <c r="AG354" s="13" t="s">
        <v>2419</v>
      </c>
      <c r="AH354" s="13" t="s">
        <v>2420</v>
      </c>
      <c r="AI354" s="13" t="s">
        <v>2421</v>
      </c>
      <c r="AJ354" s="13" t="s">
        <v>2422</v>
      </c>
      <c r="AK354" s="13" t="s">
        <v>2416</v>
      </c>
      <c r="AL354" s="13" t="s">
        <v>2077</v>
      </c>
      <c r="AM354" s="13" t="s">
        <v>2077</v>
      </c>
      <c r="AN354" s="13" t="s">
        <v>2077</v>
      </c>
      <c r="AO354" s="13" t="s">
        <v>2077</v>
      </c>
      <c r="AP354" s="13" t="s">
        <v>2077</v>
      </c>
      <c r="AQ354" s="13" t="s">
        <v>2077</v>
      </c>
      <c r="AR354" s="13" t="s">
        <v>2418</v>
      </c>
      <c r="AS354" s="13" t="s">
        <v>2419</v>
      </c>
      <c r="AT354" s="13" t="s">
        <v>2420</v>
      </c>
      <c r="AU354" s="13" t="s">
        <v>2421</v>
      </c>
      <c r="AV354" s="13" t="s">
        <v>2422</v>
      </c>
      <c r="AW354" s="13" t="s">
        <v>2416</v>
      </c>
      <c r="AX354" s="13" t="s">
        <v>2073</v>
      </c>
      <c r="AY354" s="13" t="s">
        <v>2073</v>
      </c>
      <c r="AZ354" s="13" t="s">
        <v>2073</v>
      </c>
      <c r="BA354" s="13" t="s">
        <v>2073</v>
      </c>
      <c r="BB354" s="13" t="s">
        <v>2073</v>
      </c>
      <c r="BC354" s="13" t="s">
        <v>2073</v>
      </c>
    </row>
    <row r="355" spans="1:55" ht="15.75" customHeight="1">
      <c r="A355" s="13">
        <v>2000</v>
      </c>
      <c r="B355" s="7" t="s">
        <v>1174</v>
      </c>
      <c r="C355" s="211" t="s">
        <v>2412</v>
      </c>
      <c r="D355" s="13" t="s">
        <v>2322</v>
      </c>
      <c r="E355" s="13" t="s">
        <v>1554</v>
      </c>
      <c r="F355" s="211" t="s">
        <v>2413</v>
      </c>
      <c r="G355" s="13" t="s">
        <v>2414</v>
      </c>
      <c r="H355" s="13" t="s">
        <v>2077</v>
      </c>
      <c r="I355" s="13" t="s">
        <v>2077</v>
      </c>
      <c r="J355" s="13" t="s">
        <v>2077</v>
      </c>
      <c r="K355" s="13" t="s">
        <v>2077</v>
      </c>
      <c r="L355" s="13" t="s">
        <v>2077</v>
      </c>
      <c r="M355" s="13" t="s">
        <v>2077</v>
      </c>
      <c r="N355" s="211" t="s">
        <v>2415</v>
      </c>
      <c r="O355" s="13" t="s">
        <v>2416</v>
      </c>
      <c r="P355" s="69" t="str">
        <f t="shared" ref="P355:Q355" si="351">D355</f>
        <v>BC FINAL ASSY</v>
      </c>
      <c r="Q355" s="13" t="str">
        <f t="shared" si="351"/>
        <v>3DR</v>
      </c>
      <c r="R355" s="212" t="s">
        <v>23</v>
      </c>
      <c r="S355" s="213">
        <v>0.83333333333333337</v>
      </c>
      <c r="T355" s="13">
        <v>85</v>
      </c>
      <c r="U355" s="211" t="s">
        <v>83</v>
      </c>
      <c r="V355" s="13">
        <v>1</v>
      </c>
      <c r="W355" s="13" t="s">
        <v>2417</v>
      </c>
      <c r="X355" s="13" t="s">
        <v>1924</v>
      </c>
      <c r="Y355" s="13" t="s">
        <v>2073</v>
      </c>
      <c r="Z355" s="13" t="s">
        <v>2073</v>
      </c>
      <c r="AA355" s="13" t="s">
        <v>2073</v>
      </c>
      <c r="AB355" s="13" t="s">
        <v>1924</v>
      </c>
      <c r="AC355" s="211" t="s">
        <v>2415</v>
      </c>
      <c r="AD355" s="13" t="s">
        <v>2416</v>
      </c>
      <c r="AE355" s="69">
        <v>1112042006</v>
      </c>
      <c r="AF355" s="13" t="s">
        <v>2418</v>
      </c>
      <c r="AG355" s="13" t="s">
        <v>2419</v>
      </c>
      <c r="AH355" s="13" t="s">
        <v>2420</v>
      </c>
      <c r="AI355" s="13" t="s">
        <v>2421</v>
      </c>
      <c r="AJ355" s="13" t="s">
        <v>2422</v>
      </c>
      <c r="AK355" s="13" t="s">
        <v>2416</v>
      </c>
      <c r="AL355" s="13" t="s">
        <v>2077</v>
      </c>
      <c r="AM355" s="13" t="s">
        <v>2077</v>
      </c>
      <c r="AN355" s="13" t="s">
        <v>2077</v>
      </c>
      <c r="AO355" s="13" t="s">
        <v>2077</v>
      </c>
      <c r="AP355" s="13" t="s">
        <v>2077</v>
      </c>
      <c r="AQ355" s="13" t="s">
        <v>2077</v>
      </c>
      <c r="AR355" s="13" t="s">
        <v>2418</v>
      </c>
      <c r="AS355" s="13" t="s">
        <v>2419</v>
      </c>
      <c r="AT355" s="13" t="s">
        <v>2420</v>
      </c>
      <c r="AU355" s="13" t="s">
        <v>2421</v>
      </c>
      <c r="AV355" s="13" t="s">
        <v>2422</v>
      </c>
      <c r="AW355" s="13" t="s">
        <v>2416</v>
      </c>
      <c r="AX355" s="13" t="s">
        <v>2073</v>
      </c>
      <c r="AY355" s="13" t="s">
        <v>2073</v>
      </c>
      <c r="AZ355" s="13" t="s">
        <v>2073</v>
      </c>
      <c r="BA355" s="13" t="s">
        <v>2073</v>
      </c>
      <c r="BB355" s="13" t="s">
        <v>2073</v>
      </c>
      <c r="BC355" s="13" t="s">
        <v>2073</v>
      </c>
    </row>
    <row r="356" spans="1:55" ht="15.75" customHeight="1">
      <c r="A356" s="13">
        <v>2000</v>
      </c>
      <c r="B356" s="7" t="s">
        <v>1179</v>
      </c>
      <c r="C356" s="211" t="s">
        <v>2412</v>
      </c>
      <c r="D356" s="13" t="s">
        <v>1637</v>
      </c>
      <c r="E356" s="13" t="s">
        <v>1554</v>
      </c>
      <c r="F356" s="211" t="s">
        <v>2413</v>
      </c>
      <c r="G356" s="13" t="s">
        <v>2414</v>
      </c>
      <c r="H356" s="13" t="s">
        <v>2077</v>
      </c>
      <c r="I356" s="13" t="s">
        <v>2077</v>
      </c>
      <c r="J356" s="13" t="s">
        <v>2077</v>
      </c>
      <c r="K356" s="13" t="s">
        <v>2077</v>
      </c>
      <c r="L356" s="13" t="s">
        <v>2077</v>
      </c>
      <c r="M356" s="13" t="s">
        <v>2077</v>
      </c>
      <c r="N356" s="211" t="s">
        <v>2415</v>
      </c>
      <c r="O356" s="13" t="s">
        <v>2416</v>
      </c>
      <c r="P356" s="69" t="str">
        <f t="shared" ref="P356:Q356" si="352">D356</f>
        <v>BC PACKING</v>
      </c>
      <c r="Q356" s="13" t="str">
        <f t="shared" si="352"/>
        <v>3DR</v>
      </c>
      <c r="R356" s="212" t="s">
        <v>23</v>
      </c>
      <c r="S356" s="213">
        <v>0.64583333333333337</v>
      </c>
      <c r="T356" s="13">
        <v>85</v>
      </c>
      <c r="U356" s="211" t="s">
        <v>24</v>
      </c>
      <c r="V356" s="13">
        <v>1</v>
      </c>
      <c r="W356" s="13" t="s">
        <v>2417</v>
      </c>
      <c r="X356" s="13" t="s">
        <v>1924</v>
      </c>
      <c r="Y356" s="13" t="s">
        <v>2073</v>
      </c>
      <c r="Z356" s="13" t="s">
        <v>2073</v>
      </c>
      <c r="AA356" s="13" t="s">
        <v>2073</v>
      </c>
      <c r="AB356" s="13" t="s">
        <v>1924</v>
      </c>
      <c r="AC356" s="211" t="s">
        <v>2415</v>
      </c>
      <c r="AD356" s="13" t="s">
        <v>2416</v>
      </c>
      <c r="AE356" s="69" t="s">
        <v>1638</v>
      </c>
      <c r="AF356" s="13" t="s">
        <v>2418</v>
      </c>
      <c r="AG356" s="13" t="s">
        <v>2419</v>
      </c>
      <c r="AH356" s="13" t="s">
        <v>2420</v>
      </c>
      <c r="AI356" s="13" t="s">
        <v>2421</v>
      </c>
      <c r="AJ356" s="13" t="s">
        <v>2422</v>
      </c>
      <c r="AK356" s="13" t="s">
        <v>2416</v>
      </c>
      <c r="AL356" s="13" t="s">
        <v>2077</v>
      </c>
      <c r="AM356" s="13" t="s">
        <v>2077</v>
      </c>
      <c r="AN356" s="13" t="s">
        <v>2077</v>
      </c>
      <c r="AO356" s="13" t="s">
        <v>2077</v>
      </c>
      <c r="AP356" s="13" t="s">
        <v>2077</v>
      </c>
      <c r="AQ356" s="13" t="s">
        <v>2077</v>
      </c>
      <c r="AR356" s="13" t="s">
        <v>2418</v>
      </c>
      <c r="AS356" s="13" t="s">
        <v>2419</v>
      </c>
      <c r="AT356" s="13" t="s">
        <v>2420</v>
      </c>
      <c r="AU356" s="13" t="s">
        <v>2421</v>
      </c>
      <c r="AV356" s="13" t="s">
        <v>2422</v>
      </c>
      <c r="AW356" s="13" t="s">
        <v>2416</v>
      </c>
      <c r="AX356" s="13" t="s">
        <v>2073</v>
      </c>
      <c r="AY356" s="13" t="s">
        <v>2073</v>
      </c>
      <c r="AZ356" s="13" t="s">
        <v>2073</v>
      </c>
      <c r="BA356" s="13" t="s">
        <v>2073</v>
      </c>
      <c r="BB356" s="13" t="s">
        <v>2073</v>
      </c>
      <c r="BC356" s="13" t="s">
        <v>2073</v>
      </c>
    </row>
    <row r="357" spans="1:55" ht="15.75" customHeight="1">
      <c r="A357" s="13">
        <v>2000</v>
      </c>
      <c r="B357" s="7" t="s">
        <v>1183</v>
      </c>
      <c r="C357" s="211" t="s">
        <v>2412</v>
      </c>
      <c r="D357" s="13" t="s">
        <v>1641</v>
      </c>
      <c r="E357" s="13" t="s">
        <v>1554</v>
      </c>
      <c r="F357" s="211" t="s">
        <v>2413</v>
      </c>
      <c r="G357" s="13" t="s">
        <v>2414</v>
      </c>
      <c r="H357" s="13" t="s">
        <v>2077</v>
      </c>
      <c r="I357" s="13" t="s">
        <v>2077</v>
      </c>
      <c r="J357" s="13" t="s">
        <v>2077</v>
      </c>
      <c r="K357" s="13" t="s">
        <v>2077</v>
      </c>
      <c r="L357" s="13" t="s">
        <v>2077</v>
      </c>
      <c r="M357" s="13" t="s">
        <v>2077</v>
      </c>
      <c r="N357" s="211" t="s">
        <v>2415</v>
      </c>
      <c r="O357" s="13" t="s">
        <v>2416</v>
      </c>
      <c r="P357" s="69" t="str">
        <f t="shared" ref="P357:Q357" si="353">D357</f>
        <v>BC EDGE BANDING (HF)</v>
      </c>
      <c r="Q357" s="13" t="str">
        <f t="shared" si="353"/>
        <v>3DR</v>
      </c>
      <c r="R357" s="212" t="s">
        <v>23</v>
      </c>
      <c r="S357" s="213">
        <v>0.97916666666666663</v>
      </c>
      <c r="T357" s="13">
        <v>85</v>
      </c>
      <c r="U357" s="211" t="s">
        <v>83</v>
      </c>
      <c r="V357" s="13">
        <v>1</v>
      </c>
      <c r="W357" s="13" t="s">
        <v>2417</v>
      </c>
      <c r="X357" s="13" t="s">
        <v>1924</v>
      </c>
      <c r="Y357" s="13" t="s">
        <v>2073</v>
      </c>
      <c r="Z357" s="13" t="s">
        <v>2073</v>
      </c>
      <c r="AA357" s="13" t="s">
        <v>2073</v>
      </c>
      <c r="AB357" s="13" t="s">
        <v>1924</v>
      </c>
      <c r="AC357" s="211" t="s">
        <v>2415</v>
      </c>
      <c r="AD357" s="13" t="s">
        <v>2416</v>
      </c>
      <c r="AE357" s="69">
        <v>1112042011</v>
      </c>
      <c r="AF357" s="13" t="s">
        <v>2418</v>
      </c>
      <c r="AG357" s="13" t="s">
        <v>2419</v>
      </c>
      <c r="AH357" s="13" t="s">
        <v>2420</v>
      </c>
      <c r="AI357" s="13" t="s">
        <v>2421</v>
      </c>
      <c r="AJ357" s="13" t="s">
        <v>2422</v>
      </c>
      <c r="AK357" s="13" t="s">
        <v>2416</v>
      </c>
      <c r="AL357" s="13" t="s">
        <v>2077</v>
      </c>
      <c r="AM357" s="13" t="s">
        <v>2077</v>
      </c>
      <c r="AN357" s="13" t="s">
        <v>2077</v>
      </c>
      <c r="AO357" s="13" t="s">
        <v>2077</v>
      </c>
      <c r="AP357" s="13" t="s">
        <v>2077</v>
      </c>
      <c r="AQ357" s="13" t="s">
        <v>2077</v>
      </c>
      <c r="AR357" s="13" t="s">
        <v>2418</v>
      </c>
      <c r="AS357" s="13" t="s">
        <v>2419</v>
      </c>
      <c r="AT357" s="13" t="s">
        <v>2420</v>
      </c>
      <c r="AU357" s="13" t="s">
        <v>2421</v>
      </c>
      <c r="AV357" s="13" t="s">
        <v>2422</v>
      </c>
      <c r="AW357" s="13" t="s">
        <v>2416</v>
      </c>
      <c r="AX357" s="13" t="s">
        <v>2073</v>
      </c>
      <c r="AY357" s="13" t="s">
        <v>2073</v>
      </c>
      <c r="AZ357" s="13" t="s">
        <v>2073</v>
      </c>
      <c r="BA357" s="13" t="s">
        <v>2073</v>
      </c>
      <c r="BB357" s="13" t="s">
        <v>2073</v>
      </c>
      <c r="BC357" s="13" t="s">
        <v>2073</v>
      </c>
    </row>
    <row r="358" spans="1:55" ht="15.75" customHeight="1">
      <c r="A358" s="13">
        <v>2000</v>
      </c>
      <c r="B358" s="7" t="s">
        <v>1187</v>
      </c>
      <c r="C358" s="211" t="s">
        <v>2412</v>
      </c>
      <c r="D358" s="13" t="s">
        <v>1645</v>
      </c>
      <c r="E358" s="13" t="s">
        <v>1554</v>
      </c>
      <c r="F358" s="211" t="s">
        <v>2413</v>
      </c>
      <c r="G358" s="13" t="s">
        <v>2414</v>
      </c>
      <c r="H358" s="13" t="s">
        <v>2077</v>
      </c>
      <c r="I358" s="13" t="s">
        <v>2077</v>
      </c>
      <c r="J358" s="13" t="s">
        <v>2077</v>
      </c>
      <c r="K358" s="13" t="s">
        <v>2077</v>
      </c>
      <c r="L358" s="13" t="s">
        <v>2077</v>
      </c>
      <c r="M358" s="13" t="s">
        <v>2077</v>
      </c>
      <c r="N358" s="211" t="s">
        <v>2415</v>
      </c>
      <c r="O358" s="13" t="s">
        <v>2416</v>
      </c>
      <c r="P358" s="69" t="str">
        <f t="shared" ref="P358:Q358" si="354">D358</f>
        <v>BC ASSY CG A</v>
      </c>
      <c r="Q358" s="13" t="str">
        <f t="shared" si="354"/>
        <v>3DR</v>
      </c>
      <c r="R358" s="212" t="s">
        <v>23</v>
      </c>
      <c r="S358" s="213">
        <v>0.875</v>
      </c>
      <c r="T358" s="13">
        <v>85</v>
      </c>
      <c r="U358" s="211" t="s">
        <v>83</v>
      </c>
      <c r="V358" s="13">
        <v>1</v>
      </c>
      <c r="W358" s="13" t="s">
        <v>2417</v>
      </c>
      <c r="X358" s="13" t="s">
        <v>1924</v>
      </c>
      <c r="Y358" s="13" t="s">
        <v>2073</v>
      </c>
      <c r="Z358" s="13" t="s">
        <v>2073</v>
      </c>
      <c r="AA358" s="13" t="s">
        <v>2073</v>
      </c>
      <c r="AB358" s="13" t="s">
        <v>1924</v>
      </c>
      <c r="AC358" s="211" t="s">
        <v>2415</v>
      </c>
      <c r="AD358" s="13" t="s">
        <v>2416</v>
      </c>
      <c r="AE358" s="69">
        <v>1112042007</v>
      </c>
      <c r="AF358" s="13" t="s">
        <v>2418</v>
      </c>
      <c r="AG358" s="13" t="s">
        <v>2419</v>
      </c>
      <c r="AH358" s="13" t="s">
        <v>2420</v>
      </c>
      <c r="AI358" s="13" t="s">
        <v>2421</v>
      </c>
      <c r="AJ358" s="13" t="s">
        <v>2422</v>
      </c>
      <c r="AK358" s="13" t="s">
        <v>2416</v>
      </c>
      <c r="AL358" s="13" t="s">
        <v>2077</v>
      </c>
      <c r="AM358" s="13" t="s">
        <v>2077</v>
      </c>
      <c r="AN358" s="13" t="s">
        <v>2077</v>
      </c>
      <c r="AO358" s="13" t="s">
        <v>2077</v>
      </c>
      <c r="AP358" s="13" t="s">
        <v>2077</v>
      </c>
      <c r="AQ358" s="13" t="s">
        <v>2077</v>
      </c>
      <c r="AR358" s="13" t="s">
        <v>2418</v>
      </c>
      <c r="AS358" s="13" t="s">
        <v>2419</v>
      </c>
      <c r="AT358" s="13" t="s">
        <v>2420</v>
      </c>
      <c r="AU358" s="13" t="s">
        <v>2421</v>
      </c>
      <c r="AV358" s="13" t="s">
        <v>2422</v>
      </c>
      <c r="AW358" s="13" t="s">
        <v>2416</v>
      </c>
      <c r="AX358" s="13" t="s">
        <v>2073</v>
      </c>
      <c r="AY358" s="13" t="s">
        <v>2073</v>
      </c>
      <c r="AZ358" s="13" t="s">
        <v>2073</v>
      </c>
      <c r="BA358" s="13" t="s">
        <v>2073</v>
      </c>
      <c r="BB358" s="13" t="s">
        <v>2073</v>
      </c>
      <c r="BC358" s="13" t="s">
        <v>2073</v>
      </c>
    </row>
    <row r="359" spans="1:55" ht="15.75" customHeight="1">
      <c r="A359" s="13">
        <v>2000</v>
      </c>
      <c r="B359" s="7" t="s">
        <v>1191</v>
      </c>
      <c r="C359" s="211" t="s">
        <v>2412</v>
      </c>
      <c r="D359" s="13" t="s">
        <v>1652</v>
      </c>
      <c r="E359" s="13" t="s">
        <v>1554</v>
      </c>
      <c r="F359" s="211" t="s">
        <v>2413</v>
      </c>
      <c r="G359" s="13" t="s">
        <v>2414</v>
      </c>
      <c r="H359" s="13" t="s">
        <v>2077</v>
      </c>
      <c r="I359" s="13" t="s">
        <v>2077</v>
      </c>
      <c r="J359" s="13" t="s">
        <v>2077</v>
      </c>
      <c r="K359" s="13" t="s">
        <v>2077</v>
      </c>
      <c r="L359" s="13" t="s">
        <v>2077</v>
      </c>
      <c r="M359" s="13" t="s">
        <v>2077</v>
      </c>
      <c r="N359" s="211" t="s">
        <v>2415</v>
      </c>
      <c r="O359" s="13" t="s">
        <v>2416</v>
      </c>
      <c r="P359" s="69" t="str">
        <f t="shared" ref="P359:Q359" si="355">D359</f>
        <v>BC ASSY CG B</v>
      </c>
      <c r="Q359" s="13" t="str">
        <f t="shared" si="355"/>
        <v>3DR</v>
      </c>
      <c r="R359" s="212" t="s">
        <v>23</v>
      </c>
      <c r="S359" s="213">
        <v>0.875</v>
      </c>
      <c r="T359" s="13">
        <v>85</v>
      </c>
      <c r="U359" s="211" t="s">
        <v>83</v>
      </c>
      <c r="V359" s="13">
        <v>1</v>
      </c>
      <c r="W359" s="13" t="s">
        <v>2417</v>
      </c>
      <c r="X359" s="13" t="s">
        <v>1924</v>
      </c>
      <c r="Y359" s="13" t="s">
        <v>2073</v>
      </c>
      <c r="Z359" s="13" t="s">
        <v>2073</v>
      </c>
      <c r="AA359" s="13" t="s">
        <v>2073</v>
      </c>
      <c r="AB359" s="13" t="s">
        <v>1924</v>
      </c>
      <c r="AC359" s="211" t="s">
        <v>2415</v>
      </c>
      <c r="AD359" s="13" t="s">
        <v>2416</v>
      </c>
      <c r="AE359" s="69">
        <v>1112042008</v>
      </c>
      <c r="AF359" s="13" t="s">
        <v>2418</v>
      </c>
      <c r="AG359" s="13" t="s">
        <v>2419</v>
      </c>
      <c r="AH359" s="13" t="s">
        <v>2420</v>
      </c>
      <c r="AI359" s="13" t="s">
        <v>2421</v>
      </c>
      <c r="AJ359" s="13" t="s">
        <v>2422</v>
      </c>
      <c r="AK359" s="13" t="s">
        <v>2416</v>
      </c>
      <c r="AL359" s="13" t="s">
        <v>2077</v>
      </c>
      <c r="AM359" s="13" t="s">
        <v>2077</v>
      </c>
      <c r="AN359" s="13" t="s">
        <v>2077</v>
      </c>
      <c r="AO359" s="13" t="s">
        <v>2077</v>
      </c>
      <c r="AP359" s="13" t="s">
        <v>2077</v>
      </c>
      <c r="AQ359" s="13" t="s">
        <v>2077</v>
      </c>
      <c r="AR359" s="13" t="s">
        <v>2418</v>
      </c>
      <c r="AS359" s="13" t="s">
        <v>2419</v>
      </c>
      <c r="AT359" s="13" t="s">
        <v>2420</v>
      </c>
      <c r="AU359" s="13" t="s">
        <v>2421</v>
      </c>
      <c r="AV359" s="13" t="s">
        <v>2422</v>
      </c>
      <c r="AW359" s="13" t="s">
        <v>2416</v>
      </c>
      <c r="AX359" s="13" t="s">
        <v>2073</v>
      </c>
      <c r="AY359" s="13" t="s">
        <v>2073</v>
      </c>
      <c r="AZ359" s="13" t="s">
        <v>2073</v>
      </c>
      <c r="BA359" s="13" t="s">
        <v>2073</v>
      </c>
      <c r="BB359" s="13" t="s">
        <v>2073</v>
      </c>
      <c r="BC359" s="13" t="s">
        <v>2073</v>
      </c>
    </row>
    <row r="360" spans="1:55" ht="15.75" customHeight="1">
      <c r="A360" s="13">
        <v>2000</v>
      </c>
      <c r="B360" s="7" t="s">
        <v>1195</v>
      </c>
      <c r="C360" s="211" t="s">
        <v>2412</v>
      </c>
      <c r="D360" s="13" t="s">
        <v>1660</v>
      </c>
      <c r="E360" s="13" t="s">
        <v>1554</v>
      </c>
      <c r="F360" s="211" t="s">
        <v>2413</v>
      </c>
      <c r="G360" s="13" t="s">
        <v>2414</v>
      </c>
      <c r="H360" s="13" t="s">
        <v>2077</v>
      </c>
      <c r="I360" s="13" t="s">
        <v>2077</v>
      </c>
      <c r="J360" s="13" t="s">
        <v>2077</v>
      </c>
      <c r="K360" s="13" t="s">
        <v>2077</v>
      </c>
      <c r="L360" s="13" t="s">
        <v>2077</v>
      </c>
      <c r="M360" s="13" t="s">
        <v>2077</v>
      </c>
      <c r="N360" s="211" t="s">
        <v>2415</v>
      </c>
      <c r="O360" s="13" t="s">
        <v>2416</v>
      </c>
      <c r="P360" s="69" t="str">
        <f t="shared" ref="P360:Q360" si="356">D360</f>
        <v>BC ASSY CG C</v>
      </c>
      <c r="Q360" s="13" t="str">
        <f t="shared" si="356"/>
        <v>3DR</v>
      </c>
      <c r="R360" s="212" t="s">
        <v>23</v>
      </c>
      <c r="S360" s="213">
        <v>0.875</v>
      </c>
      <c r="T360" s="13">
        <v>85</v>
      </c>
      <c r="U360" s="211" t="s">
        <v>83</v>
      </c>
      <c r="V360" s="13">
        <v>1</v>
      </c>
      <c r="W360" s="13" t="s">
        <v>2417</v>
      </c>
      <c r="X360" s="13" t="s">
        <v>1924</v>
      </c>
      <c r="Y360" s="13" t="s">
        <v>2073</v>
      </c>
      <c r="Z360" s="13" t="s">
        <v>2073</v>
      </c>
      <c r="AA360" s="13" t="s">
        <v>2073</v>
      </c>
      <c r="AB360" s="13" t="s">
        <v>1924</v>
      </c>
      <c r="AC360" s="211" t="s">
        <v>2415</v>
      </c>
      <c r="AD360" s="13" t="s">
        <v>2416</v>
      </c>
      <c r="AE360" s="69">
        <v>1112042009</v>
      </c>
      <c r="AF360" s="13" t="s">
        <v>2418</v>
      </c>
      <c r="AG360" s="13" t="s">
        <v>2419</v>
      </c>
      <c r="AH360" s="13" t="s">
        <v>2420</v>
      </c>
      <c r="AI360" s="13" t="s">
        <v>2421</v>
      </c>
      <c r="AJ360" s="13" t="s">
        <v>2422</v>
      </c>
      <c r="AK360" s="13" t="s">
        <v>2416</v>
      </c>
      <c r="AL360" s="13" t="s">
        <v>2077</v>
      </c>
      <c r="AM360" s="13" t="s">
        <v>2077</v>
      </c>
      <c r="AN360" s="13" t="s">
        <v>2077</v>
      </c>
      <c r="AO360" s="13" t="s">
        <v>2077</v>
      </c>
      <c r="AP360" s="13" t="s">
        <v>2077</v>
      </c>
      <c r="AQ360" s="13" t="s">
        <v>2077</v>
      </c>
      <c r="AR360" s="13" t="s">
        <v>2418</v>
      </c>
      <c r="AS360" s="13" t="s">
        <v>2419</v>
      </c>
      <c r="AT360" s="13" t="s">
        <v>2420</v>
      </c>
      <c r="AU360" s="13" t="s">
        <v>2421</v>
      </c>
      <c r="AV360" s="13" t="s">
        <v>2422</v>
      </c>
      <c r="AW360" s="13" t="s">
        <v>2416</v>
      </c>
      <c r="AX360" s="13" t="s">
        <v>2073</v>
      </c>
      <c r="AY360" s="13" t="s">
        <v>2073</v>
      </c>
      <c r="AZ360" s="13" t="s">
        <v>2073</v>
      </c>
      <c r="BA360" s="13" t="s">
        <v>2073</v>
      </c>
      <c r="BB360" s="13" t="s">
        <v>2073</v>
      </c>
      <c r="BC360" s="13" t="s">
        <v>2073</v>
      </c>
    </row>
    <row r="361" spans="1:55" ht="15.75" customHeight="1">
      <c r="A361" s="13">
        <v>2000</v>
      </c>
      <c r="B361" s="7" t="s">
        <v>1221</v>
      </c>
      <c r="C361" s="211" t="s">
        <v>2412</v>
      </c>
      <c r="D361" s="13" t="s">
        <v>1668</v>
      </c>
      <c r="E361" s="13" t="s">
        <v>1554</v>
      </c>
      <c r="F361" s="211" t="s">
        <v>2413</v>
      </c>
      <c r="G361" s="13" t="s">
        <v>2414</v>
      </c>
      <c r="H361" s="13" t="s">
        <v>2077</v>
      </c>
      <c r="I361" s="13" t="s">
        <v>2077</v>
      </c>
      <c r="J361" s="13" t="s">
        <v>2077</v>
      </c>
      <c r="K361" s="13" t="s">
        <v>2077</v>
      </c>
      <c r="L361" s="13" t="s">
        <v>2077</v>
      </c>
      <c r="M361" s="13" t="s">
        <v>2077</v>
      </c>
      <c r="N361" s="211" t="s">
        <v>2415</v>
      </c>
      <c r="O361" s="13" t="s">
        <v>2416</v>
      </c>
      <c r="P361" s="69" t="str">
        <f t="shared" ref="P361:Q361" si="357">D361</f>
        <v>BC PACKING CG 1</v>
      </c>
      <c r="Q361" s="13" t="str">
        <f t="shared" si="357"/>
        <v>3DR</v>
      </c>
      <c r="R361" s="212" t="s">
        <v>23</v>
      </c>
      <c r="S361" s="213">
        <v>0.875</v>
      </c>
      <c r="T361" s="13">
        <v>85</v>
      </c>
      <c r="U361" s="211" t="s">
        <v>83</v>
      </c>
      <c r="V361" s="13">
        <v>1</v>
      </c>
      <c r="W361" s="13" t="s">
        <v>2417</v>
      </c>
      <c r="X361" s="13" t="s">
        <v>1924</v>
      </c>
      <c r="Y361" s="13" t="s">
        <v>2073</v>
      </c>
      <c r="Z361" s="13" t="s">
        <v>2073</v>
      </c>
      <c r="AA361" s="13" t="s">
        <v>2073</v>
      </c>
      <c r="AB361" s="13" t="s">
        <v>1924</v>
      </c>
      <c r="AC361" s="211" t="s">
        <v>2415</v>
      </c>
      <c r="AD361" s="13" t="s">
        <v>2416</v>
      </c>
      <c r="AE361" s="69">
        <v>1112044003</v>
      </c>
      <c r="AF361" s="13" t="s">
        <v>2418</v>
      </c>
      <c r="AG361" s="13" t="s">
        <v>2419</v>
      </c>
      <c r="AH361" s="13" t="s">
        <v>2420</v>
      </c>
      <c r="AI361" s="13" t="s">
        <v>2421</v>
      </c>
      <c r="AJ361" s="13" t="s">
        <v>2422</v>
      </c>
      <c r="AK361" s="13" t="s">
        <v>2416</v>
      </c>
      <c r="AL361" s="13" t="s">
        <v>2077</v>
      </c>
      <c r="AM361" s="13" t="s">
        <v>2077</v>
      </c>
      <c r="AN361" s="13" t="s">
        <v>2077</v>
      </c>
      <c r="AO361" s="13" t="s">
        <v>2077</v>
      </c>
      <c r="AP361" s="13" t="s">
        <v>2077</v>
      </c>
      <c r="AQ361" s="13" t="s">
        <v>2077</v>
      </c>
      <c r="AR361" s="13" t="s">
        <v>2418</v>
      </c>
      <c r="AS361" s="13" t="s">
        <v>2419</v>
      </c>
      <c r="AT361" s="13" t="s">
        <v>2420</v>
      </c>
      <c r="AU361" s="13" t="s">
        <v>2421</v>
      </c>
      <c r="AV361" s="13" t="s">
        <v>2422</v>
      </c>
      <c r="AW361" s="13" t="s">
        <v>2416</v>
      </c>
      <c r="AX361" s="13" t="s">
        <v>2073</v>
      </c>
      <c r="AY361" s="13" t="s">
        <v>2073</v>
      </c>
      <c r="AZ361" s="13" t="s">
        <v>2073</v>
      </c>
      <c r="BA361" s="13" t="s">
        <v>2073</v>
      </c>
      <c r="BB361" s="13" t="s">
        <v>2073</v>
      </c>
      <c r="BC361" s="13" t="s">
        <v>2073</v>
      </c>
    </row>
    <row r="362" spans="1:55" ht="15.75" customHeight="1">
      <c r="A362" s="13">
        <v>2000</v>
      </c>
      <c r="B362" s="7" t="s">
        <v>1229</v>
      </c>
      <c r="C362" s="211" t="s">
        <v>2412</v>
      </c>
      <c r="D362" s="13" t="s">
        <v>1672</v>
      </c>
      <c r="E362" s="13" t="s">
        <v>1554</v>
      </c>
      <c r="F362" s="211" t="s">
        <v>2413</v>
      </c>
      <c r="G362" s="13" t="s">
        <v>2414</v>
      </c>
      <c r="H362" s="13" t="s">
        <v>2077</v>
      </c>
      <c r="I362" s="13" t="s">
        <v>2077</v>
      </c>
      <c r="J362" s="13" t="s">
        <v>2077</v>
      </c>
      <c r="K362" s="13" t="s">
        <v>2077</v>
      </c>
      <c r="L362" s="13" t="s">
        <v>2077</v>
      </c>
      <c r="M362" s="13" t="s">
        <v>2077</v>
      </c>
      <c r="N362" s="211" t="s">
        <v>2415</v>
      </c>
      <c r="O362" s="13" t="s">
        <v>2416</v>
      </c>
      <c r="P362" s="69" t="str">
        <f t="shared" ref="P362:Q362" si="358">D362</f>
        <v>BC PACKING CG 2</v>
      </c>
      <c r="Q362" s="13" t="str">
        <f t="shared" si="358"/>
        <v>3DR</v>
      </c>
      <c r="R362" s="212" t="s">
        <v>23</v>
      </c>
      <c r="S362" s="213">
        <v>0.875</v>
      </c>
      <c r="T362" s="13">
        <v>85</v>
      </c>
      <c r="U362" s="211" t="s">
        <v>83</v>
      </c>
      <c r="V362" s="13">
        <v>1</v>
      </c>
      <c r="W362" s="13" t="s">
        <v>2417</v>
      </c>
      <c r="X362" s="13" t="s">
        <v>1924</v>
      </c>
      <c r="Y362" s="13" t="s">
        <v>2073</v>
      </c>
      <c r="Z362" s="13" t="s">
        <v>2073</v>
      </c>
      <c r="AA362" s="13" t="s">
        <v>2073</v>
      </c>
      <c r="AB362" s="13" t="s">
        <v>1924</v>
      </c>
      <c r="AC362" s="211" t="s">
        <v>2415</v>
      </c>
      <c r="AD362" s="13" t="s">
        <v>2416</v>
      </c>
      <c r="AE362" s="69">
        <v>1112044004</v>
      </c>
      <c r="AF362" s="13" t="s">
        <v>2418</v>
      </c>
      <c r="AG362" s="13" t="s">
        <v>2419</v>
      </c>
      <c r="AH362" s="13" t="s">
        <v>2420</v>
      </c>
      <c r="AI362" s="13" t="s">
        <v>2421</v>
      </c>
      <c r="AJ362" s="13" t="s">
        <v>2422</v>
      </c>
      <c r="AK362" s="13" t="s">
        <v>2416</v>
      </c>
      <c r="AL362" s="13" t="s">
        <v>2077</v>
      </c>
      <c r="AM362" s="13" t="s">
        <v>2077</v>
      </c>
      <c r="AN362" s="13" t="s">
        <v>2077</v>
      </c>
      <c r="AO362" s="13" t="s">
        <v>2077</v>
      </c>
      <c r="AP362" s="13" t="s">
        <v>2077</v>
      </c>
      <c r="AQ362" s="13" t="s">
        <v>2077</v>
      </c>
      <c r="AR362" s="13" t="s">
        <v>2418</v>
      </c>
      <c r="AS362" s="13" t="s">
        <v>2419</v>
      </c>
      <c r="AT362" s="13" t="s">
        <v>2420</v>
      </c>
      <c r="AU362" s="13" t="s">
        <v>2421</v>
      </c>
      <c r="AV362" s="13" t="s">
        <v>2422</v>
      </c>
      <c r="AW362" s="13" t="s">
        <v>2416</v>
      </c>
      <c r="AX362" s="13" t="s">
        <v>2073</v>
      </c>
      <c r="AY362" s="13" t="s">
        <v>2073</v>
      </c>
      <c r="AZ362" s="13" t="s">
        <v>2073</v>
      </c>
      <c r="BA362" s="13" t="s">
        <v>2073</v>
      </c>
      <c r="BB362" s="13" t="s">
        <v>2073</v>
      </c>
      <c r="BC362" s="13" t="s">
        <v>2073</v>
      </c>
    </row>
    <row r="363" spans="1:55" ht="15.75" customHeight="1">
      <c r="A363" s="13">
        <v>2000</v>
      </c>
      <c r="B363" s="7" t="s">
        <v>1233</v>
      </c>
      <c r="C363" s="211" t="s">
        <v>2412</v>
      </c>
      <c r="D363" s="13" t="s">
        <v>1674</v>
      </c>
      <c r="E363" s="13" t="s">
        <v>1554</v>
      </c>
      <c r="F363" s="211" t="s">
        <v>2413</v>
      </c>
      <c r="G363" s="13" t="s">
        <v>2414</v>
      </c>
      <c r="H363" s="13" t="s">
        <v>2077</v>
      </c>
      <c r="I363" s="13" t="s">
        <v>2077</v>
      </c>
      <c r="J363" s="13" t="s">
        <v>2077</v>
      </c>
      <c r="K363" s="13" t="s">
        <v>2077</v>
      </c>
      <c r="L363" s="13" t="s">
        <v>2077</v>
      </c>
      <c r="M363" s="13" t="s">
        <v>2077</v>
      </c>
      <c r="N363" s="211" t="s">
        <v>2415</v>
      </c>
      <c r="O363" s="13" t="s">
        <v>2416</v>
      </c>
      <c r="P363" s="69" t="str">
        <f t="shared" ref="P363:Q363" si="359">D363</f>
        <v>BC PACKING CG 3</v>
      </c>
      <c r="Q363" s="13" t="str">
        <f t="shared" si="359"/>
        <v>3DR</v>
      </c>
      <c r="R363" s="212" t="s">
        <v>23</v>
      </c>
      <c r="S363" s="213">
        <v>0.875</v>
      </c>
      <c r="T363" s="13">
        <v>85</v>
      </c>
      <c r="U363" s="211" t="s">
        <v>83</v>
      </c>
      <c r="V363" s="13">
        <v>1</v>
      </c>
      <c r="W363" s="13" t="s">
        <v>2417</v>
      </c>
      <c r="X363" s="13" t="s">
        <v>1924</v>
      </c>
      <c r="Y363" s="13" t="s">
        <v>2073</v>
      </c>
      <c r="Z363" s="13" t="s">
        <v>2073</v>
      </c>
      <c r="AA363" s="13" t="s">
        <v>2073</v>
      </c>
      <c r="AB363" s="13" t="s">
        <v>1924</v>
      </c>
      <c r="AC363" s="211" t="s">
        <v>2415</v>
      </c>
      <c r="AD363" s="13" t="s">
        <v>2416</v>
      </c>
      <c r="AE363" s="69">
        <v>1112044005</v>
      </c>
      <c r="AF363" s="13" t="s">
        <v>2418</v>
      </c>
      <c r="AG363" s="13" t="s">
        <v>2419</v>
      </c>
      <c r="AH363" s="13" t="s">
        <v>2420</v>
      </c>
      <c r="AI363" s="13" t="s">
        <v>2421</v>
      </c>
      <c r="AJ363" s="13" t="s">
        <v>2422</v>
      </c>
      <c r="AK363" s="13" t="s">
        <v>2416</v>
      </c>
      <c r="AL363" s="13" t="s">
        <v>2077</v>
      </c>
      <c r="AM363" s="13" t="s">
        <v>2077</v>
      </c>
      <c r="AN363" s="13" t="s">
        <v>2077</v>
      </c>
      <c r="AO363" s="13" t="s">
        <v>2077</v>
      </c>
      <c r="AP363" s="13" t="s">
        <v>2077</v>
      </c>
      <c r="AQ363" s="13" t="s">
        <v>2077</v>
      </c>
      <c r="AR363" s="13" t="s">
        <v>2418</v>
      </c>
      <c r="AS363" s="13" t="s">
        <v>2419</v>
      </c>
      <c r="AT363" s="13" t="s">
        <v>2420</v>
      </c>
      <c r="AU363" s="13" t="s">
        <v>2421</v>
      </c>
      <c r="AV363" s="13" t="s">
        <v>2422</v>
      </c>
      <c r="AW363" s="13" t="s">
        <v>2416</v>
      </c>
      <c r="AX363" s="13" t="s">
        <v>2073</v>
      </c>
      <c r="AY363" s="13" t="s">
        <v>2073</v>
      </c>
      <c r="AZ363" s="13" t="s">
        <v>2073</v>
      </c>
      <c r="BA363" s="13" t="s">
        <v>2073</v>
      </c>
      <c r="BB363" s="13" t="s">
        <v>2073</v>
      </c>
      <c r="BC363" s="13" t="s">
        <v>2073</v>
      </c>
    </row>
    <row r="364" spans="1:55" ht="15.75" customHeight="1">
      <c r="A364" s="13">
        <v>2000</v>
      </c>
      <c r="B364" s="7" t="s">
        <v>1237</v>
      </c>
      <c r="C364" s="211" t="s">
        <v>2412</v>
      </c>
      <c r="D364" s="13" t="s">
        <v>1677</v>
      </c>
      <c r="E364" s="13" t="s">
        <v>1680</v>
      </c>
      <c r="F364" s="211" t="s">
        <v>2413</v>
      </c>
      <c r="G364" s="13" t="s">
        <v>2414</v>
      </c>
      <c r="H364" s="13" t="s">
        <v>2077</v>
      </c>
      <c r="I364" s="13" t="s">
        <v>2077</v>
      </c>
      <c r="J364" s="13" t="s">
        <v>2077</v>
      </c>
      <c r="K364" s="13" t="s">
        <v>2077</v>
      </c>
      <c r="L364" s="13" t="s">
        <v>2077</v>
      </c>
      <c r="M364" s="13" t="s">
        <v>2077</v>
      </c>
      <c r="N364" s="211" t="s">
        <v>2415</v>
      </c>
      <c r="O364" s="13" t="s">
        <v>2416</v>
      </c>
      <c r="P364" s="69" t="str">
        <f t="shared" ref="P364:Q364" si="360">D364</f>
        <v>MA WAX MOLDING 1</v>
      </c>
      <c r="Q364" s="13" t="str">
        <f t="shared" si="360"/>
        <v>3MA</v>
      </c>
      <c r="R364" s="212" t="s">
        <v>23</v>
      </c>
      <c r="S364" s="213">
        <v>0.64583333333333337</v>
      </c>
      <c r="T364" s="13">
        <v>85</v>
      </c>
      <c r="U364" s="211" t="s">
        <v>24</v>
      </c>
      <c r="V364" s="13">
        <v>1</v>
      </c>
      <c r="W364" s="13" t="s">
        <v>2417</v>
      </c>
      <c r="X364" s="13" t="s">
        <v>1924</v>
      </c>
      <c r="Y364" s="13" t="s">
        <v>2073</v>
      </c>
      <c r="Z364" s="13" t="s">
        <v>2073</v>
      </c>
      <c r="AA364" s="13" t="s">
        <v>2073</v>
      </c>
      <c r="AB364" s="13" t="s">
        <v>1924</v>
      </c>
      <c r="AC364" s="211" t="s">
        <v>2415</v>
      </c>
      <c r="AD364" s="13" t="s">
        <v>2416</v>
      </c>
      <c r="AE364" s="69" t="s">
        <v>1678</v>
      </c>
      <c r="AF364" s="13" t="s">
        <v>2418</v>
      </c>
      <c r="AG364" s="13" t="s">
        <v>2419</v>
      </c>
      <c r="AH364" s="13" t="s">
        <v>2420</v>
      </c>
      <c r="AI364" s="13" t="s">
        <v>2421</v>
      </c>
      <c r="AJ364" s="13" t="s">
        <v>2422</v>
      </c>
      <c r="AK364" s="13" t="s">
        <v>2416</v>
      </c>
      <c r="AL364" s="13" t="s">
        <v>2077</v>
      </c>
      <c r="AM364" s="13" t="s">
        <v>2077</v>
      </c>
      <c r="AN364" s="13" t="s">
        <v>2077</v>
      </c>
      <c r="AO364" s="13" t="s">
        <v>2077</v>
      </c>
      <c r="AP364" s="13" t="s">
        <v>2077</v>
      </c>
      <c r="AQ364" s="13" t="s">
        <v>2077</v>
      </c>
      <c r="AR364" s="13" t="s">
        <v>2418</v>
      </c>
      <c r="AS364" s="13" t="s">
        <v>2419</v>
      </c>
      <c r="AT364" s="13" t="s">
        <v>2420</v>
      </c>
      <c r="AU364" s="13" t="s">
        <v>2421</v>
      </c>
      <c r="AV364" s="13" t="s">
        <v>2422</v>
      </c>
      <c r="AW364" s="13" t="s">
        <v>2416</v>
      </c>
      <c r="AX364" s="13" t="s">
        <v>2073</v>
      </c>
      <c r="AY364" s="13" t="s">
        <v>2073</v>
      </c>
      <c r="AZ364" s="13" t="s">
        <v>2073</v>
      </c>
      <c r="BA364" s="13" t="s">
        <v>2073</v>
      </c>
      <c r="BB364" s="13" t="s">
        <v>2073</v>
      </c>
      <c r="BC364" s="13" t="s">
        <v>2073</v>
      </c>
    </row>
    <row r="365" spans="1:55" ht="15.75" customHeight="1">
      <c r="A365" s="13">
        <v>2000</v>
      </c>
      <c r="B365" s="7" t="s">
        <v>1241</v>
      </c>
      <c r="C365" s="211" t="s">
        <v>2412</v>
      </c>
      <c r="D365" s="13" t="s">
        <v>1682</v>
      </c>
      <c r="E365" s="13" t="s">
        <v>1680</v>
      </c>
      <c r="F365" s="211" t="s">
        <v>2413</v>
      </c>
      <c r="G365" s="13" t="s">
        <v>2414</v>
      </c>
      <c r="H365" s="13" t="s">
        <v>2077</v>
      </c>
      <c r="I365" s="13" t="s">
        <v>2077</v>
      </c>
      <c r="J365" s="13" t="s">
        <v>2077</v>
      </c>
      <c r="K365" s="13" t="s">
        <v>2077</v>
      </c>
      <c r="L365" s="13" t="s">
        <v>2077</v>
      </c>
      <c r="M365" s="13" t="s">
        <v>2077</v>
      </c>
      <c r="N365" s="211" t="s">
        <v>2415</v>
      </c>
      <c r="O365" s="13" t="s">
        <v>2416</v>
      </c>
      <c r="P365" s="69" t="str">
        <f t="shared" ref="P365:Q365" si="361">D365</f>
        <v>MA SEMEN CAST</v>
      </c>
      <c r="Q365" s="13" t="str">
        <f t="shared" si="361"/>
        <v>3MA</v>
      </c>
      <c r="R365" s="212" t="s">
        <v>23</v>
      </c>
      <c r="S365" s="213">
        <v>0.64583333333333337</v>
      </c>
      <c r="T365" s="13">
        <v>85</v>
      </c>
      <c r="U365" s="211" t="s">
        <v>24</v>
      </c>
      <c r="V365" s="13">
        <v>1</v>
      </c>
      <c r="W365" s="13" t="s">
        <v>2417</v>
      </c>
      <c r="X365" s="13" t="s">
        <v>1924</v>
      </c>
      <c r="Y365" s="13" t="s">
        <v>2073</v>
      </c>
      <c r="Z365" s="13" t="s">
        <v>2073</v>
      </c>
      <c r="AA365" s="13" t="s">
        <v>2073</v>
      </c>
      <c r="AB365" s="13" t="s">
        <v>1924</v>
      </c>
      <c r="AC365" s="211" t="s">
        <v>2415</v>
      </c>
      <c r="AD365" s="13" t="s">
        <v>2416</v>
      </c>
      <c r="AE365" s="69" t="s">
        <v>1683</v>
      </c>
      <c r="AF365" s="13" t="s">
        <v>2418</v>
      </c>
      <c r="AG365" s="13" t="s">
        <v>2419</v>
      </c>
      <c r="AH365" s="13" t="s">
        <v>2420</v>
      </c>
      <c r="AI365" s="13" t="s">
        <v>2421</v>
      </c>
      <c r="AJ365" s="13" t="s">
        <v>2422</v>
      </c>
      <c r="AK365" s="13" t="s">
        <v>2416</v>
      </c>
      <c r="AL365" s="13" t="s">
        <v>2077</v>
      </c>
      <c r="AM365" s="13" t="s">
        <v>2077</v>
      </c>
      <c r="AN365" s="13" t="s">
        <v>2077</v>
      </c>
      <c r="AO365" s="13" t="s">
        <v>2077</v>
      </c>
      <c r="AP365" s="13" t="s">
        <v>2077</v>
      </c>
      <c r="AQ365" s="13" t="s">
        <v>2077</v>
      </c>
      <c r="AR365" s="13" t="s">
        <v>2418</v>
      </c>
      <c r="AS365" s="13" t="s">
        <v>2419</v>
      </c>
      <c r="AT365" s="13" t="s">
        <v>2420</v>
      </c>
      <c r="AU365" s="13" t="s">
        <v>2421</v>
      </c>
      <c r="AV365" s="13" t="s">
        <v>2422</v>
      </c>
      <c r="AW365" s="13" t="s">
        <v>2416</v>
      </c>
      <c r="AX365" s="13" t="s">
        <v>2073</v>
      </c>
      <c r="AY365" s="13" t="s">
        <v>2073</v>
      </c>
      <c r="AZ365" s="13" t="s">
        <v>2073</v>
      </c>
      <c r="BA365" s="13" t="s">
        <v>2073</v>
      </c>
      <c r="BB365" s="13" t="s">
        <v>2073</v>
      </c>
      <c r="BC365" s="13" t="s">
        <v>2073</v>
      </c>
    </row>
    <row r="366" spans="1:55" ht="15.75" customHeight="1">
      <c r="A366" s="13">
        <v>2000</v>
      </c>
      <c r="B366" s="7" t="s">
        <v>1245</v>
      </c>
      <c r="C366" s="211" t="s">
        <v>2412</v>
      </c>
      <c r="D366" s="13" t="s">
        <v>1685</v>
      </c>
      <c r="E366" s="13" t="s">
        <v>1680</v>
      </c>
      <c r="F366" s="211" t="s">
        <v>2413</v>
      </c>
      <c r="G366" s="13" t="s">
        <v>2414</v>
      </c>
      <c r="H366" s="13" t="s">
        <v>2077</v>
      </c>
      <c r="I366" s="13" t="s">
        <v>2077</v>
      </c>
      <c r="J366" s="13" t="s">
        <v>2077</v>
      </c>
      <c r="K366" s="13" t="s">
        <v>2077</v>
      </c>
      <c r="L366" s="13" t="s">
        <v>2077</v>
      </c>
      <c r="M366" s="13" t="s">
        <v>2077</v>
      </c>
      <c r="N366" s="211" t="s">
        <v>2415</v>
      </c>
      <c r="O366" s="13" t="s">
        <v>2416</v>
      </c>
      <c r="P366" s="69" t="str">
        <f t="shared" ref="P366:Q366" si="362">D366</f>
        <v>MA CASTING OVEN</v>
      </c>
      <c r="Q366" s="13" t="str">
        <f t="shared" si="362"/>
        <v>3MA</v>
      </c>
      <c r="R366" s="212" t="s">
        <v>23</v>
      </c>
      <c r="S366" s="213">
        <v>0.64583333333333337</v>
      </c>
      <c r="T366" s="13">
        <v>85</v>
      </c>
      <c r="U366" s="211" t="s">
        <v>24</v>
      </c>
      <c r="V366" s="13">
        <v>1</v>
      </c>
      <c r="W366" s="13" t="s">
        <v>2417</v>
      </c>
      <c r="X366" s="13" t="s">
        <v>1924</v>
      </c>
      <c r="Y366" s="13" t="s">
        <v>2073</v>
      </c>
      <c r="Z366" s="13" t="s">
        <v>2073</v>
      </c>
      <c r="AA366" s="13" t="s">
        <v>2073</v>
      </c>
      <c r="AB366" s="13" t="s">
        <v>1924</v>
      </c>
      <c r="AC366" s="211" t="s">
        <v>2415</v>
      </c>
      <c r="AD366" s="13" t="s">
        <v>2416</v>
      </c>
      <c r="AE366" s="69" t="s">
        <v>1686</v>
      </c>
      <c r="AF366" s="13" t="s">
        <v>2418</v>
      </c>
      <c r="AG366" s="13" t="s">
        <v>2419</v>
      </c>
      <c r="AH366" s="13" t="s">
        <v>2420</v>
      </c>
      <c r="AI366" s="13" t="s">
        <v>2421</v>
      </c>
      <c r="AJ366" s="13" t="s">
        <v>2422</v>
      </c>
      <c r="AK366" s="13" t="s">
        <v>2416</v>
      </c>
      <c r="AL366" s="13" t="s">
        <v>2077</v>
      </c>
      <c r="AM366" s="13" t="s">
        <v>2077</v>
      </c>
      <c r="AN366" s="13" t="s">
        <v>2077</v>
      </c>
      <c r="AO366" s="13" t="s">
        <v>2077</v>
      </c>
      <c r="AP366" s="13" t="s">
        <v>2077</v>
      </c>
      <c r="AQ366" s="13" t="s">
        <v>2077</v>
      </c>
      <c r="AR366" s="13" t="s">
        <v>2418</v>
      </c>
      <c r="AS366" s="13" t="s">
        <v>2419</v>
      </c>
      <c r="AT366" s="13" t="s">
        <v>2420</v>
      </c>
      <c r="AU366" s="13" t="s">
        <v>2421</v>
      </c>
      <c r="AV366" s="13" t="s">
        <v>2422</v>
      </c>
      <c r="AW366" s="13" t="s">
        <v>2416</v>
      </c>
      <c r="AX366" s="13" t="s">
        <v>2073</v>
      </c>
      <c r="AY366" s="13" t="s">
        <v>2073</v>
      </c>
      <c r="AZ366" s="13" t="s">
        <v>2073</v>
      </c>
      <c r="BA366" s="13" t="s">
        <v>2073</v>
      </c>
      <c r="BB366" s="13" t="s">
        <v>2073</v>
      </c>
      <c r="BC366" s="13" t="s">
        <v>2073</v>
      </c>
    </row>
    <row r="367" spans="1:55" ht="15.75" customHeight="1">
      <c r="A367" s="13">
        <v>2000</v>
      </c>
      <c r="B367" s="7" t="s">
        <v>1280</v>
      </c>
      <c r="C367" s="211" t="s">
        <v>2412</v>
      </c>
      <c r="D367" s="13" t="s">
        <v>1688</v>
      </c>
      <c r="E367" s="13" t="s">
        <v>1680</v>
      </c>
      <c r="F367" s="211" t="s">
        <v>2413</v>
      </c>
      <c r="G367" s="13" t="s">
        <v>2414</v>
      </c>
      <c r="H367" s="13" t="s">
        <v>2077</v>
      </c>
      <c r="I367" s="13" t="s">
        <v>2077</v>
      </c>
      <c r="J367" s="13" t="s">
        <v>2077</v>
      </c>
      <c r="K367" s="13" t="s">
        <v>2077</v>
      </c>
      <c r="L367" s="13" t="s">
        <v>2077</v>
      </c>
      <c r="M367" s="13" t="s">
        <v>2077</v>
      </c>
      <c r="N367" s="211" t="s">
        <v>2415</v>
      </c>
      <c r="O367" s="13" t="s">
        <v>2416</v>
      </c>
      <c r="P367" s="69" t="str">
        <f t="shared" ref="P367:Q367" si="363">D367</f>
        <v>MA CASTING INJECT</v>
      </c>
      <c r="Q367" s="13" t="str">
        <f t="shared" si="363"/>
        <v>3MA</v>
      </c>
      <c r="R367" s="212" t="s">
        <v>23</v>
      </c>
      <c r="S367" s="213">
        <v>0.64583333333333337</v>
      </c>
      <c r="T367" s="13">
        <v>85</v>
      </c>
      <c r="U367" s="211" t="s">
        <v>24</v>
      </c>
      <c r="V367" s="13">
        <v>1</v>
      </c>
      <c r="W367" s="13" t="s">
        <v>2417</v>
      </c>
      <c r="X367" s="13" t="s">
        <v>1924</v>
      </c>
      <c r="Y367" s="13" t="s">
        <v>2073</v>
      </c>
      <c r="Z367" s="13" t="s">
        <v>2073</v>
      </c>
      <c r="AA367" s="13" t="s">
        <v>2073</v>
      </c>
      <c r="AB367" s="13" t="s">
        <v>1924</v>
      </c>
      <c r="AC367" s="211" t="s">
        <v>2415</v>
      </c>
      <c r="AD367" s="13" t="s">
        <v>2416</v>
      </c>
      <c r="AE367" s="69" t="s">
        <v>2324</v>
      </c>
      <c r="AF367" s="13" t="s">
        <v>2418</v>
      </c>
      <c r="AG367" s="13" t="s">
        <v>2419</v>
      </c>
      <c r="AH367" s="13" t="s">
        <v>2420</v>
      </c>
      <c r="AI367" s="13" t="s">
        <v>2421</v>
      </c>
      <c r="AJ367" s="13" t="s">
        <v>2422</v>
      </c>
      <c r="AK367" s="13" t="s">
        <v>2416</v>
      </c>
      <c r="AL367" s="13" t="s">
        <v>2077</v>
      </c>
      <c r="AM367" s="13" t="s">
        <v>2077</v>
      </c>
      <c r="AN367" s="13" t="s">
        <v>2077</v>
      </c>
      <c r="AO367" s="13" t="s">
        <v>2077</v>
      </c>
      <c r="AP367" s="13" t="s">
        <v>2077</v>
      </c>
      <c r="AQ367" s="13" t="s">
        <v>2077</v>
      </c>
      <c r="AR367" s="13" t="s">
        <v>2418</v>
      </c>
      <c r="AS367" s="13" t="s">
        <v>2419</v>
      </c>
      <c r="AT367" s="13" t="s">
        <v>2420</v>
      </c>
      <c r="AU367" s="13" t="s">
        <v>2421</v>
      </c>
      <c r="AV367" s="13" t="s">
        <v>2422</v>
      </c>
      <c r="AW367" s="13" t="s">
        <v>2416</v>
      </c>
      <c r="AX367" s="13" t="s">
        <v>2073</v>
      </c>
      <c r="AY367" s="13" t="s">
        <v>2073</v>
      </c>
      <c r="AZ367" s="13" t="s">
        <v>2073</v>
      </c>
      <c r="BA367" s="13" t="s">
        <v>2073</v>
      </c>
      <c r="BB367" s="13" t="s">
        <v>2073</v>
      </c>
      <c r="BC367" s="13" t="s">
        <v>2073</v>
      </c>
    </row>
    <row r="368" spans="1:55" ht="15.75" customHeight="1">
      <c r="A368" s="13">
        <v>2000</v>
      </c>
      <c r="B368" s="7" t="s">
        <v>1285</v>
      </c>
      <c r="C368" s="211" t="s">
        <v>2412</v>
      </c>
      <c r="D368" s="13" t="s">
        <v>1692</v>
      </c>
      <c r="E368" s="13" t="s">
        <v>1680</v>
      </c>
      <c r="F368" s="211" t="s">
        <v>2413</v>
      </c>
      <c r="G368" s="13" t="s">
        <v>2414</v>
      </c>
      <c r="H368" s="13" t="s">
        <v>2077</v>
      </c>
      <c r="I368" s="13" t="s">
        <v>2077</v>
      </c>
      <c r="J368" s="13" t="s">
        <v>2077</v>
      </c>
      <c r="K368" s="13" t="s">
        <v>2077</v>
      </c>
      <c r="L368" s="13" t="s">
        <v>2077</v>
      </c>
      <c r="M368" s="13" t="s">
        <v>2077</v>
      </c>
      <c r="N368" s="211" t="s">
        <v>2415</v>
      </c>
      <c r="O368" s="13" t="s">
        <v>2416</v>
      </c>
      <c r="P368" s="69" t="str">
        <f t="shared" ref="P368:Q368" si="364">D368</f>
        <v>MA CNC 1</v>
      </c>
      <c r="Q368" s="13" t="str">
        <f t="shared" si="364"/>
        <v>3MA</v>
      </c>
      <c r="R368" s="212" t="s">
        <v>23</v>
      </c>
      <c r="S368" s="213">
        <v>0.3125</v>
      </c>
      <c r="T368" s="13">
        <v>85</v>
      </c>
      <c r="U368" s="211" t="s">
        <v>134</v>
      </c>
      <c r="V368" s="13">
        <v>1</v>
      </c>
      <c r="W368" s="13" t="s">
        <v>2417</v>
      </c>
      <c r="X368" s="13" t="s">
        <v>1924</v>
      </c>
      <c r="Y368" s="13" t="s">
        <v>2073</v>
      </c>
      <c r="Z368" s="13" t="s">
        <v>2073</v>
      </c>
      <c r="AA368" s="13" t="s">
        <v>2073</v>
      </c>
      <c r="AB368" s="13" t="s">
        <v>1924</v>
      </c>
      <c r="AC368" s="211" t="s">
        <v>2415</v>
      </c>
      <c r="AD368" s="13" t="s">
        <v>2416</v>
      </c>
      <c r="AE368" s="69" t="s">
        <v>1693</v>
      </c>
      <c r="AF368" s="13" t="s">
        <v>2418</v>
      </c>
      <c r="AG368" s="13" t="s">
        <v>2419</v>
      </c>
      <c r="AH368" s="13" t="s">
        <v>2420</v>
      </c>
      <c r="AI368" s="13" t="s">
        <v>2421</v>
      </c>
      <c r="AJ368" s="13" t="s">
        <v>2422</v>
      </c>
      <c r="AK368" s="13" t="s">
        <v>2416</v>
      </c>
      <c r="AL368" s="13" t="s">
        <v>2077</v>
      </c>
      <c r="AM368" s="13" t="s">
        <v>2077</v>
      </c>
      <c r="AN368" s="13" t="s">
        <v>2077</v>
      </c>
      <c r="AO368" s="13" t="s">
        <v>2077</v>
      </c>
      <c r="AP368" s="13" t="s">
        <v>2077</v>
      </c>
      <c r="AQ368" s="13" t="s">
        <v>2077</v>
      </c>
      <c r="AR368" s="13" t="s">
        <v>2418</v>
      </c>
      <c r="AS368" s="13" t="s">
        <v>2419</v>
      </c>
      <c r="AT368" s="13" t="s">
        <v>2420</v>
      </c>
      <c r="AU368" s="13" t="s">
        <v>2421</v>
      </c>
      <c r="AV368" s="13" t="s">
        <v>2422</v>
      </c>
      <c r="AW368" s="13" t="s">
        <v>2416</v>
      </c>
      <c r="AX368" s="13" t="s">
        <v>2073</v>
      </c>
      <c r="AY368" s="13" t="s">
        <v>2073</v>
      </c>
      <c r="AZ368" s="13" t="s">
        <v>2073</v>
      </c>
      <c r="BA368" s="13" t="s">
        <v>2073</v>
      </c>
      <c r="BB368" s="13" t="s">
        <v>2073</v>
      </c>
      <c r="BC368" s="13" t="s">
        <v>2073</v>
      </c>
    </row>
    <row r="369" spans="1:55" ht="15.75" customHeight="1">
      <c r="A369" s="13">
        <v>2000</v>
      </c>
      <c r="B369" s="7" t="s">
        <v>1290</v>
      </c>
      <c r="C369" s="211" t="s">
        <v>2412</v>
      </c>
      <c r="D369" s="13" t="s">
        <v>1695</v>
      </c>
      <c r="E369" s="13" t="s">
        <v>1680</v>
      </c>
      <c r="F369" s="211" t="s">
        <v>2413</v>
      </c>
      <c r="G369" s="13" t="s">
        <v>2414</v>
      </c>
      <c r="H369" s="13" t="s">
        <v>2077</v>
      </c>
      <c r="I369" s="13" t="s">
        <v>2077</v>
      </c>
      <c r="J369" s="13" t="s">
        <v>2077</v>
      </c>
      <c r="K369" s="13" t="s">
        <v>2077</v>
      </c>
      <c r="L369" s="13" t="s">
        <v>2077</v>
      </c>
      <c r="M369" s="13" t="s">
        <v>2077</v>
      </c>
      <c r="N369" s="211" t="s">
        <v>2415</v>
      </c>
      <c r="O369" s="13" t="s">
        <v>2416</v>
      </c>
      <c r="P369" s="69" t="str">
        <f t="shared" ref="P369:Q369" si="365">D369</f>
        <v>MA CNC 2</v>
      </c>
      <c r="Q369" s="13" t="str">
        <f t="shared" si="365"/>
        <v>3MA</v>
      </c>
      <c r="R369" s="212" t="s">
        <v>23</v>
      </c>
      <c r="S369" s="213">
        <v>0.64583333333333337</v>
      </c>
      <c r="T369" s="13">
        <v>85</v>
      </c>
      <c r="U369" s="211" t="s">
        <v>24</v>
      </c>
      <c r="V369" s="13">
        <v>1</v>
      </c>
      <c r="W369" s="13" t="s">
        <v>2417</v>
      </c>
      <c r="X369" s="13" t="s">
        <v>1924</v>
      </c>
      <c r="Y369" s="13" t="s">
        <v>2073</v>
      </c>
      <c r="Z369" s="13" t="s">
        <v>2073</v>
      </c>
      <c r="AA369" s="13" t="s">
        <v>2073</v>
      </c>
      <c r="AB369" s="13" t="s">
        <v>1924</v>
      </c>
      <c r="AC369" s="211" t="s">
        <v>2415</v>
      </c>
      <c r="AD369" s="13" t="s">
        <v>2416</v>
      </c>
      <c r="AE369" s="69" t="s">
        <v>1696</v>
      </c>
      <c r="AF369" s="13" t="s">
        <v>2418</v>
      </c>
      <c r="AG369" s="13" t="s">
        <v>2419</v>
      </c>
      <c r="AH369" s="13" t="s">
        <v>2420</v>
      </c>
      <c r="AI369" s="13" t="s">
        <v>2421</v>
      </c>
      <c r="AJ369" s="13" t="s">
        <v>2422</v>
      </c>
      <c r="AK369" s="13" t="s">
        <v>2416</v>
      </c>
      <c r="AL369" s="13" t="s">
        <v>2077</v>
      </c>
      <c r="AM369" s="13" t="s">
        <v>2077</v>
      </c>
      <c r="AN369" s="13" t="s">
        <v>2077</v>
      </c>
      <c r="AO369" s="13" t="s">
        <v>2077</v>
      </c>
      <c r="AP369" s="13" t="s">
        <v>2077</v>
      </c>
      <c r="AQ369" s="13" t="s">
        <v>2077</v>
      </c>
      <c r="AR369" s="13" t="s">
        <v>2418</v>
      </c>
      <c r="AS369" s="13" t="s">
        <v>2419</v>
      </c>
      <c r="AT369" s="13" t="s">
        <v>2420</v>
      </c>
      <c r="AU369" s="13" t="s">
        <v>2421</v>
      </c>
      <c r="AV369" s="13" t="s">
        <v>2422</v>
      </c>
      <c r="AW369" s="13" t="s">
        <v>2416</v>
      </c>
      <c r="AX369" s="13" t="s">
        <v>2073</v>
      </c>
      <c r="AY369" s="13" t="s">
        <v>2073</v>
      </c>
      <c r="AZ369" s="13" t="s">
        <v>2073</v>
      </c>
      <c r="BA369" s="13" t="s">
        <v>2073</v>
      </c>
      <c r="BB369" s="13" t="s">
        <v>2073</v>
      </c>
      <c r="BC369" s="13" t="s">
        <v>2073</v>
      </c>
    </row>
    <row r="370" spans="1:55" ht="15.75" customHeight="1">
      <c r="A370" s="13">
        <v>2000</v>
      </c>
      <c r="B370" s="7" t="s">
        <v>1295</v>
      </c>
      <c r="C370" s="211" t="s">
        <v>2412</v>
      </c>
      <c r="D370" s="13" t="s">
        <v>1698</v>
      </c>
      <c r="E370" s="13" t="s">
        <v>1680</v>
      </c>
      <c r="F370" s="211" t="s">
        <v>2413</v>
      </c>
      <c r="G370" s="13" t="s">
        <v>2414</v>
      </c>
      <c r="H370" s="13" t="s">
        <v>2077</v>
      </c>
      <c r="I370" s="13" t="s">
        <v>2077</v>
      </c>
      <c r="J370" s="13" t="s">
        <v>2077</v>
      </c>
      <c r="K370" s="13" t="s">
        <v>2077</v>
      </c>
      <c r="L370" s="13" t="s">
        <v>2077</v>
      </c>
      <c r="M370" s="13" t="s">
        <v>2077</v>
      </c>
      <c r="N370" s="211" t="s">
        <v>2415</v>
      </c>
      <c r="O370" s="13" t="s">
        <v>2416</v>
      </c>
      <c r="P370" s="69" t="str">
        <f t="shared" ref="P370:Q370" si="366">D370</f>
        <v>MA CNC 3</v>
      </c>
      <c r="Q370" s="13" t="str">
        <f t="shared" si="366"/>
        <v>3MA</v>
      </c>
      <c r="R370" s="212" t="s">
        <v>23</v>
      </c>
      <c r="S370" s="213">
        <v>0.64583333333333337</v>
      </c>
      <c r="T370" s="13">
        <v>85</v>
      </c>
      <c r="U370" s="211" t="s">
        <v>24</v>
      </c>
      <c r="V370" s="13">
        <v>1</v>
      </c>
      <c r="W370" s="13" t="s">
        <v>2417</v>
      </c>
      <c r="X370" s="13" t="s">
        <v>1924</v>
      </c>
      <c r="Y370" s="13" t="s">
        <v>2073</v>
      </c>
      <c r="Z370" s="13" t="s">
        <v>2073</v>
      </c>
      <c r="AA370" s="13" t="s">
        <v>2073</v>
      </c>
      <c r="AB370" s="13" t="s">
        <v>1924</v>
      </c>
      <c r="AC370" s="211" t="s">
        <v>2415</v>
      </c>
      <c r="AD370" s="13" t="s">
        <v>2416</v>
      </c>
      <c r="AE370" s="69" t="s">
        <v>1699</v>
      </c>
      <c r="AF370" s="13" t="s">
        <v>2418</v>
      </c>
      <c r="AG370" s="13" t="s">
        <v>2419</v>
      </c>
      <c r="AH370" s="13" t="s">
        <v>2420</v>
      </c>
      <c r="AI370" s="13" t="s">
        <v>2421</v>
      </c>
      <c r="AJ370" s="13" t="s">
        <v>2422</v>
      </c>
      <c r="AK370" s="13" t="s">
        <v>2416</v>
      </c>
      <c r="AL370" s="13" t="s">
        <v>2077</v>
      </c>
      <c r="AM370" s="13" t="s">
        <v>2077</v>
      </c>
      <c r="AN370" s="13" t="s">
        <v>2077</v>
      </c>
      <c r="AO370" s="13" t="s">
        <v>2077</v>
      </c>
      <c r="AP370" s="13" t="s">
        <v>2077</v>
      </c>
      <c r="AQ370" s="13" t="s">
        <v>2077</v>
      </c>
      <c r="AR370" s="13" t="s">
        <v>2418</v>
      </c>
      <c r="AS370" s="13" t="s">
        <v>2419</v>
      </c>
      <c r="AT370" s="13" t="s">
        <v>2420</v>
      </c>
      <c r="AU370" s="13" t="s">
        <v>2421</v>
      </c>
      <c r="AV370" s="13" t="s">
        <v>2422</v>
      </c>
      <c r="AW370" s="13" t="s">
        <v>2416</v>
      </c>
      <c r="AX370" s="13" t="s">
        <v>2073</v>
      </c>
      <c r="AY370" s="13" t="s">
        <v>2073</v>
      </c>
      <c r="AZ370" s="13" t="s">
        <v>2073</v>
      </c>
      <c r="BA370" s="13" t="s">
        <v>2073</v>
      </c>
      <c r="BB370" s="13" t="s">
        <v>2073</v>
      </c>
      <c r="BC370" s="13" t="s">
        <v>2073</v>
      </c>
    </row>
    <row r="371" spans="1:55" ht="15.75" customHeight="1">
      <c r="A371" s="13">
        <v>2000</v>
      </c>
      <c r="B371" s="7" t="s">
        <v>1300</v>
      </c>
      <c r="C371" s="211" t="s">
        <v>2412</v>
      </c>
      <c r="D371" s="13" t="s">
        <v>1701</v>
      </c>
      <c r="E371" s="13" t="s">
        <v>1680</v>
      </c>
      <c r="F371" s="211" t="s">
        <v>2413</v>
      </c>
      <c r="G371" s="13" t="s">
        <v>2414</v>
      </c>
      <c r="H371" s="13" t="s">
        <v>2077</v>
      </c>
      <c r="I371" s="13" t="s">
        <v>2077</v>
      </c>
      <c r="J371" s="13" t="s">
        <v>2077</v>
      </c>
      <c r="K371" s="13" t="s">
        <v>2077</v>
      </c>
      <c r="L371" s="13" t="s">
        <v>2077</v>
      </c>
      <c r="M371" s="13" t="s">
        <v>2077</v>
      </c>
      <c r="N371" s="211" t="s">
        <v>2415</v>
      </c>
      <c r="O371" s="13" t="s">
        <v>2416</v>
      </c>
      <c r="P371" s="69" t="str">
        <f t="shared" ref="P371:Q371" si="367">D371</f>
        <v>MA CNC 4</v>
      </c>
      <c r="Q371" s="13" t="str">
        <f t="shared" si="367"/>
        <v>3MA</v>
      </c>
      <c r="R371" s="212" t="s">
        <v>23</v>
      </c>
      <c r="S371" s="213">
        <v>0.64583333333333337</v>
      </c>
      <c r="T371" s="13">
        <v>85</v>
      </c>
      <c r="U371" s="211" t="s">
        <v>24</v>
      </c>
      <c r="V371" s="13">
        <v>1</v>
      </c>
      <c r="W371" s="13" t="s">
        <v>2417</v>
      </c>
      <c r="X371" s="13" t="s">
        <v>1924</v>
      </c>
      <c r="Y371" s="13" t="s">
        <v>2073</v>
      </c>
      <c r="Z371" s="13" t="s">
        <v>2073</v>
      </c>
      <c r="AA371" s="13" t="s">
        <v>2073</v>
      </c>
      <c r="AB371" s="13" t="s">
        <v>1924</v>
      </c>
      <c r="AC371" s="211" t="s">
        <v>2415</v>
      </c>
      <c r="AD371" s="13" t="s">
        <v>2416</v>
      </c>
      <c r="AE371" s="69" t="s">
        <v>1702</v>
      </c>
      <c r="AF371" s="13" t="s">
        <v>2418</v>
      </c>
      <c r="AG371" s="13" t="s">
        <v>2419</v>
      </c>
      <c r="AH371" s="13" t="s">
        <v>2420</v>
      </c>
      <c r="AI371" s="13" t="s">
        <v>2421</v>
      </c>
      <c r="AJ371" s="13" t="s">
        <v>2422</v>
      </c>
      <c r="AK371" s="13" t="s">
        <v>2416</v>
      </c>
      <c r="AL371" s="13" t="s">
        <v>2077</v>
      </c>
      <c r="AM371" s="13" t="s">
        <v>2077</v>
      </c>
      <c r="AN371" s="13" t="s">
        <v>2077</v>
      </c>
      <c r="AO371" s="13" t="s">
        <v>2077</v>
      </c>
      <c r="AP371" s="13" t="s">
        <v>2077</v>
      </c>
      <c r="AQ371" s="13" t="s">
        <v>2077</v>
      </c>
      <c r="AR371" s="13" t="s">
        <v>2418</v>
      </c>
      <c r="AS371" s="13" t="s">
        <v>2419</v>
      </c>
      <c r="AT371" s="13" t="s">
        <v>2420</v>
      </c>
      <c r="AU371" s="13" t="s">
        <v>2421</v>
      </c>
      <c r="AV371" s="13" t="s">
        <v>2422</v>
      </c>
      <c r="AW371" s="13" t="s">
        <v>2416</v>
      </c>
      <c r="AX371" s="13" t="s">
        <v>2073</v>
      </c>
      <c r="AY371" s="13" t="s">
        <v>2073</v>
      </c>
      <c r="AZ371" s="13" t="s">
        <v>2073</v>
      </c>
      <c r="BA371" s="13" t="s">
        <v>2073</v>
      </c>
      <c r="BB371" s="13" t="s">
        <v>2073</v>
      </c>
      <c r="BC371" s="13" t="s">
        <v>2073</v>
      </c>
    </row>
    <row r="372" spans="1:55" ht="15.75" customHeight="1">
      <c r="A372" s="13">
        <v>2000</v>
      </c>
      <c r="B372" s="7" t="s">
        <v>1305</v>
      </c>
      <c r="C372" s="211" t="s">
        <v>2412</v>
      </c>
      <c r="D372" s="13" t="s">
        <v>1704</v>
      </c>
      <c r="E372" s="13" t="s">
        <v>1680</v>
      </c>
      <c r="F372" s="211" t="s">
        <v>2413</v>
      </c>
      <c r="G372" s="13" t="s">
        <v>2414</v>
      </c>
      <c r="H372" s="13" t="s">
        <v>2077</v>
      </c>
      <c r="I372" s="13" t="s">
        <v>2077</v>
      </c>
      <c r="J372" s="13" t="s">
        <v>2077</v>
      </c>
      <c r="K372" s="13" t="s">
        <v>2077</v>
      </c>
      <c r="L372" s="13" t="s">
        <v>2077</v>
      </c>
      <c r="M372" s="13" t="s">
        <v>2077</v>
      </c>
      <c r="N372" s="211" t="s">
        <v>2415</v>
      </c>
      <c r="O372" s="13" t="s">
        <v>2416</v>
      </c>
      <c r="P372" s="69" t="str">
        <f t="shared" ref="P372:Q372" si="368">D372</f>
        <v>MA MANUAL 1</v>
      </c>
      <c r="Q372" s="13" t="str">
        <f t="shared" si="368"/>
        <v>3MA</v>
      </c>
      <c r="R372" s="212" t="s">
        <v>23</v>
      </c>
      <c r="S372" s="213">
        <v>0.64583333333333337</v>
      </c>
      <c r="T372" s="13">
        <v>85</v>
      </c>
      <c r="U372" s="211" t="s">
        <v>24</v>
      </c>
      <c r="V372" s="13">
        <v>1</v>
      </c>
      <c r="W372" s="13" t="s">
        <v>2417</v>
      </c>
      <c r="X372" s="13" t="s">
        <v>1924</v>
      </c>
      <c r="Y372" s="13" t="s">
        <v>2073</v>
      </c>
      <c r="Z372" s="13" t="s">
        <v>2073</v>
      </c>
      <c r="AA372" s="13" t="s">
        <v>2073</v>
      </c>
      <c r="AB372" s="13" t="s">
        <v>1924</v>
      </c>
      <c r="AC372" s="211" t="s">
        <v>2415</v>
      </c>
      <c r="AD372" s="13" t="s">
        <v>2416</v>
      </c>
      <c r="AE372" s="69" t="s">
        <v>1705</v>
      </c>
      <c r="AF372" s="13" t="s">
        <v>2418</v>
      </c>
      <c r="AG372" s="13" t="s">
        <v>2419</v>
      </c>
      <c r="AH372" s="13" t="s">
        <v>2420</v>
      </c>
      <c r="AI372" s="13" t="s">
        <v>2421</v>
      </c>
      <c r="AJ372" s="13" t="s">
        <v>2422</v>
      </c>
      <c r="AK372" s="13" t="s">
        <v>2416</v>
      </c>
      <c r="AL372" s="13" t="s">
        <v>2077</v>
      </c>
      <c r="AM372" s="13" t="s">
        <v>2077</v>
      </c>
      <c r="AN372" s="13" t="s">
        <v>2077</v>
      </c>
      <c r="AO372" s="13" t="s">
        <v>2077</v>
      </c>
      <c r="AP372" s="13" t="s">
        <v>2077</v>
      </c>
      <c r="AQ372" s="13" t="s">
        <v>2077</v>
      </c>
      <c r="AR372" s="13" t="s">
        <v>2418</v>
      </c>
      <c r="AS372" s="13" t="s">
        <v>2419</v>
      </c>
      <c r="AT372" s="13" t="s">
        <v>2420</v>
      </c>
      <c r="AU372" s="13" t="s">
        <v>2421</v>
      </c>
      <c r="AV372" s="13" t="s">
        <v>2422</v>
      </c>
      <c r="AW372" s="13" t="s">
        <v>2416</v>
      </c>
      <c r="AX372" s="13" t="s">
        <v>2073</v>
      </c>
      <c r="AY372" s="13" t="s">
        <v>2073</v>
      </c>
      <c r="AZ372" s="13" t="s">
        <v>2073</v>
      </c>
      <c r="BA372" s="13" t="s">
        <v>2073</v>
      </c>
      <c r="BB372" s="13" t="s">
        <v>2073</v>
      </c>
      <c r="BC372" s="13" t="s">
        <v>2073</v>
      </c>
    </row>
    <row r="373" spans="1:55" ht="15.75" customHeight="1">
      <c r="A373" s="13">
        <v>2000</v>
      </c>
      <c r="B373" s="7" t="s">
        <v>1309</v>
      </c>
      <c r="C373" s="211" t="s">
        <v>2412</v>
      </c>
      <c r="D373" s="13" t="s">
        <v>1708</v>
      </c>
      <c r="E373" s="13" t="s">
        <v>1680</v>
      </c>
      <c r="F373" s="211" t="s">
        <v>2413</v>
      </c>
      <c r="G373" s="13" t="s">
        <v>2414</v>
      </c>
      <c r="H373" s="13" t="s">
        <v>2077</v>
      </c>
      <c r="I373" s="13" t="s">
        <v>2077</v>
      </c>
      <c r="J373" s="13" t="s">
        <v>2077</v>
      </c>
      <c r="K373" s="13" t="s">
        <v>2077</v>
      </c>
      <c r="L373" s="13" t="s">
        <v>2077</v>
      </c>
      <c r="M373" s="13" t="s">
        <v>2077</v>
      </c>
      <c r="N373" s="211" t="s">
        <v>2415</v>
      </c>
      <c r="O373" s="13" t="s">
        <v>2416</v>
      </c>
      <c r="P373" s="69" t="str">
        <f t="shared" ref="P373:Q373" si="369">D373</f>
        <v>MA WELDING 1</v>
      </c>
      <c r="Q373" s="13" t="str">
        <f t="shared" si="369"/>
        <v>3MA</v>
      </c>
      <c r="R373" s="212" t="s">
        <v>23</v>
      </c>
      <c r="S373" s="213">
        <v>0.97916666666666663</v>
      </c>
      <c r="T373" s="13">
        <v>85</v>
      </c>
      <c r="U373" s="211" t="s">
        <v>83</v>
      </c>
      <c r="V373" s="13">
        <v>1</v>
      </c>
      <c r="W373" s="13" t="s">
        <v>2417</v>
      </c>
      <c r="X373" s="13" t="s">
        <v>1924</v>
      </c>
      <c r="Y373" s="13" t="s">
        <v>2073</v>
      </c>
      <c r="Z373" s="13" t="s">
        <v>2073</v>
      </c>
      <c r="AA373" s="13" t="s">
        <v>2073</v>
      </c>
      <c r="AB373" s="13" t="s">
        <v>1924</v>
      </c>
      <c r="AC373" s="211" t="s">
        <v>2415</v>
      </c>
      <c r="AD373" s="13" t="s">
        <v>2416</v>
      </c>
      <c r="AE373" s="69" t="s">
        <v>1709</v>
      </c>
      <c r="AF373" s="13" t="s">
        <v>2418</v>
      </c>
      <c r="AG373" s="13" t="s">
        <v>2419</v>
      </c>
      <c r="AH373" s="13" t="s">
        <v>2420</v>
      </c>
      <c r="AI373" s="13" t="s">
        <v>2421</v>
      </c>
      <c r="AJ373" s="13" t="s">
        <v>2422</v>
      </c>
      <c r="AK373" s="13" t="s">
        <v>2416</v>
      </c>
      <c r="AL373" s="13" t="s">
        <v>2077</v>
      </c>
      <c r="AM373" s="13" t="s">
        <v>2077</v>
      </c>
      <c r="AN373" s="13" t="s">
        <v>2077</v>
      </c>
      <c r="AO373" s="13" t="s">
        <v>2077</v>
      </c>
      <c r="AP373" s="13" t="s">
        <v>2077</v>
      </c>
      <c r="AQ373" s="13" t="s">
        <v>2077</v>
      </c>
      <c r="AR373" s="13" t="s">
        <v>2418</v>
      </c>
      <c r="AS373" s="13" t="s">
        <v>2419</v>
      </c>
      <c r="AT373" s="13" t="s">
        <v>2420</v>
      </c>
      <c r="AU373" s="13" t="s">
        <v>2421</v>
      </c>
      <c r="AV373" s="13" t="s">
        <v>2422</v>
      </c>
      <c r="AW373" s="13" t="s">
        <v>2416</v>
      </c>
      <c r="AX373" s="13" t="s">
        <v>2073</v>
      </c>
      <c r="AY373" s="13" t="s">
        <v>2073</v>
      </c>
      <c r="AZ373" s="13" t="s">
        <v>2073</v>
      </c>
      <c r="BA373" s="13" t="s">
        <v>2073</v>
      </c>
      <c r="BB373" s="13" t="s">
        <v>2073</v>
      </c>
      <c r="BC373" s="13" t="s">
        <v>2073</v>
      </c>
    </row>
    <row r="374" spans="1:55" ht="15.75" customHeight="1">
      <c r="A374" s="13">
        <v>2000</v>
      </c>
      <c r="B374" s="7" t="s">
        <v>1313</v>
      </c>
      <c r="C374" s="211" t="s">
        <v>2412</v>
      </c>
      <c r="D374" s="13" t="s">
        <v>1711</v>
      </c>
      <c r="E374" s="13" t="s">
        <v>1680</v>
      </c>
      <c r="F374" s="211" t="s">
        <v>2413</v>
      </c>
      <c r="G374" s="13" t="s">
        <v>2414</v>
      </c>
      <c r="H374" s="13" t="s">
        <v>2077</v>
      </c>
      <c r="I374" s="13" t="s">
        <v>2077</v>
      </c>
      <c r="J374" s="13" t="s">
        <v>2077</v>
      </c>
      <c r="K374" s="13" t="s">
        <v>2077</v>
      </c>
      <c r="L374" s="13" t="s">
        <v>2077</v>
      </c>
      <c r="M374" s="13" t="s">
        <v>2077</v>
      </c>
      <c r="N374" s="211" t="s">
        <v>2415</v>
      </c>
      <c r="O374" s="13" t="s">
        <v>2416</v>
      </c>
      <c r="P374" s="69" t="str">
        <f t="shared" ref="P374:Q374" si="370">D374</f>
        <v>MA WELDING 2</v>
      </c>
      <c r="Q374" s="13" t="str">
        <f t="shared" si="370"/>
        <v>3MA</v>
      </c>
      <c r="R374" s="212" t="s">
        <v>23</v>
      </c>
      <c r="S374" s="213">
        <v>0.64583333333333337</v>
      </c>
      <c r="T374" s="13">
        <v>85</v>
      </c>
      <c r="U374" s="211" t="s">
        <v>24</v>
      </c>
      <c r="V374" s="13">
        <v>1</v>
      </c>
      <c r="W374" s="13" t="s">
        <v>2417</v>
      </c>
      <c r="X374" s="13" t="s">
        <v>1924</v>
      </c>
      <c r="Y374" s="13" t="s">
        <v>2073</v>
      </c>
      <c r="Z374" s="13" t="s">
        <v>2073</v>
      </c>
      <c r="AA374" s="13" t="s">
        <v>2073</v>
      </c>
      <c r="AB374" s="13" t="s">
        <v>1924</v>
      </c>
      <c r="AC374" s="211" t="s">
        <v>2415</v>
      </c>
      <c r="AD374" s="13" t="s">
        <v>2416</v>
      </c>
      <c r="AE374" s="69" t="s">
        <v>1712</v>
      </c>
      <c r="AF374" s="13" t="s">
        <v>2418</v>
      </c>
      <c r="AG374" s="13" t="s">
        <v>2419</v>
      </c>
      <c r="AH374" s="13" t="s">
        <v>2420</v>
      </c>
      <c r="AI374" s="13" t="s">
        <v>2421</v>
      </c>
      <c r="AJ374" s="13" t="s">
        <v>2422</v>
      </c>
      <c r="AK374" s="13" t="s">
        <v>2416</v>
      </c>
      <c r="AL374" s="13" t="s">
        <v>2077</v>
      </c>
      <c r="AM374" s="13" t="s">
        <v>2077</v>
      </c>
      <c r="AN374" s="13" t="s">
        <v>2077</v>
      </c>
      <c r="AO374" s="13" t="s">
        <v>2077</v>
      </c>
      <c r="AP374" s="13" t="s">
        <v>2077</v>
      </c>
      <c r="AQ374" s="13" t="s">
        <v>2077</v>
      </c>
      <c r="AR374" s="13" t="s">
        <v>2418</v>
      </c>
      <c r="AS374" s="13" t="s">
        <v>2419</v>
      </c>
      <c r="AT374" s="13" t="s">
        <v>2420</v>
      </c>
      <c r="AU374" s="13" t="s">
        <v>2421</v>
      </c>
      <c r="AV374" s="13" t="s">
        <v>2422</v>
      </c>
      <c r="AW374" s="13" t="s">
        <v>2416</v>
      </c>
      <c r="AX374" s="13" t="s">
        <v>2073</v>
      </c>
      <c r="AY374" s="13" t="s">
        <v>2073</v>
      </c>
      <c r="AZ374" s="13" t="s">
        <v>2073</v>
      </c>
      <c r="BA374" s="13" t="s">
        <v>2073</v>
      </c>
      <c r="BB374" s="13" t="s">
        <v>2073</v>
      </c>
      <c r="BC374" s="13" t="s">
        <v>2073</v>
      </c>
    </row>
    <row r="375" spans="1:55" ht="15.75" customHeight="1">
      <c r="A375" s="13">
        <v>2000</v>
      </c>
      <c r="B375" s="7" t="s">
        <v>1317</v>
      </c>
      <c r="C375" s="211" t="s">
        <v>2412</v>
      </c>
      <c r="D375" s="13" t="s">
        <v>1715</v>
      </c>
      <c r="E375" s="13" t="s">
        <v>1680</v>
      </c>
      <c r="F375" s="211" t="s">
        <v>2413</v>
      </c>
      <c r="G375" s="13" t="s">
        <v>2414</v>
      </c>
      <c r="H375" s="13" t="s">
        <v>2077</v>
      </c>
      <c r="I375" s="13" t="s">
        <v>2077</v>
      </c>
      <c r="J375" s="13" t="s">
        <v>2077</v>
      </c>
      <c r="K375" s="13" t="s">
        <v>2077</v>
      </c>
      <c r="L375" s="13" t="s">
        <v>2077</v>
      </c>
      <c r="M375" s="13" t="s">
        <v>2077</v>
      </c>
      <c r="N375" s="211" t="s">
        <v>2415</v>
      </c>
      <c r="O375" s="13" t="s">
        <v>2416</v>
      </c>
      <c r="P375" s="69" t="str">
        <f t="shared" ref="P375:Q375" si="371">D375</f>
        <v>MA GRIN-POL A</v>
      </c>
      <c r="Q375" s="13" t="str">
        <f t="shared" si="371"/>
        <v>3MA</v>
      </c>
      <c r="R375" s="212" t="s">
        <v>23</v>
      </c>
      <c r="S375" s="213">
        <v>0.64583333333333337</v>
      </c>
      <c r="T375" s="13">
        <v>85</v>
      </c>
      <c r="U375" s="211" t="s">
        <v>24</v>
      </c>
      <c r="V375" s="13">
        <v>1</v>
      </c>
      <c r="W375" s="13" t="s">
        <v>2417</v>
      </c>
      <c r="X375" s="13" t="s">
        <v>1924</v>
      </c>
      <c r="Y375" s="13" t="s">
        <v>2073</v>
      </c>
      <c r="Z375" s="13" t="s">
        <v>2073</v>
      </c>
      <c r="AA375" s="13" t="s">
        <v>2073</v>
      </c>
      <c r="AB375" s="13" t="s">
        <v>1924</v>
      </c>
      <c r="AC375" s="211" t="s">
        <v>2415</v>
      </c>
      <c r="AD375" s="13" t="s">
        <v>2416</v>
      </c>
      <c r="AE375" s="69" t="s">
        <v>1716</v>
      </c>
      <c r="AF375" s="13" t="s">
        <v>2418</v>
      </c>
      <c r="AG375" s="13" t="s">
        <v>2419</v>
      </c>
      <c r="AH375" s="13" t="s">
        <v>2420</v>
      </c>
      <c r="AI375" s="13" t="s">
        <v>2421</v>
      </c>
      <c r="AJ375" s="13" t="s">
        <v>2422</v>
      </c>
      <c r="AK375" s="13" t="s">
        <v>2416</v>
      </c>
      <c r="AL375" s="13" t="s">
        <v>2077</v>
      </c>
      <c r="AM375" s="13" t="s">
        <v>2077</v>
      </c>
      <c r="AN375" s="13" t="s">
        <v>2077</v>
      </c>
      <c r="AO375" s="13" t="s">
        <v>2077</v>
      </c>
      <c r="AP375" s="13" t="s">
        <v>2077</v>
      </c>
      <c r="AQ375" s="13" t="s">
        <v>2077</v>
      </c>
      <c r="AR375" s="13" t="s">
        <v>2418</v>
      </c>
      <c r="AS375" s="13" t="s">
        <v>2419</v>
      </c>
      <c r="AT375" s="13" t="s">
        <v>2420</v>
      </c>
      <c r="AU375" s="13" t="s">
        <v>2421</v>
      </c>
      <c r="AV375" s="13" t="s">
        <v>2422</v>
      </c>
      <c r="AW375" s="13" t="s">
        <v>2416</v>
      </c>
      <c r="AX375" s="13" t="s">
        <v>2073</v>
      </c>
      <c r="AY375" s="13" t="s">
        <v>2073</v>
      </c>
      <c r="AZ375" s="13" t="s">
        <v>2073</v>
      </c>
      <c r="BA375" s="13" t="s">
        <v>2073</v>
      </c>
      <c r="BB375" s="13" t="s">
        <v>2073</v>
      </c>
      <c r="BC375" s="13" t="s">
        <v>2073</v>
      </c>
    </row>
    <row r="376" spans="1:55" ht="15.75" customHeight="1">
      <c r="A376" s="13">
        <v>2000</v>
      </c>
      <c r="B376" s="7" t="s">
        <v>1321</v>
      </c>
      <c r="C376" s="211" t="s">
        <v>2412</v>
      </c>
      <c r="D376" s="13" t="s">
        <v>1717</v>
      </c>
      <c r="E376" s="13" t="s">
        <v>1680</v>
      </c>
      <c r="F376" s="211" t="s">
        <v>2413</v>
      </c>
      <c r="G376" s="13" t="s">
        <v>2414</v>
      </c>
      <c r="H376" s="13" t="s">
        <v>2077</v>
      </c>
      <c r="I376" s="13" t="s">
        <v>2077</v>
      </c>
      <c r="J376" s="13" t="s">
        <v>2077</v>
      </c>
      <c r="K376" s="13" t="s">
        <v>2077</v>
      </c>
      <c r="L376" s="13" t="s">
        <v>2077</v>
      </c>
      <c r="M376" s="13" t="s">
        <v>2077</v>
      </c>
      <c r="N376" s="211" t="s">
        <v>2415</v>
      </c>
      <c r="O376" s="13" t="s">
        <v>2416</v>
      </c>
      <c r="P376" s="69" t="str">
        <f t="shared" ref="P376:Q376" si="372">D376</f>
        <v>MA GRIN-POL B</v>
      </c>
      <c r="Q376" s="13" t="str">
        <f t="shared" si="372"/>
        <v>3MA</v>
      </c>
      <c r="R376" s="212" t="s">
        <v>23</v>
      </c>
      <c r="S376" s="213">
        <v>0.64583333333333337</v>
      </c>
      <c r="T376" s="13">
        <v>85</v>
      </c>
      <c r="U376" s="211" t="s">
        <v>24</v>
      </c>
      <c r="V376" s="13">
        <v>1</v>
      </c>
      <c r="W376" s="13" t="s">
        <v>2417</v>
      </c>
      <c r="X376" s="13" t="s">
        <v>1924</v>
      </c>
      <c r="Y376" s="13" t="s">
        <v>2073</v>
      </c>
      <c r="Z376" s="13" t="s">
        <v>2073</v>
      </c>
      <c r="AA376" s="13" t="s">
        <v>2073</v>
      </c>
      <c r="AB376" s="13" t="s">
        <v>1924</v>
      </c>
      <c r="AC376" s="211" t="s">
        <v>2415</v>
      </c>
      <c r="AD376" s="13" t="s">
        <v>2416</v>
      </c>
      <c r="AE376" s="69" t="s">
        <v>1716</v>
      </c>
      <c r="AF376" s="13" t="s">
        <v>2418</v>
      </c>
      <c r="AG376" s="13" t="s">
        <v>2419</v>
      </c>
      <c r="AH376" s="13" t="s">
        <v>2420</v>
      </c>
      <c r="AI376" s="13" t="s">
        <v>2421</v>
      </c>
      <c r="AJ376" s="13" t="s">
        <v>2422</v>
      </c>
      <c r="AK376" s="13" t="s">
        <v>2416</v>
      </c>
      <c r="AL376" s="13" t="s">
        <v>2077</v>
      </c>
      <c r="AM376" s="13" t="s">
        <v>2077</v>
      </c>
      <c r="AN376" s="13" t="s">
        <v>2077</v>
      </c>
      <c r="AO376" s="13" t="s">
        <v>2077</v>
      </c>
      <c r="AP376" s="13" t="s">
        <v>2077</v>
      </c>
      <c r="AQ376" s="13" t="s">
        <v>2077</v>
      </c>
      <c r="AR376" s="13" t="s">
        <v>2418</v>
      </c>
      <c r="AS376" s="13" t="s">
        <v>2419</v>
      </c>
      <c r="AT376" s="13" t="s">
        <v>2420</v>
      </c>
      <c r="AU376" s="13" t="s">
        <v>2421</v>
      </c>
      <c r="AV376" s="13" t="s">
        <v>2422</v>
      </c>
      <c r="AW376" s="13" t="s">
        <v>2416</v>
      </c>
      <c r="AX376" s="13" t="s">
        <v>2073</v>
      </c>
      <c r="AY376" s="13" t="s">
        <v>2073</v>
      </c>
      <c r="AZ376" s="13" t="s">
        <v>2073</v>
      </c>
      <c r="BA376" s="13" t="s">
        <v>2073</v>
      </c>
      <c r="BB376" s="13" t="s">
        <v>2073</v>
      </c>
      <c r="BC376" s="13" t="s">
        <v>2073</v>
      </c>
    </row>
    <row r="377" spans="1:55" ht="15.75" customHeight="1">
      <c r="A377" s="13">
        <v>2000</v>
      </c>
      <c r="B377" s="7" t="s">
        <v>1325</v>
      </c>
      <c r="C377" s="211" t="s">
        <v>2412</v>
      </c>
      <c r="D377" s="13" t="s">
        <v>1718</v>
      </c>
      <c r="E377" s="13" t="s">
        <v>1680</v>
      </c>
      <c r="F377" s="211" t="s">
        <v>2413</v>
      </c>
      <c r="G377" s="13" t="s">
        <v>2414</v>
      </c>
      <c r="H377" s="13" t="s">
        <v>2077</v>
      </c>
      <c r="I377" s="13" t="s">
        <v>2077</v>
      </c>
      <c r="J377" s="13" t="s">
        <v>2077</v>
      </c>
      <c r="K377" s="13" t="s">
        <v>2077</v>
      </c>
      <c r="L377" s="13" t="s">
        <v>2077</v>
      </c>
      <c r="M377" s="13" t="s">
        <v>2077</v>
      </c>
      <c r="N377" s="211" t="s">
        <v>2415</v>
      </c>
      <c r="O377" s="13" t="s">
        <v>2416</v>
      </c>
      <c r="P377" s="69" t="str">
        <f t="shared" ref="P377:Q377" si="373">D377</f>
        <v>MA GRIN-POL C</v>
      </c>
      <c r="Q377" s="13" t="str">
        <f t="shared" si="373"/>
        <v>3MA</v>
      </c>
      <c r="R377" s="212" t="s">
        <v>23</v>
      </c>
      <c r="S377" s="213">
        <v>0.64583333333333337</v>
      </c>
      <c r="T377" s="13">
        <v>85</v>
      </c>
      <c r="U377" s="211" t="s">
        <v>24</v>
      </c>
      <c r="V377" s="13">
        <v>1</v>
      </c>
      <c r="W377" s="13" t="s">
        <v>2417</v>
      </c>
      <c r="X377" s="13" t="s">
        <v>1924</v>
      </c>
      <c r="Y377" s="13" t="s">
        <v>2073</v>
      </c>
      <c r="Z377" s="13" t="s">
        <v>2073</v>
      </c>
      <c r="AA377" s="13" t="s">
        <v>2073</v>
      </c>
      <c r="AB377" s="13" t="s">
        <v>1924</v>
      </c>
      <c r="AC377" s="211" t="s">
        <v>2415</v>
      </c>
      <c r="AD377" s="13" t="s">
        <v>2416</v>
      </c>
      <c r="AE377" s="69" t="s">
        <v>1716</v>
      </c>
      <c r="AF377" s="13" t="s">
        <v>2418</v>
      </c>
      <c r="AG377" s="13" t="s">
        <v>2419</v>
      </c>
      <c r="AH377" s="13" t="s">
        <v>2420</v>
      </c>
      <c r="AI377" s="13" t="s">
        <v>2421</v>
      </c>
      <c r="AJ377" s="13" t="s">
        <v>2422</v>
      </c>
      <c r="AK377" s="13" t="s">
        <v>2416</v>
      </c>
      <c r="AL377" s="13" t="s">
        <v>2077</v>
      </c>
      <c r="AM377" s="13" t="s">
        <v>2077</v>
      </c>
      <c r="AN377" s="13" t="s">
        <v>2077</v>
      </c>
      <c r="AO377" s="13" t="s">
        <v>2077</v>
      </c>
      <c r="AP377" s="13" t="s">
        <v>2077</v>
      </c>
      <c r="AQ377" s="13" t="s">
        <v>2077</v>
      </c>
      <c r="AR377" s="13" t="s">
        <v>2418</v>
      </c>
      <c r="AS377" s="13" t="s">
        <v>2419</v>
      </c>
      <c r="AT377" s="13" t="s">
        <v>2420</v>
      </c>
      <c r="AU377" s="13" t="s">
        <v>2421</v>
      </c>
      <c r="AV377" s="13" t="s">
        <v>2422</v>
      </c>
      <c r="AW377" s="13" t="s">
        <v>2416</v>
      </c>
      <c r="AX377" s="13" t="s">
        <v>2073</v>
      </c>
      <c r="AY377" s="13" t="s">
        <v>2073</v>
      </c>
      <c r="AZ377" s="13" t="s">
        <v>2073</v>
      </c>
      <c r="BA377" s="13" t="s">
        <v>2073</v>
      </c>
      <c r="BB377" s="13" t="s">
        <v>2073</v>
      </c>
      <c r="BC377" s="13" t="s">
        <v>2073</v>
      </c>
    </row>
    <row r="378" spans="1:55" ht="15.75" customHeight="1">
      <c r="A378" s="13">
        <v>2000</v>
      </c>
      <c r="B378" s="7" t="s">
        <v>1329</v>
      </c>
      <c r="C378" s="211" t="s">
        <v>2412</v>
      </c>
      <c r="D378" s="13" t="s">
        <v>1719</v>
      </c>
      <c r="E378" s="13" t="s">
        <v>1680</v>
      </c>
      <c r="F378" s="211" t="s">
        <v>2413</v>
      </c>
      <c r="G378" s="13" t="s">
        <v>2414</v>
      </c>
      <c r="H378" s="13" t="s">
        <v>2077</v>
      </c>
      <c r="I378" s="13" t="s">
        <v>2077</v>
      </c>
      <c r="J378" s="13" t="s">
        <v>2077</v>
      </c>
      <c r="K378" s="13" t="s">
        <v>2077</v>
      </c>
      <c r="L378" s="13" t="s">
        <v>2077</v>
      </c>
      <c r="M378" s="13" t="s">
        <v>2077</v>
      </c>
      <c r="N378" s="211" t="s">
        <v>2415</v>
      </c>
      <c r="O378" s="13" t="s">
        <v>2416</v>
      </c>
      <c r="P378" s="69" t="str">
        <f t="shared" ref="P378:Q378" si="374">D378</f>
        <v>MA GRIN-POL D</v>
      </c>
      <c r="Q378" s="13" t="str">
        <f t="shared" si="374"/>
        <v>3MA</v>
      </c>
      <c r="R378" s="212" t="s">
        <v>23</v>
      </c>
      <c r="S378" s="213">
        <v>0.64583333333333337</v>
      </c>
      <c r="T378" s="13">
        <v>85</v>
      </c>
      <c r="U378" s="211" t="s">
        <v>24</v>
      </c>
      <c r="V378" s="13">
        <v>1</v>
      </c>
      <c r="W378" s="13" t="s">
        <v>2417</v>
      </c>
      <c r="X378" s="13" t="s">
        <v>1924</v>
      </c>
      <c r="Y378" s="13" t="s">
        <v>2073</v>
      </c>
      <c r="Z378" s="13" t="s">
        <v>2073</v>
      </c>
      <c r="AA378" s="13" t="s">
        <v>2073</v>
      </c>
      <c r="AB378" s="13" t="s">
        <v>1924</v>
      </c>
      <c r="AC378" s="211" t="s">
        <v>2415</v>
      </c>
      <c r="AD378" s="13" t="s">
        <v>2416</v>
      </c>
      <c r="AE378" s="69" t="s">
        <v>1716</v>
      </c>
      <c r="AF378" s="13" t="s">
        <v>2418</v>
      </c>
      <c r="AG378" s="13" t="s">
        <v>2419</v>
      </c>
      <c r="AH378" s="13" t="s">
        <v>2420</v>
      </c>
      <c r="AI378" s="13" t="s">
        <v>2421</v>
      </c>
      <c r="AJ378" s="13" t="s">
        <v>2422</v>
      </c>
      <c r="AK378" s="13" t="s">
        <v>2416</v>
      </c>
      <c r="AL378" s="13" t="s">
        <v>2077</v>
      </c>
      <c r="AM378" s="13" t="s">
        <v>2077</v>
      </c>
      <c r="AN378" s="13" t="s">
        <v>2077</v>
      </c>
      <c r="AO378" s="13" t="s">
        <v>2077</v>
      </c>
      <c r="AP378" s="13" t="s">
        <v>2077</v>
      </c>
      <c r="AQ378" s="13" t="s">
        <v>2077</v>
      </c>
      <c r="AR378" s="13" t="s">
        <v>2418</v>
      </c>
      <c r="AS378" s="13" t="s">
        <v>2419</v>
      </c>
      <c r="AT378" s="13" t="s">
        <v>2420</v>
      </c>
      <c r="AU378" s="13" t="s">
        <v>2421</v>
      </c>
      <c r="AV378" s="13" t="s">
        <v>2422</v>
      </c>
      <c r="AW378" s="13" t="s">
        <v>2416</v>
      </c>
      <c r="AX378" s="13" t="s">
        <v>2073</v>
      </c>
      <c r="AY378" s="13" t="s">
        <v>2073</v>
      </c>
      <c r="AZ378" s="13" t="s">
        <v>2073</v>
      </c>
      <c r="BA378" s="13" t="s">
        <v>2073</v>
      </c>
      <c r="BB378" s="13" t="s">
        <v>2073</v>
      </c>
      <c r="BC378" s="13" t="s">
        <v>2073</v>
      </c>
    </row>
    <row r="379" spans="1:55" ht="15.75" customHeight="1">
      <c r="A379" s="13">
        <v>2000</v>
      </c>
      <c r="B379" s="7" t="s">
        <v>1333</v>
      </c>
      <c r="C379" s="211" t="s">
        <v>2412</v>
      </c>
      <c r="D379" s="13" t="s">
        <v>1722</v>
      </c>
      <c r="E379" s="13" t="s">
        <v>1680</v>
      </c>
      <c r="F379" s="211" t="s">
        <v>2413</v>
      </c>
      <c r="G379" s="13" t="s">
        <v>2414</v>
      </c>
      <c r="H379" s="13" t="s">
        <v>2077</v>
      </c>
      <c r="I379" s="13" t="s">
        <v>2077</v>
      </c>
      <c r="J379" s="13" t="s">
        <v>2077</v>
      </c>
      <c r="K379" s="13" t="s">
        <v>2077</v>
      </c>
      <c r="L379" s="13" t="s">
        <v>2077</v>
      </c>
      <c r="M379" s="13" t="s">
        <v>2077</v>
      </c>
      <c r="N379" s="211" t="s">
        <v>2415</v>
      </c>
      <c r="O379" s="13" t="s">
        <v>2416</v>
      </c>
      <c r="P379" s="69" t="str">
        <f t="shared" ref="P379:Q379" si="375">D379</f>
        <v>MA PAINTING 1</v>
      </c>
      <c r="Q379" s="13" t="str">
        <f t="shared" si="375"/>
        <v>3MA</v>
      </c>
      <c r="R379" s="212" t="s">
        <v>23</v>
      </c>
      <c r="S379" s="213">
        <v>0.64583333333333337</v>
      </c>
      <c r="T379" s="13">
        <v>85</v>
      </c>
      <c r="U379" s="211" t="s">
        <v>24</v>
      </c>
      <c r="V379" s="13">
        <v>1</v>
      </c>
      <c r="W379" s="13" t="s">
        <v>2417</v>
      </c>
      <c r="X379" s="13" t="s">
        <v>1924</v>
      </c>
      <c r="Y379" s="13" t="s">
        <v>2073</v>
      </c>
      <c r="Z379" s="13" t="s">
        <v>2073</v>
      </c>
      <c r="AA379" s="13" t="s">
        <v>2073</v>
      </c>
      <c r="AB379" s="13" t="s">
        <v>1924</v>
      </c>
      <c r="AC379" s="211" t="s">
        <v>2415</v>
      </c>
      <c r="AD379" s="13" t="s">
        <v>2416</v>
      </c>
      <c r="AE379" s="69" t="s">
        <v>1724</v>
      </c>
      <c r="AF379" s="13" t="s">
        <v>2418</v>
      </c>
      <c r="AG379" s="13" t="s">
        <v>2419</v>
      </c>
      <c r="AH379" s="13" t="s">
        <v>2420</v>
      </c>
      <c r="AI379" s="13" t="s">
        <v>2421</v>
      </c>
      <c r="AJ379" s="13" t="s">
        <v>2422</v>
      </c>
      <c r="AK379" s="13" t="s">
        <v>2416</v>
      </c>
      <c r="AL379" s="13" t="s">
        <v>2077</v>
      </c>
      <c r="AM379" s="13" t="s">
        <v>2077</v>
      </c>
      <c r="AN379" s="13" t="s">
        <v>2077</v>
      </c>
      <c r="AO379" s="13" t="s">
        <v>2077</v>
      </c>
      <c r="AP379" s="13" t="s">
        <v>2077</v>
      </c>
      <c r="AQ379" s="13" t="s">
        <v>2077</v>
      </c>
      <c r="AR379" s="13" t="s">
        <v>2418</v>
      </c>
      <c r="AS379" s="13" t="s">
        <v>2419</v>
      </c>
      <c r="AT379" s="13" t="s">
        <v>2420</v>
      </c>
      <c r="AU379" s="13" t="s">
        <v>2421</v>
      </c>
      <c r="AV379" s="13" t="s">
        <v>2422</v>
      </c>
      <c r="AW379" s="13" t="s">
        <v>2416</v>
      </c>
      <c r="AX379" s="13" t="s">
        <v>2073</v>
      </c>
      <c r="AY379" s="13" t="s">
        <v>2073</v>
      </c>
      <c r="AZ379" s="13" t="s">
        <v>2073</v>
      </c>
      <c r="BA379" s="13" t="s">
        <v>2073</v>
      </c>
      <c r="BB379" s="13" t="s">
        <v>2073</v>
      </c>
      <c r="BC379" s="13" t="s">
        <v>2073</v>
      </c>
    </row>
    <row r="380" spans="1:55" ht="15.75" customHeight="1">
      <c r="A380" s="13">
        <v>2000</v>
      </c>
      <c r="B380" s="7" t="s">
        <v>1337</v>
      </c>
      <c r="C380" s="211" t="s">
        <v>2412</v>
      </c>
      <c r="D380" s="13" t="s">
        <v>1726</v>
      </c>
      <c r="E380" s="13" t="s">
        <v>1680</v>
      </c>
      <c r="F380" s="211" t="s">
        <v>2413</v>
      </c>
      <c r="G380" s="13" t="s">
        <v>2414</v>
      </c>
      <c r="H380" s="13" t="s">
        <v>2077</v>
      </c>
      <c r="I380" s="13" t="s">
        <v>2077</v>
      </c>
      <c r="J380" s="13" t="s">
        <v>2077</v>
      </c>
      <c r="K380" s="13" t="s">
        <v>2077</v>
      </c>
      <c r="L380" s="13" t="s">
        <v>2077</v>
      </c>
      <c r="M380" s="13" t="s">
        <v>2077</v>
      </c>
      <c r="N380" s="211" t="s">
        <v>2415</v>
      </c>
      <c r="O380" s="13" t="s">
        <v>2416</v>
      </c>
      <c r="P380" s="69" t="str">
        <f t="shared" ref="P380:Q380" si="376">D380</f>
        <v>MA PAINTING 2</v>
      </c>
      <c r="Q380" s="13" t="str">
        <f t="shared" si="376"/>
        <v>3MA</v>
      </c>
      <c r="R380" s="212" t="s">
        <v>23</v>
      </c>
      <c r="S380" s="213">
        <v>0.64583333333333337</v>
      </c>
      <c r="T380" s="13">
        <v>85</v>
      </c>
      <c r="U380" s="211" t="s">
        <v>24</v>
      </c>
      <c r="V380" s="13">
        <v>1</v>
      </c>
      <c r="W380" s="13" t="s">
        <v>2417</v>
      </c>
      <c r="X380" s="13" t="s">
        <v>1924</v>
      </c>
      <c r="Y380" s="13" t="s">
        <v>2073</v>
      </c>
      <c r="Z380" s="13" t="s">
        <v>2073</v>
      </c>
      <c r="AA380" s="13" t="s">
        <v>2073</v>
      </c>
      <c r="AB380" s="13" t="s">
        <v>1924</v>
      </c>
      <c r="AC380" s="211" t="s">
        <v>2415</v>
      </c>
      <c r="AD380" s="13" t="s">
        <v>2416</v>
      </c>
      <c r="AE380" s="69" t="s">
        <v>1727</v>
      </c>
      <c r="AF380" s="13" t="s">
        <v>2418</v>
      </c>
      <c r="AG380" s="13" t="s">
        <v>2419</v>
      </c>
      <c r="AH380" s="13" t="s">
        <v>2420</v>
      </c>
      <c r="AI380" s="13" t="s">
        <v>2421</v>
      </c>
      <c r="AJ380" s="13" t="s">
        <v>2422</v>
      </c>
      <c r="AK380" s="13" t="s">
        <v>2416</v>
      </c>
      <c r="AL380" s="13" t="s">
        <v>2077</v>
      </c>
      <c r="AM380" s="13" t="s">
        <v>2077</v>
      </c>
      <c r="AN380" s="13" t="s">
        <v>2077</v>
      </c>
      <c r="AO380" s="13" t="s">
        <v>2077</v>
      </c>
      <c r="AP380" s="13" t="s">
        <v>2077</v>
      </c>
      <c r="AQ380" s="13" t="s">
        <v>2077</v>
      </c>
      <c r="AR380" s="13" t="s">
        <v>2418</v>
      </c>
      <c r="AS380" s="13" t="s">
        <v>2419</v>
      </c>
      <c r="AT380" s="13" t="s">
        <v>2420</v>
      </c>
      <c r="AU380" s="13" t="s">
        <v>2421</v>
      </c>
      <c r="AV380" s="13" t="s">
        <v>2422</v>
      </c>
      <c r="AW380" s="13" t="s">
        <v>2416</v>
      </c>
      <c r="AX380" s="13" t="s">
        <v>2073</v>
      </c>
      <c r="AY380" s="13" t="s">
        <v>2073</v>
      </c>
      <c r="AZ380" s="13" t="s">
        <v>2073</v>
      </c>
      <c r="BA380" s="13" t="s">
        <v>2073</v>
      </c>
      <c r="BB380" s="13" t="s">
        <v>2073</v>
      </c>
      <c r="BC380" s="13" t="s">
        <v>2073</v>
      </c>
    </row>
    <row r="381" spans="1:55" ht="15.75" customHeight="1">
      <c r="A381" s="13">
        <v>2000</v>
      </c>
      <c r="B381" s="7" t="s">
        <v>1341</v>
      </c>
      <c r="C381" s="211" t="s">
        <v>2412</v>
      </c>
      <c r="D381" s="13" t="s">
        <v>1729</v>
      </c>
      <c r="E381" s="13" t="s">
        <v>1680</v>
      </c>
      <c r="F381" s="211" t="s">
        <v>2413</v>
      </c>
      <c r="G381" s="13" t="s">
        <v>2414</v>
      </c>
      <c r="H381" s="13" t="s">
        <v>2077</v>
      </c>
      <c r="I381" s="13" t="s">
        <v>2077</v>
      </c>
      <c r="J381" s="13" t="s">
        <v>2077</v>
      </c>
      <c r="K381" s="13" t="s">
        <v>2077</v>
      </c>
      <c r="L381" s="13" t="s">
        <v>2077</v>
      </c>
      <c r="M381" s="13" t="s">
        <v>2077</v>
      </c>
      <c r="N381" s="211" t="s">
        <v>2415</v>
      </c>
      <c r="O381" s="13" t="s">
        <v>2416</v>
      </c>
      <c r="P381" s="69" t="str">
        <f t="shared" ref="P381:Q381" si="377">D381</f>
        <v>MA PAINTING 3</v>
      </c>
      <c r="Q381" s="13" t="str">
        <f t="shared" si="377"/>
        <v>3MA</v>
      </c>
      <c r="R381" s="212" t="s">
        <v>23</v>
      </c>
      <c r="S381" s="213">
        <v>0.64583333333333337</v>
      </c>
      <c r="T381" s="13">
        <v>85</v>
      </c>
      <c r="U381" s="211" t="s">
        <v>24</v>
      </c>
      <c r="V381" s="13">
        <v>1</v>
      </c>
      <c r="W381" s="13" t="s">
        <v>2417</v>
      </c>
      <c r="X381" s="13" t="s">
        <v>1924</v>
      </c>
      <c r="Y381" s="13" t="s">
        <v>2073</v>
      </c>
      <c r="Z381" s="13" t="s">
        <v>2073</v>
      </c>
      <c r="AA381" s="13" t="s">
        <v>2073</v>
      </c>
      <c r="AB381" s="13" t="s">
        <v>1924</v>
      </c>
      <c r="AC381" s="211" t="s">
        <v>2415</v>
      </c>
      <c r="AD381" s="13" t="s">
        <v>2416</v>
      </c>
      <c r="AE381" s="69" t="s">
        <v>1730</v>
      </c>
      <c r="AF381" s="13" t="s">
        <v>2418</v>
      </c>
      <c r="AG381" s="13" t="s">
        <v>2419</v>
      </c>
      <c r="AH381" s="13" t="s">
        <v>2420</v>
      </c>
      <c r="AI381" s="13" t="s">
        <v>2421</v>
      </c>
      <c r="AJ381" s="13" t="s">
        <v>2422</v>
      </c>
      <c r="AK381" s="13" t="s">
        <v>2416</v>
      </c>
      <c r="AL381" s="13" t="s">
        <v>2077</v>
      </c>
      <c r="AM381" s="13" t="s">
        <v>2077</v>
      </c>
      <c r="AN381" s="13" t="s">
        <v>2077</v>
      </c>
      <c r="AO381" s="13" t="s">
        <v>2077</v>
      </c>
      <c r="AP381" s="13" t="s">
        <v>2077</v>
      </c>
      <c r="AQ381" s="13" t="s">
        <v>2077</v>
      </c>
      <c r="AR381" s="13" t="s">
        <v>2418</v>
      </c>
      <c r="AS381" s="13" t="s">
        <v>2419</v>
      </c>
      <c r="AT381" s="13" t="s">
        <v>2420</v>
      </c>
      <c r="AU381" s="13" t="s">
        <v>2421</v>
      </c>
      <c r="AV381" s="13" t="s">
        <v>2422</v>
      </c>
      <c r="AW381" s="13" t="s">
        <v>2416</v>
      </c>
      <c r="AX381" s="13" t="s">
        <v>2073</v>
      </c>
      <c r="AY381" s="13" t="s">
        <v>2073</v>
      </c>
      <c r="AZ381" s="13" t="s">
        <v>2073</v>
      </c>
      <c r="BA381" s="13" t="s">
        <v>2073</v>
      </c>
      <c r="BB381" s="13" t="s">
        <v>2073</v>
      </c>
      <c r="BC381" s="13" t="s">
        <v>2073</v>
      </c>
    </row>
    <row r="382" spans="1:55" ht="15.75" customHeight="1">
      <c r="A382" s="13">
        <v>2000</v>
      </c>
      <c r="B382" s="7" t="s">
        <v>1345</v>
      </c>
      <c r="C382" s="211" t="s">
        <v>2412</v>
      </c>
      <c r="D382" s="13" t="s">
        <v>1732</v>
      </c>
      <c r="E382" s="13" t="s">
        <v>1680</v>
      </c>
      <c r="F382" s="211" t="s">
        <v>2413</v>
      </c>
      <c r="G382" s="13" t="s">
        <v>2414</v>
      </c>
      <c r="H382" s="13" t="s">
        <v>2077</v>
      </c>
      <c r="I382" s="13" t="s">
        <v>2077</v>
      </c>
      <c r="J382" s="13" t="s">
        <v>2077</v>
      </c>
      <c r="K382" s="13" t="s">
        <v>2077</v>
      </c>
      <c r="L382" s="13" t="s">
        <v>2077</v>
      </c>
      <c r="M382" s="13" t="s">
        <v>2077</v>
      </c>
      <c r="N382" s="211" t="s">
        <v>2415</v>
      </c>
      <c r="O382" s="13" t="s">
        <v>2416</v>
      </c>
      <c r="P382" s="69" t="str">
        <f t="shared" ref="P382:Q382" si="378">D382</f>
        <v>MA PAINTING 4</v>
      </c>
      <c r="Q382" s="13" t="str">
        <f t="shared" si="378"/>
        <v>3MA</v>
      </c>
      <c r="R382" s="212" t="s">
        <v>23</v>
      </c>
      <c r="S382" s="213">
        <v>0.64583333333333337</v>
      </c>
      <c r="T382" s="13">
        <v>85</v>
      </c>
      <c r="U382" s="211" t="s">
        <v>24</v>
      </c>
      <c r="V382" s="13">
        <v>1</v>
      </c>
      <c r="W382" s="13" t="s">
        <v>2417</v>
      </c>
      <c r="X382" s="13" t="s">
        <v>1924</v>
      </c>
      <c r="Y382" s="13" t="s">
        <v>2073</v>
      </c>
      <c r="Z382" s="13" t="s">
        <v>2073</v>
      </c>
      <c r="AA382" s="13" t="s">
        <v>2073</v>
      </c>
      <c r="AB382" s="13" t="s">
        <v>1924</v>
      </c>
      <c r="AC382" s="211" t="s">
        <v>2415</v>
      </c>
      <c r="AD382" s="13" t="s">
        <v>2416</v>
      </c>
      <c r="AE382" s="69" t="s">
        <v>1734</v>
      </c>
      <c r="AF382" s="13" t="s">
        <v>2418</v>
      </c>
      <c r="AG382" s="13" t="s">
        <v>2419</v>
      </c>
      <c r="AH382" s="13" t="s">
        <v>2420</v>
      </c>
      <c r="AI382" s="13" t="s">
        <v>2421</v>
      </c>
      <c r="AJ382" s="13" t="s">
        <v>2422</v>
      </c>
      <c r="AK382" s="13" t="s">
        <v>2416</v>
      </c>
      <c r="AL382" s="13" t="s">
        <v>2077</v>
      </c>
      <c r="AM382" s="13" t="s">
        <v>2077</v>
      </c>
      <c r="AN382" s="13" t="s">
        <v>2077</v>
      </c>
      <c r="AO382" s="13" t="s">
        <v>2077</v>
      </c>
      <c r="AP382" s="13" t="s">
        <v>2077</v>
      </c>
      <c r="AQ382" s="13" t="s">
        <v>2077</v>
      </c>
      <c r="AR382" s="13" t="s">
        <v>2418</v>
      </c>
      <c r="AS382" s="13" t="s">
        <v>2419</v>
      </c>
      <c r="AT382" s="13" t="s">
        <v>2420</v>
      </c>
      <c r="AU382" s="13" t="s">
        <v>2421</v>
      </c>
      <c r="AV382" s="13" t="s">
        <v>2422</v>
      </c>
      <c r="AW382" s="13" t="s">
        <v>2416</v>
      </c>
      <c r="AX382" s="13" t="s">
        <v>2073</v>
      </c>
      <c r="AY382" s="13" t="s">
        <v>2073</v>
      </c>
      <c r="AZ382" s="13" t="s">
        <v>2073</v>
      </c>
      <c r="BA382" s="13" t="s">
        <v>2073</v>
      </c>
      <c r="BB382" s="13" t="s">
        <v>2073</v>
      </c>
      <c r="BC382" s="13" t="s">
        <v>2073</v>
      </c>
    </row>
    <row r="383" spans="1:55" ht="15.75" customHeight="1">
      <c r="A383" s="13">
        <v>2000</v>
      </c>
      <c r="B383" s="7" t="s">
        <v>1349</v>
      </c>
      <c r="C383" s="211" t="s">
        <v>2412</v>
      </c>
      <c r="D383" s="13" t="s">
        <v>1741</v>
      </c>
      <c r="E383" s="13" t="s">
        <v>1680</v>
      </c>
      <c r="F383" s="211" t="s">
        <v>2413</v>
      </c>
      <c r="G383" s="13" t="s">
        <v>2414</v>
      </c>
      <c r="H383" s="13" t="s">
        <v>2077</v>
      </c>
      <c r="I383" s="13" t="s">
        <v>2077</v>
      </c>
      <c r="J383" s="13" t="s">
        <v>2077</v>
      </c>
      <c r="K383" s="13" t="s">
        <v>2077</v>
      </c>
      <c r="L383" s="13" t="s">
        <v>2077</v>
      </c>
      <c r="M383" s="13" t="s">
        <v>2077</v>
      </c>
      <c r="N383" s="211" t="s">
        <v>2415</v>
      </c>
      <c r="O383" s="13" t="s">
        <v>2416</v>
      </c>
      <c r="P383" s="69" t="str">
        <f t="shared" ref="P383:Q383" si="379">D383</f>
        <v>MA PACKING</v>
      </c>
      <c r="Q383" s="13" t="str">
        <f t="shared" si="379"/>
        <v>3MA</v>
      </c>
      <c r="R383" s="212" t="s">
        <v>23</v>
      </c>
      <c r="S383" s="213">
        <v>0.64583333333333337</v>
      </c>
      <c r="T383" s="13">
        <v>85</v>
      </c>
      <c r="U383" s="211" t="s">
        <v>24</v>
      </c>
      <c r="V383" s="13">
        <v>1</v>
      </c>
      <c r="W383" s="13" t="s">
        <v>2417</v>
      </c>
      <c r="X383" s="13" t="s">
        <v>1924</v>
      </c>
      <c r="Y383" s="13" t="s">
        <v>2073</v>
      </c>
      <c r="Z383" s="13" t="s">
        <v>2073</v>
      </c>
      <c r="AA383" s="13" t="s">
        <v>2073</v>
      </c>
      <c r="AB383" s="13" t="s">
        <v>1924</v>
      </c>
      <c r="AC383" s="211" t="s">
        <v>2415</v>
      </c>
      <c r="AD383" s="13" t="s">
        <v>2416</v>
      </c>
      <c r="AE383" s="69" t="s">
        <v>1742</v>
      </c>
      <c r="AF383" s="13" t="s">
        <v>2418</v>
      </c>
      <c r="AG383" s="13" t="s">
        <v>2419</v>
      </c>
      <c r="AH383" s="13" t="s">
        <v>2420</v>
      </c>
      <c r="AI383" s="13" t="s">
        <v>2421</v>
      </c>
      <c r="AJ383" s="13" t="s">
        <v>2422</v>
      </c>
      <c r="AK383" s="13" t="s">
        <v>2416</v>
      </c>
      <c r="AL383" s="13" t="s">
        <v>2077</v>
      </c>
      <c r="AM383" s="13" t="s">
        <v>2077</v>
      </c>
      <c r="AN383" s="13" t="s">
        <v>2077</v>
      </c>
      <c r="AO383" s="13" t="s">
        <v>2077</v>
      </c>
      <c r="AP383" s="13" t="s">
        <v>2077</v>
      </c>
      <c r="AQ383" s="13" t="s">
        <v>2077</v>
      </c>
      <c r="AR383" s="13" t="s">
        <v>2418</v>
      </c>
      <c r="AS383" s="13" t="s">
        <v>2419</v>
      </c>
      <c r="AT383" s="13" t="s">
        <v>2420</v>
      </c>
      <c r="AU383" s="13" t="s">
        <v>2421</v>
      </c>
      <c r="AV383" s="13" t="s">
        <v>2422</v>
      </c>
      <c r="AW383" s="13" t="s">
        <v>2416</v>
      </c>
      <c r="AX383" s="13" t="s">
        <v>2073</v>
      </c>
      <c r="AY383" s="13" t="s">
        <v>2073</v>
      </c>
      <c r="AZ383" s="13" t="s">
        <v>2073</v>
      </c>
      <c r="BA383" s="13" t="s">
        <v>2073</v>
      </c>
      <c r="BB383" s="13" t="s">
        <v>2073</v>
      </c>
      <c r="BC383" s="13" t="s">
        <v>2073</v>
      </c>
    </row>
    <row r="384" spans="1:55" ht="15.75" customHeight="1">
      <c r="A384" s="13">
        <v>2000</v>
      </c>
      <c r="B384" s="7" t="s">
        <v>1733</v>
      </c>
      <c r="C384" s="211" t="s">
        <v>2412</v>
      </c>
      <c r="D384" s="13" t="s">
        <v>1745</v>
      </c>
      <c r="E384" s="13" t="s">
        <v>1175</v>
      </c>
      <c r="F384" s="211" t="s">
        <v>2413</v>
      </c>
      <c r="G384" s="13" t="s">
        <v>2414</v>
      </c>
      <c r="H384" s="13" t="s">
        <v>2077</v>
      </c>
      <c r="I384" s="13" t="s">
        <v>2077</v>
      </c>
      <c r="J384" s="13" t="s">
        <v>2077</v>
      </c>
      <c r="K384" s="13" t="s">
        <v>2077</v>
      </c>
      <c r="L384" s="13" t="s">
        <v>2077</v>
      </c>
      <c r="M384" s="13" t="s">
        <v>2077</v>
      </c>
      <c r="N384" s="211" t="s">
        <v>2415</v>
      </c>
      <c r="O384" s="13" t="s">
        <v>2416</v>
      </c>
      <c r="P384" s="69" t="str">
        <f t="shared" ref="P384:Q384" si="380">D384</f>
        <v>PD WORKSHOP ASSY</v>
      </c>
      <c r="Q384" s="13" t="str">
        <f t="shared" si="380"/>
        <v>3MF</v>
      </c>
      <c r="R384" s="212" t="s">
        <v>23</v>
      </c>
      <c r="S384" s="213">
        <v>0.70833333333333337</v>
      </c>
      <c r="T384" s="13">
        <v>85</v>
      </c>
      <c r="U384" s="211" t="s">
        <v>24</v>
      </c>
      <c r="V384" s="13">
        <v>1</v>
      </c>
      <c r="W384" s="13" t="s">
        <v>2417</v>
      </c>
      <c r="X384" s="13" t="s">
        <v>1924</v>
      </c>
      <c r="Y384" s="13" t="s">
        <v>2073</v>
      </c>
      <c r="Z384" s="13" t="s">
        <v>2073</v>
      </c>
      <c r="AA384" s="13" t="s">
        <v>2073</v>
      </c>
      <c r="AB384" s="13" t="s">
        <v>1924</v>
      </c>
      <c r="AC384" s="211" t="s">
        <v>2415</v>
      </c>
      <c r="AD384" s="13" t="s">
        <v>2416</v>
      </c>
      <c r="AE384" s="69" t="s">
        <v>1746</v>
      </c>
      <c r="AF384" s="13" t="s">
        <v>2418</v>
      </c>
      <c r="AG384" s="13" t="s">
        <v>2419</v>
      </c>
      <c r="AH384" s="13" t="s">
        <v>2420</v>
      </c>
      <c r="AI384" s="13" t="s">
        <v>2421</v>
      </c>
      <c r="AJ384" s="13" t="s">
        <v>2422</v>
      </c>
      <c r="AK384" s="13" t="s">
        <v>2416</v>
      </c>
      <c r="AL384" s="13" t="s">
        <v>2077</v>
      </c>
      <c r="AM384" s="13" t="s">
        <v>2077</v>
      </c>
      <c r="AN384" s="13" t="s">
        <v>2077</v>
      </c>
      <c r="AO384" s="13" t="s">
        <v>2077</v>
      </c>
      <c r="AP384" s="13" t="s">
        <v>2077</v>
      </c>
      <c r="AQ384" s="13" t="s">
        <v>2077</v>
      </c>
      <c r="AR384" s="13" t="s">
        <v>2418</v>
      </c>
      <c r="AS384" s="13" t="s">
        <v>2419</v>
      </c>
      <c r="AT384" s="13" t="s">
        <v>2420</v>
      </c>
      <c r="AU384" s="13" t="s">
        <v>2421</v>
      </c>
      <c r="AV384" s="13" t="s">
        <v>2422</v>
      </c>
      <c r="AW384" s="13" t="s">
        <v>2416</v>
      </c>
      <c r="AX384" s="13" t="s">
        <v>2073</v>
      </c>
      <c r="AY384" s="13" t="s">
        <v>2073</v>
      </c>
      <c r="AZ384" s="13" t="s">
        <v>2073</v>
      </c>
      <c r="BA384" s="13" t="s">
        <v>2073</v>
      </c>
      <c r="BB384" s="13" t="s">
        <v>2073</v>
      </c>
      <c r="BC384" s="13" t="s">
        <v>2073</v>
      </c>
    </row>
    <row r="385" spans="1:55" ht="15.75" customHeight="1">
      <c r="A385" s="13">
        <v>2000</v>
      </c>
      <c r="B385" s="7" t="s">
        <v>1735</v>
      </c>
      <c r="C385" s="211" t="s">
        <v>2412</v>
      </c>
      <c r="D385" s="13" t="s">
        <v>1749</v>
      </c>
      <c r="E385" s="13" t="s">
        <v>1175</v>
      </c>
      <c r="F385" s="211" t="s">
        <v>2413</v>
      </c>
      <c r="G385" s="13" t="s">
        <v>2414</v>
      </c>
      <c r="H385" s="13" t="s">
        <v>2077</v>
      </c>
      <c r="I385" s="13" t="s">
        <v>2077</v>
      </c>
      <c r="J385" s="13" t="s">
        <v>2077</v>
      </c>
      <c r="K385" s="13" t="s">
        <v>2077</v>
      </c>
      <c r="L385" s="13" t="s">
        <v>2077</v>
      </c>
      <c r="M385" s="13" t="s">
        <v>2077</v>
      </c>
      <c r="N385" s="211" t="s">
        <v>2415</v>
      </c>
      <c r="O385" s="13" t="s">
        <v>2416</v>
      </c>
      <c r="P385" s="69" t="str">
        <f t="shared" ref="P385:Q385" si="381">D385</f>
        <v>PD WORKSHOP PAINT</v>
      </c>
      <c r="Q385" s="13" t="str">
        <f t="shared" si="381"/>
        <v>3MF</v>
      </c>
      <c r="R385" s="212" t="s">
        <v>23</v>
      </c>
      <c r="S385" s="213">
        <v>0.70833333333333337</v>
      </c>
      <c r="T385" s="13">
        <v>85</v>
      </c>
      <c r="U385" s="211" t="s">
        <v>24</v>
      </c>
      <c r="V385" s="13">
        <v>1</v>
      </c>
      <c r="W385" s="13" t="s">
        <v>2417</v>
      </c>
      <c r="X385" s="13" t="s">
        <v>1924</v>
      </c>
      <c r="Y385" s="13" t="s">
        <v>2073</v>
      </c>
      <c r="Z385" s="13" t="s">
        <v>2073</v>
      </c>
      <c r="AA385" s="13" t="s">
        <v>2073</v>
      </c>
      <c r="AB385" s="13" t="s">
        <v>1924</v>
      </c>
      <c r="AC385" s="211" t="s">
        <v>2415</v>
      </c>
      <c r="AD385" s="13" t="s">
        <v>2416</v>
      </c>
      <c r="AE385" s="69" t="s">
        <v>1750</v>
      </c>
      <c r="AF385" s="13" t="s">
        <v>2418</v>
      </c>
      <c r="AG385" s="13" t="s">
        <v>2419</v>
      </c>
      <c r="AH385" s="13" t="s">
        <v>2420</v>
      </c>
      <c r="AI385" s="13" t="s">
        <v>2421</v>
      </c>
      <c r="AJ385" s="13" t="s">
        <v>2422</v>
      </c>
      <c r="AK385" s="13" t="s">
        <v>2416</v>
      </c>
      <c r="AL385" s="13" t="s">
        <v>2077</v>
      </c>
      <c r="AM385" s="13" t="s">
        <v>2077</v>
      </c>
      <c r="AN385" s="13" t="s">
        <v>2077</v>
      </c>
      <c r="AO385" s="13" t="s">
        <v>2077</v>
      </c>
      <c r="AP385" s="13" t="s">
        <v>2077</v>
      </c>
      <c r="AQ385" s="13" t="s">
        <v>2077</v>
      </c>
      <c r="AR385" s="13" t="s">
        <v>2418</v>
      </c>
      <c r="AS385" s="13" t="s">
        <v>2419</v>
      </c>
      <c r="AT385" s="13" t="s">
        <v>2420</v>
      </c>
      <c r="AU385" s="13" t="s">
        <v>2421</v>
      </c>
      <c r="AV385" s="13" t="s">
        <v>2422</v>
      </c>
      <c r="AW385" s="13" t="s">
        <v>2416</v>
      </c>
      <c r="AX385" s="13" t="s">
        <v>2073</v>
      </c>
      <c r="AY385" s="13" t="s">
        <v>2073</v>
      </c>
      <c r="AZ385" s="13" t="s">
        <v>2073</v>
      </c>
      <c r="BA385" s="13" t="s">
        <v>2073</v>
      </c>
      <c r="BB385" s="13" t="s">
        <v>2073</v>
      </c>
      <c r="BC385" s="13" t="s">
        <v>2073</v>
      </c>
    </row>
    <row r="386" spans="1:55" ht="15.75" customHeight="1">
      <c r="A386" s="13">
        <v>1300</v>
      </c>
      <c r="B386" s="7" t="s">
        <v>1737</v>
      </c>
      <c r="C386" s="211" t="s">
        <v>2412</v>
      </c>
      <c r="D386" s="13" t="s">
        <v>1778</v>
      </c>
      <c r="E386" s="13" t="s">
        <v>1781</v>
      </c>
      <c r="F386" s="211" t="s">
        <v>2413</v>
      </c>
      <c r="G386" s="13" t="s">
        <v>2414</v>
      </c>
      <c r="H386" s="13" t="s">
        <v>2077</v>
      </c>
      <c r="I386" s="13" t="s">
        <v>2077</v>
      </c>
      <c r="J386" s="13" t="s">
        <v>2077</v>
      </c>
      <c r="K386" s="13" t="s">
        <v>2077</v>
      </c>
      <c r="L386" s="13" t="s">
        <v>2077</v>
      </c>
      <c r="M386" s="13" t="s">
        <v>2077</v>
      </c>
      <c r="N386" s="211" t="s">
        <v>2415</v>
      </c>
      <c r="O386" s="13" t="s">
        <v>2416</v>
      </c>
      <c r="P386" s="69" t="str">
        <f t="shared" ref="P386:Q386" si="382">D386</f>
        <v>PACK CUTTING SAW</v>
      </c>
      <c r="Q386" s="13" t="str">
        <f t="shared" si="382"/>
        <v>1PG</v>
      </c>
      <c r="R386" s="212" t="s">
        <v>23</v>
      </c>
      <c r="S386" s="213">
        <v>0.83333333333333337</v>
      </c>
      <c r="T386" s="13">
        <v>85</v>
      </c>
      <c r="U386" s="211" t="s">
        <v>83</v>
      </c>
      <c r="V386" s="13">
        <v>1</v>
      </c>
      <c r="W386" s="13" t="s">
        <v>2417</v>
      </c>
      <c r="X386" s="13" t="s">
        <v>1924</v>
      </c>
      <c r="Y386" s="13" t="s">
        <v>2073</v>
      </c>
      <c r="Z386" s="13" t="s">
        <v>2073</v>
      </c>
      <c r="AA386" s="13" t="s">
        <v>2073</v>
      </c>
      <c r="AB386" s="13" t="s">
        <v>1924</v>
      </c>
      <c r="AC386" s="211" t="s">
        <v>2415</v>
      </c>
      <c r="AD386" s="13" t="s">
        <v>2416</v>
      </c>
      <c r="AE386" s="69" t="s">
        <v>1779</v>
      </c>
      <c r="AF386" s="13" t="s">
        <v>2418</v>
      </c>
      <c r="AG386" s="13" t="s">
        <v>2419</v>
      </c>
      <c r="AH386" s="13" t="s">
        <v>2420</v>
      </c>
      <c r="AI386" s="13" t="s">
        <v>2421</v>
      </c>
      <c r="AJ386" s="13" t="s">
        <v>2422</v>
      </c>
      <c r="AK386" s="13" t="s">
        <v>2416</v>
      </c>
      <c r="AL386" s="13" t="s">
        <v>2077</v>
      </c>
      <c r="AM386" s="13" t="s">
        <v>2077</v>
      </c>
      <c r="AN386" s="13" t="s">
        <v>2077</v>
      </c>
      <c r="AO386" s="13" t="s">
        <v>2077</v>
      </c>
      <c r="AP386" s="13" t="s">
        <v>2077</v>
      </c>
      <c r="AQ386" s="13" t="s">
        <v>2077</v>
      </c>
      <c r="AR386" s="13" t="s">
        <v>2418</v>
      </c>
      <c r="AS386" s="13" t="s">
        <v>2419</v>
      </c>
      <c r="AT386" s="13" t="s">
        <v>2420</v>
      </c>
      <c r="AU386" s="13" t="s">
        <v>2421</v>
      </c>
      <c r="AV386" s="13" t="s">
        <v>2422</v>
      </c>
      <c r="AW386" s="13" t="s">
        <v>2416</v>
      </c>
      <c r="AX386" s="13" t="s">
        <v>2073</v>
      </c>
      <c r="AY386" s="13" t="s">
        <v>2073</v>
      </c>
      <c r="AZ386" s="13" t="s">
        <v>2073</v>
      </c>
      <c r="BA386" s="13" t="s">
        <v>2073</v>
      </c>
      <c r="BB386" s="13" t="s">
        <v>2073</v>
      </c>
      <c r="BC386" s="13" t="s">
        <v>2073</v>
      </c>
    </row>
    <row r="387" spans="1:55" ht="15.75" customHeight="1">
      <c r="A387" s="13">
        <v>1300</v>
      </c>
      <c r="B387" s="7" t="s">
        <v>1642</v>
      </c>
      <c r="C387" s="211" t="s">
        <v>2412</v>
      </c>
      <c r="D387" s="13" t="s">
        <v>1783</v>
      </c>
      <c r="E387" s="13" t="s">
        <v>1781</v>
      </c>
      <c r="F387" s="211" t="s">
        <v>2413</v>
      </c>
      <c r="G387" s="13" t="s">
        <v>2414</v>
      </c>
      <c r="H387" s="13" t="s">
        <v>2077</v>
      </c>
      <c r="I387" s="13" t="s">
        <v>2077</v>
      </c>
      <c r="J387" s="13" t="s">
        <v>2077</v>
      </c>
      <c r="K387" s="13" t="s">
        <v>2077</v>
      </c>
      <c r="L387" s="13" t="s">
        <v>2077</v>
      </c>
      <c r="M387" s="13" t="s">
        <v>2077</v>
      </c>
      <c r="N387" s="211" t="s">
        <v>2415</v>
      </c>
      <c r="O387" s="13" t="s">
        <v>2416</v>
      </c>
      <c r="P387" s="69" t="str">
        <f t="shared" ref="P387:Q387" si="383">D387</f>
        <v>PACK ASSY SKID</v>
      </c>
      <c r="Q387" s="13" t="str">
        <f t="shared" si="383"/>
        <v>1PG</v>
      </c>
      <c r="R387" s="212" t="s">
        <v>23</v>
      </c>
      <c r="S387" s="213">
        <v>0.83333333333333337</v>
      </c>
      <c r="T387" s="13">
        <v>85</v>
      </c>
      <c r="U387" s="211" t="s">
        <v>83</v>
      </c>
      <c r="V387" s="13">
        <v>1</v>
      </c>
      <c r="W387" s="13" t="s">
        <v>2417</v>
      </c>
      <c r="X387" s="13" t="s">
        <v>1924</v>
      </c>
      <c r="Y387" s="13" t="s">
        <v>2073</v>
      </c>
      <c r="Z387" s="13" t="s">
        <v>2073</v>
      </c>
      <c r="AA387" s="13" t="s">
        <v>2073</v>
      </c>
      <c r="AB387" s="13" t="s">
        <v>1924</v>
      </c>
      <c r="AC387" s="211" t="s">
        <v>2415</v>
      </c>
      <c r="AD387" s="13" t="s">
        <v>2416</v>
      </c>
      <c r="AE387" s="69" t="s">
        <v>1784</v>
      </c>
      <c r="AF387" s="13" t="s">
        <v>2418</v>
      </c>
      <c r="AG387" s="13" t="s">
        <v>2419</v>
      </c>
      <c r="AH387" s="13" t="s">
        <v>2420</v>
      </c>
      <c r="AI387" s="13" t="s">
        <v>2421</v>
      </c>
      <c r="AJ387" s="13" t="s">
        <v>2422</v>
      </c>
      <c r="AK387" s="13" t="s">
        <v>2416</v>
      </c>
      <c r="AL387" s="13" t="s">
        <v>2077</v>
      </c>
      <c r="AM387" s="13" t="s">
        <v>2077</v>
      </c>
      <c r="AN387" s="13" t="s">
        <v>2077</v>
      </c>
      <c r="AO387" s="13" t="s">
        <v>2077</v>
      </c>
      <c r="AP387" s="13" t="s">
        <v>2077</v>
      </c>
      <c r="AQ387" s="13" t="s">
        <v>2077</v>
      </c>
      <c r="AR387" s="13" t="s">
        <v>2418</v>
      </c>
      <c r="AS387" s="13" t="s">
        <v>2419</v>
      </c>
      <c r="AT387" s="13" t="s">
        <v>2420</v>
      </c>
      <c r="AU387" s="13" t="s">
        <v>2421</v>
      </c>
      <c r="AV387" s="13" t="s">
        <v>2422</v>
      </c>
      <c r="AW387" s="13" t="s">
        <v>2416</v>
      </c>
      <c r="AX387" s="13" t="s">
        <v>2073</v>
      </c>
      <c r="AY387" s="13" t="s">
        <v>2073</v>
      </c>
      <c r="AZ387" s="13" t="s">
        <v>2073</v>
      </c>
      <c r="BA387" s="13" t="s">
        <v>2073</v>
      </c>
      <c r="BB387" s="13" t="s">
        <v>2073</v>
      </c>
      <c r="BC387" s="13" t="s">
        <v>2073</v>
      </c>
    </row>
    <row r="388" spans="1:55" ht="15.75" customHeight="1">
      <c r="A388" s="13">
        <v>1300</v>
      </c>
      <c r="B388" s="7" t="s">
        <v>1647</v>
      </c>
      <c r="C388" s="211" t="s">
        <v>2412</v>
      </c>
      <c r="D388" s="13" t="s">
        <v>1787</v>
      </c>
      <c r="E388" s="13" t="s">
        <v>1781</v>
      </c>
      <c r="F388" s="211" t="s">
        <v>2413</v>
      </c>
      <c r="G388" s="13" t="s">
        <v>2414</v>
      </c>
      <c r="H388" s="13" t="s">
        <v>2077</v>
      </c>
      <c r="I388" s="13" t="s">
        <v>2077</v>
      </c>
      <c r="J388" s="13" t="s">
        <v>2077</v>
      </c>
      <c r="K388" s="13" t="s">
        <v>2077</v>
      </c>
      <c r="L388" s="13" t="s">
        <v>2077</v>
      </c>
      <c r="M388" s="13" t="s">
        <v>2077</v>
      </c>
      <c r="N388" s="211" t="s">
        <v>2415</v>
      </c>
      <c r="O388" s="13" t="s">
        <v>2416</v>
      </c>
      <c r="P388" s="69" t="str">
        <f t="shared" ref="P388:Q388" si="384">D388</f>
        <v>PACK CUTTING SUGII</v>
      </c>
      <c r="Q388" s="13" t="str">
        <f t="shared" si="384"/>
        <v>1PG</v>
      </c>
      <c r="R388" s="212" t="s">
        <v>23</v>
      </c>
      <c r="S388" s="213">
        <v>0.83333333333333337</v>
      </c>
      <c r="T388" s="13">
        <v>85</v>
      </c>
      <c r="U388" s="211" t="s">
        <v>83</v>
      </c>
      <c r="V388" s="13">
        <v>1</v>
      </c>
      <c r="W388" s="13" t="s">
        <v>2417</v>
      </c>
      <c r="X388" s="13" t="s">
        <v>1924</v>
      </c>
      <c r="Y388" s="13" t="s">
        <v>2073</v>
      </c>
      <c r="Z388" s="13" t="s">
        <v>2073</v>
      </c>
      <c r="AA388" s="13" t="s">
        <v>2073</v>
      </c>
      <c r="AB388" s="13" t="s">
        <v>1924</v>
      </c>
      <c r="AC388" s="211" t="s">
        <v>2415</v>
      </c>
      <c r="AD388" s="13" t="s">
        <v>2416</v>
      </c>
      <c r="AE388" s="69" t="s">
        <v>1788</v>
      </c>
      <c r="AF388" s="13" t="s">
        <v>2418</v>
      </c>
      <c r="AG388" s="13" t="s">
        <v>2419</v>
      </c>
      <c r="AH388" s="13" t="s">
        <v>2420</v>
      </c>
      <c r="AI388" s="13" t="s">
        <v>2421</v>
      </c>
      <c r="AJ388" s="13" t="s">
        <v>2422</v>
      </c>
      <c r="AK388" s="13" t="s">
        <v>2416</v>
      </c>
      <c r="AL388" s="13" t="s">
        <v>2077</v>
      </c>
      <c r="AM388" s="13" t="s">
        <v>2077</v>
      </c>
      <c r="AN388" s="13" t="s">
        <v>2077</v>
      </c>
      <c r="AO388" s="13" t="s">
        <v>2077</v>
      </c>
      <c r="AP388" s="13" t="s">
        <v>2077</v>
      </c>
      <c r="AQ388" s="13" t="s">
        <v>2077</v>
      </c>
      <c r="AR388" s="13" t="s">
        <v>2418</v>
      </c>
      <c r="AS388" s="13" t="s">
        <v>2419</v>
      </c>
      <c r="AT388" s="13" t="s">
        <v>2420</v>
      </c>
      <c r="AU388" s="13" t="s">
        <v>2421</v>
      </c>
      <c r="AV388" s="13" t="s">
        <v>2422</v>
      </c>
      <c r="AW388" s="13" t="s">
        <v>2416</v>
      </c>
      <c r="AX388" s="13" t="s">
        <v>2073</v>
      </c>
      <c r="AY388" s="13" t="s">
        <v>2073</v>
      </c>
      <c r="AZ388" s="13" t="s">
        <v>2073</v>
      </c>
      <c r="BA388" s="13" t="s">
        <v>2073</v>
      </c>
      <c r="BB388" s="13" t="s">
        <v>2073</v>
      </c>
      <c r="BC388" s="13" t="s">
        <v>2073</v>
      </c>
    </row>
    <row r="389" spans="1:55" ht="15.75" customHeight="1">
      <c r="A389" s="13">
        <v>1300</v>
      </c>
      <c r="B389" s="7" t="s">
        <v>1649</v>
      </c>
      <c r="C389" s="211" t="s">
        <v>2412</v>
      </c>
      <c r="D389" s="13" t="s">
        <v>1790</v>
      </c>
      <c r="E389" s="13" t="s">
        <v>1781</v>
      </c>
      <c r="F389" s="211" t="s">
        <v>2413</v>
      </c>
      <c r="G389" s="13" t="s">
        <v>2414</v>
      </c>
      <c r="H389" s="13" t="s">
        <v>2077</v>
      </c>
      <c r="I389" s="13" t="s">
        <v>2077</v>
      </c>
      <c r="J389" s="13" t="s">
        <v>2077</v>
      </c>
      <c r="K389" s="13" t="s">
        <v>2077</v>
      </c>
      <c r="L389" s="13" t="s">
        <v>2077</v>
      </c>
      <c r="M389" s="13" t="s">
        <v>2077</v>
      </c>
      <c r="N389" s="211" t="s">
        <v>2415</v>
      </c>
      <c r="O389" s="13" t="s">
        <v>2416</v>
      </c>
      <c r="P389" s="69" t="str">
        <f t="shared" ref="P389:Q389" si="385">D389</f>
        <v>PACK CNC ER 431P - 1</v>
      </c>
      <c r="Q389" s="13" t="str">
        <f t="shared" si="385"/>
        <v>1PG</v>
      </c>
      <c r="R389" s="212" t="s">
        <v>23</v>
      </c>
      <c r="S389" s="213">
        <v>0.83333333333333337</v>
      </c>
      <c r="T389" s="13">
        <v>85</v>
      </c>
      <c r="U389" s="211" t="s">
        <v>83</v>
      </c>
      <c r="V389" s="13">
        <v>1</v>
      </c>
      <c r="W389" s="13" t="s">
        <v>2417</v>
      </c>
      <c r="X389" s="13" t="s">
        <v>1924</v>
      </c>
      <c r="Y389" s="13" t="s">
        <v>2073</v>
      </c>
      <c r="Z389" s="13" t="s">
        <v>2073</v>
      </c>
      <c r="AA389" s="13" t="s">
        <v>2073</v>
      </c>
      <c r="AB389" s="13" t="s">
        <v>1924</v>
      </c>
      <c r="AC389" s="211" t="s">
        <v>2415</v>
      </c>
      <c r="AD389" s="13" t="s">
        <v>2416</v>
      </c>
      <c r="AE389" s="69" t="s">
        <v>1791</v>
      </c>
      <c r="AF389" s="13" t="s">
        <v>2418</v>
      </c>
      <c r="AG389" s="13" t="s">
        <v>2419</v>
      </c>
      <c r="AH389" s="13" t="s">
        <v>2420</v>
      </c>
      <c r="AI389" s="13" t="s">
        <v>2421</v>
      </c>
      <c r="AJ389" s="13" t="s">
        <v>2422</v>
      </c>
      <c r="AK389" s="13" t="s">
        <v>2416</v>
      </c>
      <c r="AL389" s="13" t="s">
        <v>2077</v>
      </c>
      <c r="AM389" s="13" t="s">
        <v>2077</v>
      </c>
      <c r="AN389" s="13" t="s">
        <v>2077</v>
      </c>
      <c r="AO389" s="13" t="s">
        <v>2077</v>
      </c>
      <c r="AP389" s="13" t="s">
        <v>2077</v>
      </c>
      <c r="AQ389" s="13" t="s">
        <v>2077</v>
      </c>
      <c r="AR389" s="13" t="s">
        <v>2418</v>
      </c>
      <c r="AS389" s="13" t="s">
        <v>2419</v>
      </c>
      <c r="AT389" s="13" t="s">
        <v>2420</v>
      </c>
      <c r="AU389" s="13" t="s">
        <v>2421</v>
      </c>
      <c r="AV389" s="13" t="s">
        <v>2422</v>
      </c>
      <c r="AW389" s="13" t="s">
        <v>2416</v>
      </c>
      <c r="AX389" s="13" t="s">
        <v>2073</v>
      </c>
      <c r="AY389" s="13" t="s">
        <v>2073</v>
      </c>
      <c r="AZ389" s="13" t="s">
        <v>2073</v>
      </c>
      <c r="BA389" s="13" t="s">
        <v>2073</v>
      </c>
      <c r="BB389" s="13" t="s">
        <v>2073</v>
      </c>
      <c r="BC389" s="13" t="s">
        <v>2073</v>
      </c>
    </row>
    <row r="390" spans="1:55" ht="15.75" customHeight="1">
      <c r="A390" s="13">
        <v>1300</v>
      </c>
      <c r="B390" s="7" t="s">
        <v>1653</v>
      </c>
      <c r="C390" s="211" t="s">
        <v>2412</v>
      </c>
      <c r="D390" s="13" t="s">
        <v>1793</v>
      </c>
      <c r="E390" s="13" t="s">
        <v>1781</v>
      </c>
      <c r="F390" s="211" t="s">
        <v>2413</v>
      </c>
      <c r="G390" s="13" t="s">
        <v>2414</v>
      </c>
      <c r="H390" s="13" t="s">
        <v>2077</v>
      </c>
      <c r="I390" s="13" t="s">
        <v>2077</v>
      </c>
      <c r="J390" s="13" t="s">
        <v>2077</v>
      </c>
      <c r="K390" s="13" t="s">
        <v>2077</v>
      </c>
      <c r="L390" s="13" t="s">
        <v>2077</v>
      </c>
      <c r="M390" s="13" t="s">
        <v>2077</v>
      </c>
      <c r="N390" s="211" t="s">
        <v>2415</v>
      </c>
      <c r="O390" s="13" t="s">
        <v>2416</v>
      </c>
      <c r="P390" s="69" t="str">
        <f t="shared" ref="P390:Q390" si="386">D390</f>
        <v>PACK CNC ER 431P - 2</v>
      </c>
      <c r="Q390" s="13" t="str">
        <f t="shared" si="386"/>
        <v>1PG</v>
      </c>
      <c r="R390" s="212" t="s">
        <v>23</v>
      </c>
      <c r="S390" s="213">
        <v>0.83333333333333337</v>
      </c>
      <c r="T390" s="13">
        <v>85</v>
      </c>
      <c r="U390" s="211" t="s">
        <v>83</v>
      </c>
      <c r="V390" s="13">
        <v>1</v>
      </c>
      <c r="W390" s="13" t="s">
        <v>2417</v>
      </c>
      <c r="X390" s="13" t="s">
        <v>1924</v>
      </c>
      <c r="Y390" s="13" t="s">
        <v>2073</v>
      </c>
      <c r="Z390" s="13" t="s">
        <v>2073</v>
      </c>
      <c r="AA390" s="13" t="s">
        <v>2073</v>
      </c>
      <c r="AB390" s="13" t="s">
        <v>1924</v>
      </c>
      <c r="AC390" s="211" t="s">
        <v>2415</v>
      </c>
      <c r="AD390" s="13" t="s">
        <v>2416</v>
      </c>
      <c r="AE390" s="69" t="s">
        <v>1794</v>
      </c>
      <c r="AF390" s="13" t="s">
        <v>2418</v>
      </c>
      <c r="AG390" s="13" t="s">
        <v>2419</v>
      </c>
      <c r="AH390" s="13" t="s">
        <v>2420</v>
      </c>
      <c r="AI390" s="13" t="s">
        <v>2421</v>
      </c>
      <c r="AJ390" s="13" t="s">
        <v>2422</v>
      </c>
      <c r="AK390" s="13" t="s">
        <v>2416</v>
      </c>
      <c r="AL390" s="13" t="s">
        <v>2077</v>
      </c>
      <c r="AM390" s="13" t="s">
        <v>2077</v>
      </c>
      <c r="AN390" s="13" t="s">
        <v>2077</v>
      </c>
      <c r="AO390" s="13" t="s">
        <v>2077</v>
      </c>
      <c r="AP390" s="13" t="s">
        <v>2077</v>
      </c>
      <c r="AQ390" s="13" t="s">
        <v>2077</v>
      </c>
      <c r="AR390" s="13" t="s">
        <v>2418</v>
      </c>
      <c r="AS390" s="13" t="s">
        <v>2419</v>
      </c>
      <c r="AT390" s="13" t="s">
        <v>2420</v>
      </c>
      <c r="AU390" s="13" t="s">
        <v>2421</v>
      </c>
      <c r="AV390" s="13" t="s">
        <v>2422</v>
      </c>
      <c r="AW390" s="13" t="s">
        <v>2416</v>
      </c>
      <c r="AX390" s="13" t="s">
        <v>2073</v>
      </c>
      <c r="AY390" s="13" t="s">
        <v>2073</v>
      </c>
      <c r="AZ390" s="13" t="s">
        <v>2073</v>
      </c>
      <c r="BA390" s="13" t="s">
        <v>2073</v>
      </c>
      <c r="BB390" s="13" t="s">
        <v>2073</v>
      </c>
      <c r="BC390" s="13" t="s">
        <v>2073</v>
      </c>
    </row>
    <row r="391" spans="1:55" ht="15.75" customHeight="1">
      <c r="A391" s="13">
        <v>1300</v>
      </c>
      <c r="B391" s="7" t="s">
        <v>1655</v>
      </c>
      <c r="C391" s="211" t="s">
        <v>2412</v>
      </c>
      <c r="D391" s="13" t="s">
        <v>1796</v>
      </c>
      <c r="E391" s="13" t="s">
        <v>1781</v>
      </c>
      <c r="F391" s="211" t="s">
        <v>2413</v>
      </c>
      <c r="G391" s="13" t="s">
        <v>2414</v>
      </c>
      <c r="H391" s="13" t="s">
        <v>2077</v>
      </c>
      <c r="I391" s="13" t="s">
        <v>2077</v>
      </c>
      <c r="J391" s="13" t="s">
        <v>2077</v>
      </c>
      <c r="K391" s="13" t="s">
        <v>2077</v>
      </c>
      <c r="L391" s="13" t="s">
        <v>2077</v>
      </c>
      <c r="M391" s="13" t="s">
        <v>2077</v>
      </c>
      <c r="N391" s="211" t="s">
        <v>2415</v>
      </c>
      <c r="O391" s="13" t="s">
        <v>2416</v>
      </c>
      <c r="P391" s="69" t="str">
        <f t="shared" ref="P391:Q391" si="387">D391</f>
        <v>PACK CNC SHODA - 1</v>
      </c>
      <c r="Q391" s="13" t="str">
        <f t="shared" si="387"/>
        <v>1PG</v>
      </c>
      <c r="R391" s="212" t="s">
        <v>23</v>
      </c>
      <c r="S391" s="213">
        <v>0.83333333333333337</v>
      </c>
      <c r="T391" s="13">
        <v>85</v>
      </c>
      <c r="U391" s="211" t="s">
        <v>83</v>
      </c>
      <c r="V391" s="13">
        <v>1</v>
      </c>
      <c r="W391" s="13" t="s">
        <v>2417</v>
      </c>
      <c r="X391" s="13" t="s">
        <v>1924</v>
      </c>
      <c r="Y391" s="13" t="s">
        <v>2073</v>
      </c>
      <c r="Z391" s="13" t="s">
        <v>2073</v>
      </c>
      <c r="AA391" s="13" t="s">
        <v>2073</v>
      </c>
      <c r="AB391" s="13" t="s">
        <v>1924</v>
      </c>
      <c r="AC391" s="211" t="s">
        <v>2415</v>
      </c>
      <c r="AD391" s="13" t="s">
        <v>2416</v>
      </c>
      <c r="AE391" s="69" t="s">
        <v>1797</v>
      </c>
      <c r="AF391" s="13" t="s">
        <v>2418</v>
      </c>
      <c r="AG391" s="13" t="s">
        <v>2419</v>
      </c>
      <c r="AH391" s="13" t="s">
        <v>2420</v>
      </c>
      <c r="AI391" s="13" t="s">
        <v>2421</v>
      </c>
      <c r="AJ391" s="13" t="s">
        <v>2422</v>
      </c>
      <c r="AK391" s="13" t="s">
        <v>2416</v>
      </c>
      <c r="AL391" s="13" t="s">
        <v>2077</v>
      </c>
      <c r="AM391" s="13" t="s">
        <v>2077</v>
      </c>
      <c r="AN391" s="13" t="s">
        <v>2077</v>
      </c>
      <c r="AO391" s="13" t="s">
        <v>2077</v>
      </c>
      <c r="AP391" s="13" t="s">
        <v>2077</v>
      </c>
      <c r="AQ391" s="13" t="s">
        <v>2077</v>
      </c>
      <c r="AR391" s="13" t="s">
        <v>2418</v>
      </c>
      <c r="AS391" s="13" t="s">
        <v>2419</v>
      </c>
      <c r="AT391" s="13" t="s">
        <v>2420</v>
      </c>
      <c r="AU391" s="13" t="s">
        <v>2421</v>
      </c>
      <c r="AV391" s="13" t="s">
        <v>2422</v>
      </c>
      <c r="AW391" s="13" t="s">
        <v>2416</v>
      </c>
      <c r="AX391" s="13" t="s">
        <v>2073</v>
      </c>
      <c r="AY391" s="13" t="s">
        <v>2073</v>
      </c>
      <c r="AZ391" s="13" t="s">
        <v>2073</v>
      </c>
      <c r="BA391" s="13" t="s">
        <v>2073</v>
      </c>
      <c r="BB391" s="13" t="s">
        <v>2073</v>
      </c>
      <c r="BC391" s="13" t="s">
        <v>2073</v>
      </c>
    </row>
    <row r="392" spans="1:55" ht="15.75" customHeight="1">
      <c r="A392" s="13">
        <v>1300</v>
      </c>
      <c r="B392" s="7" t="s">
        <v>1657</v>
      </c>
      <c r="C392" s="211" t="s">
        <v>2412</v>
      </c>
      <c r="D392" s="13" t="s">
        <v>1799</v>
      </c>
      <c r="E392" s="13" t="s">
        <v>1781</v>
      </c>
      <c r="F392" s="211" t="s">
        <v>2413</v>
      </c>
      <c r="G392" s="13" t="s">
        <v>2414</v>
      </c>
      <c r="H392" s="13" t="s">
        <v>2077</v>
      </c>
      <c r="I392" s="13" t="s">
        <v>2077</v>
      </c>
      <c r="J392" s="13" t="s">
        <v>2077</v>
      </c>
      <c r="K392" s="13" t="s">
        <v>2077</v>
      </c>
      <c r="L392" s="13" t="s">
        <v>2077</v>
      </c>
      <c r="M392" s="13" t="s">
        <v>2077</v>
      </c>
      <c r="N392" s="211" t="s">
        <v>2415</v>
      </c>
      <c r="O392" s="13" t="s">
        <v>2416</v>
      </c>
      <c r="P392" s="69" t="str">
        <f t="shared" ref="P392:Q392" si="388">D392</f>
        <v>PACK CNC SHODA - 2</v>
      </c>
      <c r="Q392" s="13" t="str">
        <f t="shared" si="388"/>
        <v>1PG</v>
      </c>
      <c r="R392" s="212" t="s">
        <v>23</v>
      </c>
      <c r="S392" s="213">
        <v>0.83333333333333337</v>
      </c>
      <c r="T392" s="13">
        <v>85</v>
      </c>
      <c r="U392" s="211" t="s">
        <v>83</v>
      </c>
      <c r="V392" s="13">
        <v>1</v>
      </c>
      <c r="W392" s="13" t="s">
        <v>2417</v>
      </c>
      <c r="X392" s="13" t="s">
        <v>1924</v>
      </c>
      <c r="Y392" s="13" t="s">
        <v>2073</v>
      </c>
      <c r="Z392" s="13" t="s">
        <v>2073</v>
      </c>
      <c r="AA392" s="13" t="s">
        <v>2073</v>
      </c>
      <c r="AB392" s="13" t="s">
        <v>1924</v>
      </c>
      <c r="AC392" s="211" t="s">
        <v>2415</v>
      </c>
      <c r="AD392" s="13" t="s">
        <v>2416</v>
      </c>
      <c r="AE392" s="69" t="s">
        <v>1800</v>
      </c>
      <c r="AF392" s="13" t="s">
        <v>2418</v>
      </c>
      <c r="AG392" s="13" t="s">
        <v>2419</v>
      </c>
      <c r="AH392" s="13" t="s">
        <v>2420</v>
      </c>
      <c r="AI392" s="13" t="s">
        <v>2421</v>
      </c>
      <c r="AJ392" s="13" t="s">
        <v>2422</v>
      </c>
      <c r="AK392" s="13" t="s">
        <v>2416</v>
      </c>
      <c r="AL392" s="13" t="s">
        <v>2077</v>
      </c>
      <c r="AM392" s="13" t="s">
        <v>2077</v>
      </c>
      <c r="AN392" s="13" t="s">
        <v>2077</v>
      </c>
      <c r="AO392" s="13" t="s">
        <v>2077</v>
      </c>
      <c r="AP392" s="13" t="s">
        <v>2077</v>
      </c>
      <c r="AQ392" s="13" t="s">
        <v>2077</v>
      </c>
      <c r="AR392" s="13" t="s">
        <v>2418</v>
      </c>
      <c r="AS392" s="13" t="s">
        <v>2419</v>
      </c>
      <c r="AT392" s="13" t="s">
        <v>2420</v>
      </c>
      <c r="AU392" s="13" t="s">
        <v>2421</v>
      </c>
      <c r="AV392" s="13" t="s">
        <v>2422</v>
      </c>
      <c r="AW392" s="13" t="s">
        <v>2416</v>
      </c>
      <c r="AX392" s="13" t="s">
        <v>2073</v>
      </c>
      <c r="AY392" s="13" t="s">
        <v>2073</v>
      </c>
      <c r="AZ392" s="13" t="s">
        <v>2073</v>
      </c>
      <c r="BA392" s="13" t="s">
        <v>2073</v>
      </c>
      <c r="BB392" s="13" t="s">
        <v>2073</v>
      </c>
      <c r="BC392" s="13" t="s">
        <v>2073</v>
      </c>
    </row>
    <row r="393" spans="1:55" ht="15.75" customHeight="1">
      <c r="A393" s="13">
        <v>1300</v>
      </c>
      <c r="B393" s="7" t="s">
        <v>1661</v>
      </c>
      <c r="C393" s="211" t="s">
        <v>2412</v>
      </c>
      <c r="D393" s="13" t="s">
        <v>1802</v>
      </c>
      <c r="E393" s="13" t="s">
        <v>1781</v>
      </c>
      <c r="F393" s="211" t="s">
        <v>2413</v>
      </c>
      <c r="G393" s="13" t="s">
        <v>2414</v>
      </c>
      <c r="H393" s="13" t="s">
        <v>2077</v>
      </c>
      <c r="I393" s="13" t="s">
        <v>2077</v>
      </c>
      <c r="J393" s="13" t="s">
        <v>2077</v>
      </c>
      <c r="K393" s="13" t="s">
        <v>2077</v>
      </c>
      <c r="L393" s="13" t="s">
        <v>2077</v>
      </c>
      <c r="M393" s="13" t="s">
        <v>2077</v>
      </c>
      <c r="N393" s="211" t="s">
        <v>2415</v>
      </c>
      <c r="O393" s="13" t="s">
        <v>2416</v>
      </c>
      <c r="P393" s="69" t="str">
        <f t="shared" ref="P393:Q393" si="389">D393</f>
        <v>PACK CNC HEIAN ZR 442P</v>
      </c>
      <c r="Q393" s="13" t="str">
        <f t="shared" si="389"/>
        <v>1PG</v>
      </c>
      <c r="R393" s="212" t="s">
        <v>23</v>
      </c>
      <c r="S393" s="213">
        <v>0.83333333333333337</v>
      </c>
      <c r="T393" s="13">
        <v>85</v>
      </c>
      <c r="U393" s="211" t="s">
        <v>83</v>
      </c>
      <c r="V393" s="13">
        <v>1</v>
      </c>
      <c r="W393" s="13" t="s">
        <v>2417</v>
      </c>
      <c r="X393" s="13" t="s">
        <v>1924</v>
      </c>
      <c r="Y393" s="13" t="s">
        <v>2073</v>
      </c>
      <c r="Z393" s="13" t="s">
        <v>2073</v>
      </c>
      <c r="AA393" s="13" t="s">
        <v>2073</v>
      </c>
      <c r="AB393" s="13" t="s">
        <v>1924</v>
      </c>
      <c r="AC393" s="211" t="s">
        <v>2415</v>
      </c>
      <c r="AD393" s="13" t="s">
        <v>2416</v>
      </c>
      <c r="AE393" s="69" t="s">
        <v>1803</v>
      </c>
      <c r="AF393" s="13" t="s">
        <v>2418</v>
      </c>
      <c r="AG393" s="13" t="s">
        <v>2419</v>
      </c>
      <c r="AH393" s="13" t="s">
        <v>2420</v>
      </c>
      <c r="AI393" s="13" t="s">
        <v>2421</v>
      </c>
      <c r="AJ393" s="13" t="s">
        <v>2422</v>
      </c>
      <c r="AK393" s="13" t="s">
        <v>2416</v>
      </c>
      <c r="AL393" s="13" t="s">
        <v>2077</v>
      </c>
      <c r="AM393" s="13" t="s">
        <v>2077</v>
      </c>
      <c r="AN393" s="13" t="s">
        <v>2077</v>
      </c>
      <c r="AO393" s="13" t="s">
        <v>2077</v>
      </c>
      <c r="AP393" s="13" t="s">
        <v>2077</v>
      </c>
      <c r="AQ393" s="13" t="s">
        <v>2077</v>
      </c>
      <c r="AR393" s="13" t="s">
        <v>2418</v>
      </c>
      <c r="AS393" s="13" t="s">
        <v>2419</v>
      </c>
      <c r="AT393" s="13" t="s">
        <v>2420</v>
      </c>
      <c r="AU393" s="13" t="s">
        <v>2421</v>
      </c>
      <c r="AV393" s="13" t="s">
        <v>2422</v>
      </c>
      <c r="AW393" s="13" t="s">
        <v>2416</v>
      </c>
      <c r="AX393" s="13" t="s">
        <v>2073</v>
      </c>
      <c r="AY393" s="13" t="s">
        <v>2073</v>
      </c>
      <c r="AZ393" s="13" t="s">
        <v>2073</v>
      </c>
      <c r="BA393" s="13" t="s">
        <v>2073</v>
      </c>
      <c r="BB393" s="13" t="s">
        <v>2073</v>
      </c>
      <c r="BC393" s="13" t="s">
        <v>2073</v>
      </c>
    </row>
    <row r="394" spans="1:55" ht="15.75" customHeight="1">
      <c r="A394" s="13">
        <v>1300</v>
      </c>
      <c r="B394" s="7" t="s">
        <v>1663</v>
      </c>
      <c r="C394" s="211" t="s">
        <v>2412</v>
      </c>
      <c r="D394" s="13" t="s">
        <v>1806</v>
      </c>
      <c r="E394" s="13" t="s">
        <v>1781</v>
      </c>
      <c r="F394" s="211" t="s">
        <v>2413</v>
      </c>
      <c r="G394" s="13" t="s">
        <v>2414</v>
      </c>
      <c r="H394" s="13" t="s">
        <v>2077</v>
      </c>
      <c r="I394" s="13" t="s">
        <v>2077</v>
      </c>
      <c r="J394" s="13" t="s">
        <v>2077</v>
      </c>
      <c r="K394" s="13" t="s">
        <v>2077</v>
      </c>
      <c r="L394" s="13" t="s">
        <v>2077</v>
      </c>
      <c r="M394" s="13" t="s">
        <v>2077</v>
      </c>
      <c r="N394" s="211" t="s">
        <v>2415</v>
      </c>
      <c r="O394" s="13" t="s">
        <v>2416</v>
      </c>
      <c r="P394" s="69" t="str">
        <f t="shared" ref="P394:Q394" si="390">D394</f>
        <v>PACK GLUEING</v>
      </c>
      <c r="Q394" s="13" t="str">
        <f t="shared" si="390"/>
        <v>1PG</v>
      </c>
      <c r="R394" s="212" t="s">
        <v>23</v>
      </c>
      <c r="S394" s="213">
        <v>0.64583333333333337</v>
      </c>
      <c r="T394" s="13">
        <v>85</v>
      </c>
      <c r="U394" s="211" t="s">
        <v>24</v>
      </c>
      <c r="V394" s="13">
        <v>1</v>
      </c>
      <c r="W394" s="13" t="s">
        <v>2417</v>
      </c>
      <c r="X394" s="13" t="s">
        <v>1924</v>
      </c>
      <c r="Y394" s="13" t="s">
        <v>2073</v>
      </c>
      <c r="Z394" s="13" t="s">
        <v>2073</v>
      </c>
      <c r="AA394" s="13" t="s">
        <v>2073</v>
      </c>
      <c r="AB394" s="13" t="s">
        <v>1924</v>
      </c>
      <c r="AC394" s="211" t="s">
        <v>2415</v>
      </c>
      <c r="AD394" s="13" t="s">
        <v>2416</v>
      </c>
      <c r="AE394" s="69" t="s">
        <v>1807</v>
      </c>
      <c r="AF394" s="13" t="s">
        <v>2418</v>
      </c>
      <c r="AG394" s="13" t="s">
        <v>2419</v>
      </c>
      <c r="AH394" s="13" t="s">
        <v>2420</v>
      </c>
      <c r="AI394" s="13" t="s">
        <v>2421</v>
      </c>
      <c r="AJ394" s="13" t="s">
        <v>2422</v>
      </c>
      <c r="AK394" s="13" t="s">
        <v>2416</v>
      </c>
      <c r="AL394" s="13" t="s">
        <v>2077</v>
      </c>
      <c r="AM394" s="13" t="s">
        <v>2077</v>
      </c>
      <c r="AN394" s="13" t="s">
        <v>2077</v>
      </c>
      <c r="AO394" s="13" t="s">
        <v>2077</v>
      </c>
      <c r="AP394" s="13" t="s">
        <v>2077</v>
      </c>
      <c r="AQ394" s="13" t="s">
        <v>2077</v>
      </c>
      <c r="AR394" s="13" t="s">
        <v>2418</v>
      </c>
      <c r="AS394" s="13" t="s">
        <v>2419</v>
      </c>
      <c r="AT394" s="13" t="s">
        <v>2420</v>
      </c>
      <c r="AU394" s="13" t="s">
        <v>2421</v>
      </c>
      <c r="AV394" s="13" t="s">
        <v>2422</v>
      </c>
      <c r="AW394" s="13" t="s">
        <v>2416</v>
      </c>
      <c r="AX394" s="13" t="s">
        <v>2073</v>
      </c>
      <c r="AY394" s="13" t="s">
        <v>2073</v>
      </c>
      <c r="AZ394" s="13" t="s">
        <v>2073</v>
      </c>
      <c r="BA394" s="13" t="s">
        <v>2073</v>
      </c>
      <c r="BB394" s="13" t="s">
        <v>2073</v>
      </c>
      <c r="BC394" s="13" t="s">
        <v>2073</v>
      </c>
    </row>
    <row r="395" spans="1:55" ht="15.75" customHeight="1">
      <c r="A395" s="13">
        <v>1300</v>
      </c>
      <c r="B395" s="7" t="s">
        <v>1665</v>
      </c>
      <c r="C395" s="211" t="s">
        <v>2412</v>
      </c>
      <c r="D395" s="13" t="s">
        <v>1809</v>
      </c>
      <c r="E395" s="13" t="s">
        <v>1781</v>
      </c>
      <c r="F395" s="211" t="s">
        <v>2413</v>
      </c>
      <c r="G395" s="13" t="s">
        <v>2414</v>
      </c>
      <c r="H395" s="13" t="s">
        <v>2077</v>
      </c>
      <c r="I395" s="13" t="s">
        <v>2077</v>
      </c>
      <c r="J395" s="13" t="s">
        <v>2077</v>
      </c>
      <c r="K395" s="13" t="s">
        <v>2077</v>
      </c>
      <c r="L395" s="13" t="s">
        <v>2077</v>
      </c>
      <c r="M395" s="13" t="s">
        <v>2077</v>
      </c>
      <c r="N395" s="211" t="s">
        <v>2415</v>
      </c>
      <c r="O395" s="13" t="s">
        <v>2416</v>
      </c>
      <c r="P395" s="69" t="str">
        <f t="shared" ref="P395:Q395" si="391">D395</f>
        <v>PACKAGING BOX SET 1</v>
      </c>
      <c r="Q395" s="13" t="str">
        <f t="shared" si="391"/>
        <v>1PG</v>
      </c>
      <c r="R395" s="212" t="s">
        <v>23</v>
      </c>
      <c r="S395" s="213">
        <v>0.64583333333333337</v>
      </c>
      <c r="T395" s="13">
        <v>85</v>
      </c>
      <c r="U395" s="211" t="s">
        <v>24</v>
      </c>
      <c r="V395" s="13">
        <v>1</v>
      </c>
      <c r="W395" s="13" t="s">
        <v>2417</v>
      </c>
      <c r="X395" s="13" t="s">
        <v>1924</v>
      </c>
      <c r="Y395" s="13" t="s">
        <v>2073</v>
      </c>
      <c r="Z395" s="13" t="s">
        <v>2073</v>
      </c>
      <c r="AA395" s="13" t="s">
        <v>2073</v>
      </c>
      <c r="AB395" s="13" t="s">
        <v>1924</v>
      </c>
      <c r="AC395" s="211" t="s">
        <v>2415</v>
      </c>
      <c r="AD395" s="13" t="s">
        <v>2416</v>
      </c>
      <c r="AE395" s="69" t="s">
        <v>1811</v>
      </c>
      <c r="AF395" s="13" t="s">
        <v>2418</v>
      </c>
      <c r="AG395" s="13" t="s">
        <v>2419</v>
      </c>
      <c r="AH395" s="13" t="s">
        <v>2420</v>
      </c>
      <c r="AI395" s="13" t="s">
        <v>2421</v>
      </c>
      <c r="AJ395" s="13" t="s">
        <v>2422</v>
      </c>
      <c r="AK395" s="13" t="s">
        <v>2416</v>
      </c>
      <c r="AL395" s="13" t="s">
        <v>2077</v>
      </c>
      <c r="AM395" s="13" t="s">
        <v>2077</v>
      </c>
      <c r="AN395" s="13" t="s">
        <v>2077</v>
      </c>
      <c r="AO395" s="13" t="s">
        <v>2077</v>
      </c>
      <c r="AP395" s="13" t="s">
        <v>2077</v>
      </c>
      <c r="AQ395" s="13" t="s">
        <v>2077</v>
      </c>
      <c r="AR395" s="13" t="s">
        <v>2418</v>
      </c>
      <c r="AS395" s="13" t="s">
        <v>2419</v>
      </c>
      <c r="AT395" s="13" t="s">
        <v>2420</v>
      </c>
      <c r="AU395" s="13" t="s">
        <v>2421</v>
      </c>
      <c r="AV395" s="13" t="s">
        <v>2422</v>
      </c>
      <c r="AW395" s="13" t="s">
        <v>2416</v>
      </c>
      <c r="AX395" s="13" t="s">
        <v>2073</v>
      </c>
      <c r="AY395" s="13" t="s">
        <v>2073</v>
      </c>
      <c r="AZ395" s="13" t="s">
        <v>2073</v>
      </c>
      <c r="BA395" s="13" t="s">
        <v>2073</v>
      </c>
      <c r="BB395" s="13" t="s">
        <v>2073</v>
      </c>
      <c r="BC395" s="13" t="s">
        <v>2073</v>
      </c>
    </row>
    <row r="396" spans="1:55" ht="15.75" customHeight="1">
      <c r="A396" s="13">
        <v>1300</v>
      </c>
      <c r="B396" s="7" t="s">
        <v>1814</v>
      </c>
      <c r="C396" s="211" t="s">
        <v>2412</v>
      </c>
      <c r="D396" s="13" t="s">
        <v>1813</v>
      </c>
      <c r="E396" s="13" t="s">
        <v>1781</v>
      </c>
      <c r="F396" s="211" t="s">
        <v>2413</v>
      </c>
      <c r="G396" s="13" t="s">
        <v>2414</v>
      </c>
      <c r="H396" s="13" t="s">
        <v>2077</v>
      </c>
      <c r="I396" s="13" t="s">
        <v>2077</v>
      </c>
      <c r="J396" s="13" t="s">
        <v>2077</v>
      </c>
      <c r="K396" s="13" t="s">
        <v>2077</v>
      </c>
      <c r="L396" s="13" t="s">
        <v>2077</v>
      </c>
      <c r="M396" s="13" t="s">
        <v>2077</v>
      </c>
      <c r="N396" s="211" t="s">
        <v>2415</v>
      </c>
      <c r="O396" s="13" t="s">
        <v>2416</v>
      </c>
      <c r="P396" s="69" t="str">
        <f t="shared" ref="P396:Q396" si="392">D396</f>
        <v>PACKAGING BOX SET 2</v>
      </c>
      <c r="Q396" s="13" t="str">
        <f t="shared" si="392"/>
        <v>1PG</v>
      </c>
      <c r="R396" s="212" t="s">
        <v>23</v>
      </c>
      <c r="S396" s="213">
        <v>0.64583333333333337</v>
      </c>
      <c r="T396" s="13">
        <v>85</v>
      </c>
      <c r="U396" s="211" t="s">
        <v>24</v>
      </c>
      <c r="V396" s="13">
        <v>1</v>
      </c>
      <c r="W396" s="13" t="s">
        <v>2417</v>
      </c>
      <c r="X396" s="13" t="s">
        <v>1924</v>
      </c>
      <c r="Y396" s="13" t="s">
        <v>2073</v>
      </c>
      <c r="Z396" s="13" t="s">
        <v>2073</v>
      </c>
      <c r="AA396" s="13" t="s">
        <v>2073</v>
      </c>
      <c r="AB396" s="13" t="s">
        <v>1924</v>
      </c>
      <c r="AC396" s="211" t="s">
        <v>2415</v>
      </c>
      <c r="AD396" s="13" t="s">
        <v>2416</v>
      </c>
      <c r="AE396" s="69" t="s">
        <v>1811</v>
      </c>
      <c r="AF396" s="13" t="s">
        <v>2418</v>
      </c>
      <c r="AG396" s="13" t="s">
        <v>2419</v>
      </c>
      <c r="AH396" s="13" t="s">
        <v>2420</v>
      </c>
      <c r="AI396" s="13" t="s">
        <v>2421</v>
      </c>
      <c r="AJ396" s="13" t="s">
        <v>2422</v>
      </c>
      <c r="AK396" s="13" t="s">
        <v>2416</v>
      </c>
      <c r="AL396" s="13" t="s">
        <v>2077</v>
      </c>
      <c r="AM396" s="13" t="s">
        <v>2077</v>
      </c>
      <c r="AN396" s="13" t="s">
        <v>2077</v>
      </c>
      <c r="AO396" s="13" t="s">
        <v>2077</v>
      </c>
      <c r="AP396" s="13" t="s">
        <v>2077</v>
      </c>
      <c r="AQ396" s="13" t="s">
        <v>2077</v>
      </c>
      <c r="AR396" s="13" t="s">
        <v>2418</v>
      </c>
      <c r="AS396" s="13" t="s">
        <v>2419</v>
      </c>
      <c r="AT396" s="13" t="s">
        <v>2420</v>
      </c>
      <c r="AU396" s="13" t="s">
        <v>2421</v>
      </c>
      <c r="AV396" s="13" t="s">
        <v>2422</v>
      </c>
      <c r="AW396" s="13" t="s">
        <v>2416</v>
      </c>
      <c r="AX396" s="13" t="s">
        <v>2073</v>
      </c>
      <c r="AY396" s="13" t="s">
        <v>2073</v>
      </c>
      <c r="AZ396" s="13" t="s">
        <v>2073</v>
      </c>
      <c r="BA396" s="13" t="s">
        <v>2073</v>
      </c>
      <c r="BB396" s="13" t="s">
        <v>2073</v>
      </c>
      <c r="BC396" s="13" t="s">
        <v>2073</v>
      </c>
    </row>
    <row r="397" spans="1:55" ht="15.75" customHeight="1">
      <c r="A397" s="13">
        <v>1300</v>
      </c>
      <c r="B397" s="7" t="s">
        <v>1817</v>
      </c>
      <c r="C397" s="211" t="s">
        <v>2412</v>
      </c>
      <c r="D397" s="13" t="s">
        <v>1816</v>
      </c>
      <c r="E397" s="13" t="s">
        <v>1781</v>
      </c>
      <c r="F397" s="211" t="s">
        <v>2413</v>
      </c>
      <c r="G397" s="13" t="s">
        <v>2414</v>
      </c>
      <c r="H397" s="13" t="s">
        <v>2077</v>
      </c>
      <c r="I397" s="13" t="s">
        <v>2077</v>
      </c>
      <c r="J397" s="13" t="s">
        <v>2077</v>
      </c>
      <c r="K397" s="13" t="s">
        <v>2077</v>
      </c>
      <c r="L397" s="13" t="s">
        <v>2077</v>
      </c>
      <c r="M397" s="13" t="s">
        <v>2077</v>
      </c>
      <c r="N397" s="211" t="s">
        <v>2415</v>
      </c>
      <c r="O397" s="13" t="s">
        <v>2416</v>
      </c>
      <c r="P397" s="69" t="str">
        <f t="shared" ref="P397:Q397" si="393">D397</f>
        <v>PACKAGING BOX SET 3</v>
      </c>
      <c r="Q397" s="13" t="str">
        <f t="shared" si="393"/>
        <v>1PG</v>
      </c>
      <c r="R397" s="212" t="s">
        <v>23</v>
      </c>
      <c r="S397" s="213">
        <v>0.64583333333333337</v>
      </c>
      <c r="T397" s="13">
        <v>85</v>
      </c>
      <c r="U397" s="211" t="s">
        <v>24</v>
      </c>
      <c r="V397" s="13">
        <v>1</v>
      </c>
      <c r="W397" s="13" t="s">
        <v>2417</v>
      </c>
      <c r="X397" s="13" t="s">
        <v>1924</v>
      </c>
      <c r="Y397" s="13" t="s">
        <v>2073</v>
      </c>
      <c r="Z397" s="13" t="s">
        <v>2073</v>
      </c>
      <c r="AA397" s="13" t="s">
        <v>2073</v>
      </c>
      <c r="AB397" s="13" t="s">
        <v>1924</v>
      </c>
      <c r="AC397" s="211" t="s">
        <v>2415</v>
      </c>
      <c r="AD397" s="13" t="s">
        <v>2416</v>
      </c>
      <c r="AE397" s="69" t="s">
        <v>1811</v>
      </c>
      <c r="AF397" s="13" t="s">
        <v>2418</v>
      </c>
      <c r="AG397" s="13" t="s">
        <v>2419</v>
      </c>
      <c r="AH397" s="13" t="s">
        <v>2420</v>
      </c>
      <c r="AI397" s="13" t="s">
        <v>2421</v>
      </c>
      <c r="AJ397" s="13" t="s">
        <v>2422</v>
      </c>
      <c r="AK397" s="13" t="s">
        <v>2416</v>
      </c>
      <c r="AL397" s="13" t="s">
        <v>2077</v>
      </c>
      <c r="AM397" s="13" t="s">
        <v>2077</v>
      </c>
      <c r="AN397" s="13" t="s">
        <v>2077</v>
      </c>
      <c r="AO397" s="13" t="s">
        <v>2077</v>
      </c>
      <c r="AP397" s="13" t="s">
        <v>2077</v>
      </c>
      <c r="AQ397" s="13" t="s">
        <v>2077</v>
      </c>
      <c r="AR397" s="13" t="s">
        <v>2418</v>
      </c>
      <c r="AS397" s="13" t="s">
        <v>2419</v>
      </c>
      <c r="AT397" s="13" t="s">
        <v>2420</v>
      </c>
      <c r="AU397" s="13" t="s">
        <v>2421</v>
      </c>
      <c r="AV397" s="13" t="s">
        <v>2422</v>
      </c>
      <c r="AW397" s="13" t="s">
        <v>2416</v>
      </c>
      <c r="AX397" s="13" t="s">
        <v>2073</v>
      </c>
      <c r="AY397" s="13" t="s">
        <v>2073</v>
      </c>
      <c r="AZ397" s="13" t="s">
        <v>2073</v>
      </c>
      <c r="BA397" s="13" t="s">
        <v>2073</v>
      </c>
      <c r="BB397" s="13" t="s">
        <v>2073</v>
      </c>
      <c r="BC397" s="13" t="s">
        <v>2073</v>
      </c>
    </row>
    <row r="398" spans="1:55" ht="15.75" customHeight="1">
      <c r="A398" s="13">
        <v>1300</v>
      </c>
      <c r="B398" s="7" t="s">
        <v>1820</v>
      </c>
      <c r="C398" s="211" t="s">
        <v>2412</v>
      </c>
      <c r="D398" s="13" t="s">
        <v>1819</v>
      </c>
      <c r="E398" s="13" t="s">
        <v>1781</v>
      </c>
      <c r="F398" s="211" t="s">
        <v>2413</v>
      </c>
      <c r="G398" s="13" t="s">
        <v>2414</v>
      </c>
      <c r="H398" s="13" t="s">
        <v>2077</v>
      </c>
      <c r="I398" s="13" t="s">
        <v>2077</v>
      </c>
      <c r="J398" s="13" t="s">
        <v>2077</v>
      </c>
      <c r="K398" s="13" t="s">
        <v>2077</v>
      </c>
      <c r="L398" s="13" t="s">
        <v>2077</v>
      </c>
      <c r="M398" s="13" t="s">
        <v>2077</v>
      </c>
      <c r="N398" s="211" t="s">
        <v>2415</v>
      </c>
      <c r="O398" s="13" t="s">
        <v>2416</v>
      </c>
      <c r="P398" s="69" t="str">
        <f t="shared" ref="P398:Q398" si="394">D398</f>
        <v>PACKAGING BOX SET 4</v>
      </c>
      <c r="Q398" s="13" t="str">
        <f t="shared" si="394"/>
        <v>1PG</v>
      </c>
      <c r="R398" s="212" t="s">
        <v>23</v>
      </c>
      <c r="S398" s="213">
        <v>0.64583333333333337</v>
      </c>
      <c r="T398" s="13">
        <v>85</v>
      </c>
      <c r="U398" s="211" t="s">
        <v>24</v>
      </c>
      <c r="V398" s="13">
        <v>1</v>
      </c>
      <c r="W398" s="13" t="s">
        <v>2417</v>
      </c>
      <c r="X398" s="13" t="s">
        <v>1924</v>
      </c>
      <c r="Y398" s="13" t="s">
        <v>2073</v>
      </c>
      <c r="Z398" s="13" t="s">
        <v>2073</v>
      </c>
      <c r="AA398" s="13" t="s">
        <v>2073</v>
      </c>
      <c r="AB398" s="13" t="s">
        <v>1924</v>
      </c>
      <c r="AC398" s="211" t="s">
        <v>2415</v>
      </c>
      <c r="AD398" s="13" t="s">
        <v>2416</v>
      </c>
      <c r="AE398" s="69" t="s">
        <v>1811</v>
      </c>
      <c r="AF398" s="13" t="s">
        <v>2418</v>
      </c>
      <c r="AG398" s="13" t="s">
        <v>2419</v>
      </c>
      <c r="AH398" s="13" t="s">
        <v>2420</v>
      </c>
      <c r="AI398" s="13" t="s">
        <v>2421</v>
      </c>
      <c r="AJ398" s="13" t="s">
        <v>2422</v>
      </c>
      <c r="AK398" s="13" t="s">
        <v>2416</v>
      </c>
      <c r="AL398" s="13" t="s">
        <v>2077</v>
      </c>
      <c r="AM398" s="13" t="s">
        <v>2077</v>
      </c>
      <c r="AN398" s="13" t="s">
        <v>2077</v>
      </c>
      <c r="AO398" s="13" t="s">
        <v>2077</v>
      </c>
      <c r="AP398" s="13" t="s">
        <v>2077</v>
      </c>
      <c r="AQ398" s="13" t="s">
        <v>2077</v>
      </c>
      <c r="AR398" s="13" t="s">
        <v>2418</v>
      </c>
      <c r="AS398" s="13" t="s">
        <v>2419</v>
      </c>
      <c r="AT398" s="13" t="s">
        <v>2420</v>
      </c>
      <c r="AU398" s="13" t="s">
        <v>2421</v>
      </c>
      <c r="AV398" s="13" t="s">
        <v>2422</v>
      </c>
      <c r="AW398" s="13" t="s">
        <v>2416</v>
      </c>
      <c r="AX398" s="13" t="s">
        <v>2073</v>
      </c>
      <c r="AY398" s="13" t="s">
        <v>2073</v>
      </c>
      <c r="AZ398" s="13" t="s">
        <v>2073</v>
      </c>
      <c r="BA398" s="13" t="s">
        <v>2073</v>
      </c>
      <c r="BB398" s="13" t="s">
        <v>2073</v>
      </c>
      <c r="BC398" s="13" t="s">
        <v>2073</v>
      </c>
    </row>
    <row r="399" spans="1:55" ht="15.75" customHeight="1">
      <c r="A399" s="13">
        <v>1300</v>
      </c>
      <c r="B399" s="7" t="s">
        <v>1824</v>
      </c>
      <c r="C399" s="211" t="s">
        <v>2412</v>
      </c>
      <c r="D399" s="13" t="s">
        <v>1823</v>
      </c>
      <c r="E399" s="13" t="s">
        <v>1781</v>
      </c>
      <c r="F399" s="211" t="s">
        <v>2413</v>
      </c>
      <c r="G399" s="13" t="s">
        <v>2414</v>
      </c>
      <c r="H399" s="13" t="s">
        <v>2077</v>
      </c>
      <c r="I399" s="13" t="s">
        <v>2077</v>
      </c>
      <c r="J399" s="13" t="s">
        <v>2077</v>
      </c>
      <c r="K399" s="13" t="s">
        <v>2077</v>
      </c>
      <c r="L399" s="13" t="s">
        <v>2077</v>
      </c>
      <c r="M399" s="13" t="s">
        <v>2077</v>
      </c>
      <c r="N399" s="211" t="s">
        <v>2415</v>
      </c>
      <c r="O399" s="13" t="s">
        <v>2416</v>
      </c>
      <c r="P399" s="69" t="str">
        <f t="shared" ref="P399:Q399" si="395">D399</f>
        <v>SG MIXING</v>
      </c>
      <c r="Q399" s="13" t="str">
        <f t="shared" si="395"/>
        <v>1PG</v>
      </c>
      <c r="R399" s="212" t="s">
        <v>23</v>
      </c>
      <c r="S399" s="213">
        <v>0.83333333333333337</v>
      </c>
      <c r="T399" s="13">
        <v>85</v>
      </c>
      <c r="U399" s="211" t="s">
        <v>83</v>
      </c>
      <c r="V399" s="13">
        <v>1</v>
      </c>
      <c r="W399" s="13" t="s">
        <v>2417</v>
      </c>
      <c r="X399" s="13" t="s">
        <v>1924</v>
      </c>
      <c r="Y399" s="13" t="s">
        <v>2073</v>
      </c>
      <c r="Z399" s="13" t="s">
        <v>2073</v>
      </c>
      <c r="AA399" s="13" t="s">
        <v>2073</v>
      </c>
      <c r="AB399" s="13" t="s">
        <v>1924</v>
      </c>
      <c r="AC399" s="211" t="s">
        <v>2415</v>
      </c>
      <c r="AD399" s="13" t="s">
        <v>2416</v>
      </c>
      <c r="AE399" s="69">
        <v>1112053001</v>
      </c>
      <c r="AF399" s="13" t="s">
        <v>2418</v>
      </c>
      <c r="AG399" s="13" t="s">
        <v>2419</v>
      </c>
      <c r="AH399" s="13" t="s">
        <v>2420</v>
      </c>
      <c r="AI399" s="13" t="s">
        <v>2421</v>
      </c>
      <c r="AJ399" s="13" t="s">
        <v>2422</v>
      </c>
      <c r="AK399" s="13" t="s">
        <v>2416</v>
      </c>
      <c r="AL399" s="13" t="s">
        <v>2077</v>
      </c>
      <c r="AM399" s="13" t="s">
        <v>2077</v>
      </c>
      <c r="AN399" s="13" t="s">
        <v>2077</v>
      </c>
      <c r="AO399" s="13" t="s">
        <v>2077</v>
      </c>
      <c r="AP399" s="13" t="s">
        <v>2077</v>
      </c>
      <c r="AQ399" s="13" t="s">
        <v>2077</v>
      </c>
      <c r="AR399" s="13" t="s">
        <v>2418</v>
      </c>
      <c r="AS399" s="13" t="s">
        <v>2419</v>
      </c>
      <c r="AT399" s="13" t="s">
        <v>2420</v>
      </c>
      <c r="AU399" s="13" t="s">
        <v>2421</v>
      </c>
      <c r="AV399" s="13" t="s">
        <v>2422</v>
      </c>
      <c r="AW399" s="13" t="s">
        <v>2416</v>
      </c>
      <c r="AX399" s="13" t="s">
        <v>2073</v>
      </c>
      <c r="AY399" s="13" t="s">
        <v>2073</v>
      </c>
      <c r="AZ399" s="13" t="s">
        <v>2073</v>
      </c>
      <c r="BA399" s="13" t="s">
        <v>2073</v>
      </c>
      <c r="BB399" s="13" t="s">
        <v>2073</v>
      </c>
      <c r="BC399" s="13" t="s">
        <v>2073</v>
      </c>
    </row>
    <row r="400" spans="1:55" ht="15.75" customHeight="1">
      <c r="A400" s="13">
        <v>1300</v>
      </c>
      <c r="B400" s="7" t="s">
        <v>1828</v>
      </c>
      <c r="C400" s="211" t="s">
        <v>2412</v>
      </c>
      <c r="D400" s="13" t="s">
        <v>1827</v>
      </c>
      <c r="E400" s="13" t="s">
        <v>1781</v>
      </c>
      <c r="F400" s="211" t="s">
        <v>2413</v>
      </c>
      <c r="G400" s="13" t="s">
        <v>2414</v>
      </c>
      <c r="H400" s="13" t="s">
        <v>2077</v>
      </c>
      <c r="I400" s="13" t="s">
        <v>2077</v>
      </c>
      <c r="J400" s="13" t="s">
        <v>2077</v>
      </c>
      <c r="K400" s="13" t="s">
        <v>2077</v>
      </c>
      <c r="L400" s="13" t="s">
        <v>2077</v>
      </c>
      <c r="M400" s="13" t="s">
        <v>2077</v>
      </c>
      <c r="N400" s="211" t="s">
        <v>2415</v>
      </c>
      <c r="O400" s="13" t="s">
        <v>2416</v>
      </c>
      <c r="P400" s="69" t="str">
        <f t="shared" ref="P400:Q400" si="396">D400</f>
        <v>MF MIXING</v>
      </c>
      <c r="Q400" s="13" t="str">
        <f t="shared" si="396"/>
        <v>1PG</v>
      </c>
      <c r="R400" s="212" t="s">
        <v>23</v>
      </c>
      <c r="S400" s="213">
        <v>0.83333333333333337</v>
      </c>
      <c r="T400" s="13">
        <v>85</v>
      </c>
      <c r="U400" s="211" t="s">
        <v>83</v>
      </c>
      <c r="V400" s="13">
        <v>1</v>
      </c>
      <c r="W400" s="13" t="s">
        <v>2417</v>
      </c>
      <c r="X400" s="13" t="s">
        <v>1924</v>
      </c>
      <c r="Y400" s="13" t="s">
        <v>2073</v>
      </c>
      <c r="Z400" s="13" t="s">
        <v>2073</v>
      </c>
      <c r="AA400" s="13" t="s">
        <v>2073</v>
      </c>
      <c r="AB400" s="13" t="s">
        <v>1924</v>
      </c>
      <c r="AC400" s="211" t="s">
        <v>2415</v>
      </c>
      <c r="AD400" s="13" t="s">
        <v>2416</v>
      </c>
      <c r="AE400" s="69" t="s">
        <v>1829</v>
      </c>
      <c r="AF400" s="13" t="s">
        <v>2418</v>
      </c>
      <c r="AG400" s="13" t="s">
        <v>2419</v>
      </c>
      <c r="AH400" s="13" t="s">
        <v>2420</v>
      </c>
      <c r="AI400" s="13" t="s">
        <v>2421</v>
      </c>
      <c r="AJ400" s="13" t="s">
        <v>2422</v>
      </c>
      <c r="AK400" s="13" t="s">
        <v>2416</v>
      </c>
      <c r="AL400" s="13" t="s">
        <v>2077</v>
      </c>
      <c r="AM400" s="13" t="s">
        <v>2077</v>
      </c>
      <c r="AN400" s="13" t="s">
        <v>2077</v>
      </c>
      <c r="AO400" s="13" t="s">
        <v>2077</v>
      </c>
      <c r="AP400" s="13" t="s">
        <v>2077</v>
      </c>
      <c r="AQ400" s="13" t="s">
        <v>2077</v>
      </c>
      <c r="AR400" s="13" t="s">
        <v>2418</v>
      </c>
      <c r="AS400" s="13" t="s">
        <v>2419</v>
      </c>
      <c r="AT400" s="13" t="s">
        <v>2420</v>
      </c>
      <c r="AU400" s="13" t="s">
        <v>2421</v>
      </c>
      <c r="AV400" s="13" t="s">
        <v>2422</v>
      </c>
      <c r="AW400" s="13" t="s">
        <v>2416</v>
      </c>
      <c r="AX400" s="13" t="s">
        <v>2073</v>
      </c>
      <c r="AY400" s="13" t="s">
        <v>2073</v>
      </c>
      <c r="AZ400" s="13" t="s">
        <v>2073</v>
      </c>
      <c r="BA400" s="13" t="s">
        <v>2073</v>
      </c>
      <c r="BB400" s="13" t="s">
        <v>2073</v>
      </c>
      <c r="BC400" s="13" t="s">
        <v>2073</v>
      </c>
    </row>
    <row r="401" spans="1:55" ht="15.75" customHeight="1">
      <c r="A401" s="13">
        <v>1300</v>
      </c>
      <c r="B401" s="7" t="s">
        <v>1832</v>
      </c>
      <c r="C401" s="211" t="s">
        <v>2412</v>
      </c>
      <c r="D401" s="13" t="s">
        <v>1831</v>
      </c>
      <c r="E401" s="13" t="s">
        <v>1781</v>
      </c>
      <c r="F401" s="211" t="s">
        <v>2413</v>
      </c>
      <c r="G401" s="13" t="s">
        <v>2414</v>
      </c>
      <c r="H401" s="13" t="s">
        <v>2077</v>
      </c>
      <c r="I401" s="13" t="s">
        <v>2077</v>
      </c>
      <c r="J401" s="13" t="s">
        <v>2077</v>
      </c>
      <c r="K401" s="13" t="s">
        <v>2077</v>
      </c>
      <c r="L401" s="13" t="s">
        <v>2077</v>
      </c>
      <c r="M401" s="13" t="s">
        <v>2077</v>
      </c>
      <c r="N401" s="211" t="s">
        <v>2415</v>
      </c>
      <c r="O401" s="13" t="s">
        <v>2416</v>
      </c>
      <c r="P401" s="69" t="str">
        <f t="shared" ref="P401:Q401" si="397">D401</f>
        <v>CGD MIXING</v>
      </c>
      <c r="Q401" s="13" t="str">
        <f t="shared" si="397"/>
        <v>1PG</v>
      </c>
      <c r="R401" s="212" t="s">
        <v>23</v>
      </c>
      <c r="S401" s="213">
        <v>0.83333333333333337</v>
      </c>
      <c r="T401" s="13">
        <v>85</v>
      </c>
      <c r="U401" s="211" t="s">
        <v>83</v>
      </c>
      <c r="V401" s="13">
        <v>1</v>
      </c>
      <c r="W401" s="13" t="s">
        <v>2417</v>
      </c>
      <c r="X401" s="13" t="s">
        <v>1924</v>
      </c>
      <c r="Y401" s="13" t="s">
        <v>2073</v>
      </c>
      <c r="Z401" s="13" t="s">
        <v>2073</v>
      </c>
      <c r="AA401" s="13" t="s">
        <v>2073</v>
      </c>
      <c r="AB401" s="13" t="s">
        <v>1924</v>
      </c>
      <c r="AC401" s="211" t="s">
        <v>2415</v>
      </c>
      <c r="AD401" s="13" t="s">
        <v>2416</v>
      </c>
      <c r="AE401" s="69">
        <v>1112033101</v>
      </c>
      <c r="AF401" s="13" t="s">
        <v>2418</v>
      </c>
      <c r="AG401" s="13" t="s">
        <v>2419</v>
      </c>
      <c r="AH401" s="13" t="s">
        <v>2420</v>
      </c>
      <c r="AI401" s="13" t="s">
        <v>2421</v>
      </c>
      <c r="AJ401" s="13" t="s">
        <v>2422</v>
      </c>
      <c r="AK401" s="13" t="s">
        <v>2416</v>
      </c>
      <c r="AL401" s="13" t="s">
        <v>2077</v>
      </c>
      <c r="AM401" s="13" t="s">
        <v>2077</v>
      </c>
      <c r="AN401" s="13" t="s">
        <v>2077</v>
      </c>
      <c r="AO401" s="13" t="s">
        <v>2077</v>
      </c>
      <c r="AP401" s="13" t="s">
        <v>2077</v>
      </c>
      <c r="AQ401" s="13" t="s">
        <v>2077</v>
      </c>
      <c r="AR401" s="13" t="s">
        <v>2418</v>
      </c>
      <c r="AS401" s="13" t="s">
        <v>2419</v>
      </c>
      <c r="AT401" s="13" t="s">
        <v>2420</v>
      </c>
      <c r="AU401" s="13" t="s">
        <v>2421</v>
      </c>
      <c r="AV401" s="13" t="s">
        <v>2422</v>
      </c>
      <c r="AW401" s="13" t="s">
        <v>2416</v>
      </c>
      <c r="AX401" s="13" t="s">
        <v>2073</v>
      </c>
      <c r="AY401" s="13" t="s">
        <v>2073</v>
      </c>
      <c r="AZ401" s="13" t="s">
        <v>2073</v>
      </c>
      <c r="BA401" s="13" t="s">
        <v>2073</v>
      </c>
      <c r="BB401" s="13" t="s">
        <v>2073</v>
      </c>
      <c r="BC401" s="13" t="s">
        <v>2073</v>
      </c>
    </row>
    <row r="402" spans="1:55" ht="15.75" customHeight="1">
      <c r="P402" s="69"/>
      <c r="R402" s="215"/>
      <c r="S402" s="215"/>
      <c r="AE402" s="69"/>
    </row>
    <row r="403" spans="1:55" ht="15.75" customHeight="1">
      <c r="A403" s="6">
        <v>2000</v>
      </c>
      <c r="B403" s="7" t="s">
        <v>1010</v>
      </c>
      <c r="C403" s="211" t="s">
        <v>2412</v>
      </c>
      <c r="D403" s="13" t="e">
        <f>VLOOKUP($B403,#REF!,2,FALSE)</f>
        <v>#REF!</v>
      </c>
      <c r="E403" s="13" t="e">
        <f>VLOOKUP($B403,#REF!,10,FALSE)</f>
        <v>#REF!</v>
      </c>
      <c r="F403" s="211" t="s">
        <v>2413</v>
      </c>
      <c r="G403" s="13" t="s">
        <v>2414</v>
      </c>
      <c r="H403" s="13" t="s">
        <v>2077</v>
      </c>
      <c r="I403" s="13" t="s">
        <v>2077</v>
      </c>
      <c r="J403" s="13" t="s">
        <v>2077</v>
      </c>
      <c r="K403" s="13" t="s">
        <v>2077</v>
      </c>
      <c r="L403" s="13" t="s">
        <v>2077</v>
      </c>
      <c r="M403" s="13" t="s">
        <v>2077</v>
      </c>
      <c r="N403" s="211" t="s">
        <v>2415</v>
      </c>
      <c r="O403" s="13" t="s">
        <v>2416</v>
      </c>
      <c r="P403" s="69" t="e">
        <f>VLOOKUP($B403,#REF!,2,FALSE)</f>
        <v>#REF!</v>
      </c>
      <c r="Q403" s="13" t="e">
        <f t="shared" ref="Q403:Q531" si="398">E403</f>
        <v>#REF!</v>
      </c>
      <c r="R403" s="215" t="e">
        <f>VLOOKUP($B403,#REF!,6,FALSE)</f>
        <v>#REF!</v>
      </c>
      <c r="S403" s="215" t="e">
        <f>VLOOKUP($B403,#REF!,7,FALSE)</f>
        <v>#REF!</v>
      </c>
      <c r="T403" s="13">
        <v>85</v>
      </c>
      <c r="U403" s="167" t="e">
        <f>VLOOKUP($B403,#REF!,9,FALSE)</f>
        <v>#REF!</v>
      </c>
      <c r="V403" s="13">
        <v>1</v>
      </c>
      <c r="W403" s="13" t="s">
        <v>2417</v>
      </c>
      <c r="X403" s="13" t="s">
        <v>1924</v>
      </c>
      <c r="Y403" s="13" t="s">
        <v>2073</v>
      </c>
      <c r="Z403" s="13" t="s">
        <v>2073</v>
      </c>
      <c r="AA403" s="13" t="s">
        <v>2073</v>
      </c>
      <c r="AB403" s="13" t="s">
        <v>1924</v>
      </c>
      <c r="AC403" s="211" t="s">
        <v>2415</v>
      </c>
      <c r="AD403" s="13" t="s">
        <v>2416</v>
      </c>
      <c r="AE403" s="69" t="e">
        <f>VLOOKUP($B403,#REF!,4,FALSE)</f>
        <v>#REF!</v>
      </c>
      <c r="AF403" s="13" t="s">
        <v>2418</v>
      </c>
      <c r="AG403" s="13" t="s">
        <v>2419</v>
      </c>
      <c r="AH403" s="13" t="s">
        <v>2420</v>
      </c>
      <c r="AI403" s="13" t="s">
        <v>2421</v>
      </c>
      <c r="AJ403" s="13" t="s">
        <v>2422</v>
      </c>
      <c r="AK403" s="13" t="s">
        <v>2416</v>
      </c>
      <c r="AL403" s="13" t="s">
        <v>2077</v>
      </c>
      <c r="AM403" s="13" t="s">
        <v>2077</v>
      </c>
      <c r="AN403" s="13" t="s">
        <v>2077</v>
      </c>
      <c r="AO403" s="13" t="s">
        <v>2077</v>
      </c>
      <c r="AP403" s="13" t="s">
        <v>2077</v>
      </c>
      <c r="AQ403" s="13" t="s">
        <v>2077</v>
      </c>
      <c r="AR403" s="13" t="s">
        <v>2418</v>
      </c>
      <c r="AS403" s="13" t="s">
        <v>2419</v>
      </c>
      <c r="AT403" s="13" t="s">
        <v>2420</v>
      </c>
      <c r="AU403" s="13" t="s">
        <v>2421</v>
      </c>
      <c r="AV403" s="13" t="s">
        <v>2422</v>
      </c>
      <c r="AW403" s="13" t="s">
        <v>2416</v>
      </c>
      <c r="AX403" s="13" t="s">
        <v>2073</v>
      </c>
      <c r="AY403" s="13" t="s">
        <v>2073</v>
      </c>
      <c r="AZ403" s="13" t="s">
        <v>2073</v>
      </c>
      <c r="BA403" s="13" t="s">
        <v>2073</v>
      </c>
      <c r="BB403" s="13" t="s">
        <v>2073</v>
      </c>
      <c r="BC403" s="13" t="s">
        <v>2073</v>
      </c>
    </row>
    <row r="404" spans="1:55" ht="15.75" customHeight="1">
      <c r="A404" s="6">
        <v>2000</v>
      </c>
      <c r="B404" s="63" t="s">
        <v>1016</v>
      </c>
      <c r="C404" s="211" t="s">
        <v>2412</v>
      </c>
      <c r="D404" s="13" t="e">
        <f>VLOOKUP($B404,#REF!,2,FALSE)</f>
        <v>#REF!</v>
      </c>
      <c r="E404" s="13" t="e">
        <f>VLOOKUP($B404,#REF!,10,FALSE)</f>
        <v>#REF!</v>
      </c>
      <c r="F404" s="211" t="s">
        <v>2413</v>
      </c>
      <c r="G404" s="13" t="s">
        <v>2414</v>
      </c>
      <c r="H404" s="13" t="s">
        <v>2077</v>
      </c>
      <c r="I404" s="13" t="s">
        <v>2077</v>
      </c>
      <c r="J404" s="13" t="s">
        <v>2077</v>
      </c>
      <c r="K404" s="13" t="s">
        <v>2077</v>
      </c>
      <c r="L404" s="13" t="s">
        <v>2077</v>
      </c>
      <c r="M404" s="13" t="s">
        <v>2077</v>
      </c>
      <c r="N404" s="211" t="s">
        <v>2415</v>
      </c>
      <c r="O404" s="13" t="s">
        <v>2416</v>
      </c>
      <c r="P404" s="69" t="e">
        <f>VLOOKUP($B404,#REF!,2,FALSE)</f>
        <v>#REF!</v>
      </c>
      <c r="Q404" s="13" t="e">
        <f t="shared" si="398"/>
        <v>#REF!</v>
      </c>
      <c r="R404" s="215" t="e">
        <f>VLOOKUP($B404,#REF!,6,FALSE)</f>
        <v>#REF!</v>
      </c>
      <c r="S404" s="215" t="e">
        <f>VLOOKUP($B404,#REF!,7,FALSE)</f>
        <v>#REF!</v>
      </c>
      <c r="T404" s="13">
        <v>85</v>
      </c>
      <c r="U404" s="167" t="e">
        <f>VLOOKUP($B404,#REF!,9,FALSE)</f>
        <v>#REF!</v>
      </c>
      <c r="V404" s="13">
        <v>1</v>
      </c>
      <c r="W404" s="13" t="s">
        <v>2417</v>
      </c>
      <c r="X404" s="13" t="s">
        <v>1924</v>
      </c>
      <c r="Y404" s="13" t="s">
        <v>2073</v>
      </c>
      <c r="Z404" s="13" t="s">
        <v>2073</v>
      </c>
      <c r="AA404" s="13" t="s">
        <v>2073</v>
      </c>
      <c r="AB404" s="13" t="s">
        <v>1924</v>
      </c>
      <c r="AC404" s="211" t="s">
        <v>2415</v>
      </c>
      <c r="AD404" s="13" t="s">
        <v>2416</v>
      </c>
      <c r="AE404" s="69" t="e">
        <f>VLOOKUP($B404,#REF!,4,FALSE)</f>
        <v>#REF!</v>
      </c>
      <c r="AF404" s="13" t="s">
        <v>2418</v>
      </c>
      <c r="AG404" s="13" t="s">
        <v>2419</v>
      </c>
      <c r="AH404" s="13" t="s">
        <v>2420</v>
      </c>
      <c r="AI404" s="13" t="s">
        <v>2421</v>
      </c>
      <c r="AJ404" s="13" t="s">
        <v>2422</v>
      </c>
      <c r="AK404" s="13" t="s">
        <v>2416</v>
      </c>
      <c r="AL404" s="13" t="s">
        <v>2077</v>
      </c>
      <c r="AM404" s="13" t="s">
        <v>2077</v>
      </c>
      <c r="AN404" s="13" t="s">
        <v>2077</v>
      </c>
      <c r="AO404" s="13" t="s">
        <v>2077</v>
      </c>
      <c r="AP404" s="13" t="s">
        <v>2077</v>
      </c>
      <c r="AQ404" s="13" t="s">
        <v>2077</v>
      </c>
      <c r="AR404" s="13" t="s">
        <v>2418</v>
      </c>
      <c r="AS404" s="13" t="s">
        <v>2419</v>
      </c>
      <c r="AT404" s="13" t="s">
        <v>2420</v>
      </c>
      <c r="AU404" s="13" t="s">
        <v>2421</v>
      </c>
      <c r="AV404" s="13" t="s">
        <v>2422</v>
      </c>
      <c r="AW404" s="13" t="s">
        <v>2416</v>
      </c>
      <c r="AX404" s="13" t="s">
        <v>2073</v>
      </c>
      <c r="AY404" s="13" t="s">
        <v>2073</v>
      </c>
      <c r="AZ404" s="13" t="s">
        <v>2073</v>
      </c>
      <c r="BA404" s="13" t="s">
        <v>2073</v>
      </c>
      <c r="BB404" s="13" t="s">
        <v>2073</v>
      </c>
      <c r="BC404" s="13" t="s">
        <v>2073</v>
      </c>
    </row>
    <row r="405" spans="1:55" ht="15.75" customHeight="1">
      <c r="A405" s="6">
        <v>2000</v>
      </c>
      <c r="B405" s="63" t="s">
        <v>1020</v>
      </c>
      <c r="C405" s="211" t="s">
        <v>2412</v>
      </c>
      <c r="D405" s="13" t="e">
        <f>VLOOKUP($B405,#REF!,2,FALSE)</f>
        <v>#REF!</v>
      </c>
      <c r="E405" s="13" t="e">
        <f>VLOOKUP($B405,#REF!,10,FALSE)</f>
        <v>#REF!</v>
      </c>
      <c r="F405" s="211" t="s">
        <v>2413</v>
      </c>
      <c r="G405" s="13" t="s">
        <v>2414</v>
      </c>
      <c r="H405" s="13" t="s">
        <v>2077</v>
      </c>
      <c r="I405" s="13" t="s">
        <v>2077</v>
      </c>
      <c r="J405" s="13" t="s">
        <v>2077</v>
      </c>
      <c r="K405" s="13" t="s">
        <v>2077</v>
      </c>
      <c r="L405" s="13" t="s">
        <v>2077</v>
      </c>
      <c r="M405" s="13" t="s">
        <v>2077</v>
      </c>
      <c r="N405" s="211" t="s">
        <v>2415</v>
      </c>
      <c r="O405" s="13" t="s">
        <v>2416</v>
      </c>
      <c r="P405" s="69" t="e">
        <f>VLOOKUP($B405,#REF!,2,FALSE)</f>
        <v>#REF!</v>
      </c>
      <c r="Q405" s="13" t="e">
        <f t="shared" si="398"/>
        <v>#REF!</v>
      </c>
      <c r="R405" s="215" t="e">
        <f>VLOOKUP($B405,#REF!,6,FALSE)</f>
        <v>#REF!</v>
      </c>
      <c r="S405" s="215" t="e">
        <f>VLOOKUP($B405,#REF!,7,FALSE)</f>
        <v>#REF!</v>
      </c>
      <c r="T405" s="13">
        <v>85</v>
      </c>
      <c r="U405" s="167" t="e">
        <f>VLOOKUP($B405,#REF!,9,FALSE)</f>
        <v>#REF!</v>
      </c>
      <c r="V405" s="13">
        <v>1</v>
      </c>
      <c r="W405" s="13" t="s">
        <v>2417</v>
      </c>
      <c r="X405" s="13" t="s">
        <v>1924</v>
      </c>
      <c r="Y405" s="13" t="s">
        <v>2073</v>
      </c>
      <c r="Z405" s="13" t="s">
        <v>2073</v>
      </c>
      <c r="AA405" s="13" t="s">
        <v>2073</v>
      </c>
      <c r="AB405" s="13" t="s">
        <v>1924</v>
      </c>
      <c r="AC405" s="211" t="s">
        <v>2415</v>
      </c>
      <c r="AD405" s="13" t="s">
        <v>2416</v>
      </c>
      <c r="AE405" s="69" t="e">
        <f>VLOOKUP($B405,#REF!,4,FALSE)</f>
        <v>#REF!</v>
      </c>
      <c r="AF405" s="13" t="s">
        <v>2418</v>
      </c>
      <c r="AG405" s="13" t="s">
        <v>2419</v>
      </c>
      <c r="AH405" s="13" t="s">
        <v>2420</v>
      </c>
      <c r="AI405" s="13" t="s">
        <v>2421</v>
      </c>
      <c r="AJ405" s="13" t="s">
        <v>2422</v>
      </c>
      <c r="AK405" s="13" t="s">
        <v>2416</v>
      </c>
      <c r="AL405" s="13" t="s">
        <v>2077</v>
      </c>
      <c r="AM405" s="13" t="s">
        <v>2077</v>
      </c>
      <c r="AN405" s="13" t="s">
        <v>2077</v>
      </c>
      <c r="AO405" s="13" t="s">
        <v>2077</v>
      </c>
      <c r="AP405" s="13" t="s">
        <v>2077</v>
      </c>
      <c r="AQ405" s="13" t="s">
        <v>2077</v>
      </c>
      <c r="AR405" s="13" t="s">
        <v>2418</v>
      </c>
      <c r="AS405" s="13" t="s">
        <v>2419</v>
      </c>
      <c r="AT405" s="13" t="s">
        <v>2420</v>
      </c>
      <c r="AU405" s="13" t="s">
        <v>2421</v>
      </c>
      <c r="AV405" s="13" t="s">
        <v>2422</v>
      </c>
      <c r="AW405" s="13" t="s">
        <v>2416</v>
      </c>
      <c r="AX405" s="13" t="s">
        <v>2073</v>
      </c>
      <c r="AY405" s="13" t="s">
        <v>2073</v>
      </c>
      <c r="AZ405" s="13" t="s">
        <v>2073</v>
      </c>
      <c r="BA405" s="13" t="s">
        <v>2073</v>
      </c>
      <c r="BB405" s="13" t="s">
        <v>2073</v>
      </c>
      <c r="BC405" s="13" t="s">
        <v>2073</v>
      </c>
    </row>
    <row r="406" spans="1:55" ht="15.75" customHeight="1">
      <c r="A406" s="6">
        <v>2000</v>
      </c>
      <c r="B406" s="63" t="s">
        <v>1024</v>
      </c>
      <c r="C406" s="211" t="s">
        <v>2412</v>
      </c>
      <c r="D406" s="13" t="e">
        <f>VLOOKUP($B406,#REF!,2,FALSE)</f>
        <v>#REF!</v>
      </c>
      <c r="E406" s="13" t="e">
        <f>VLOOKUP($B406,#REF!,10,FALSE)</f>
        <v>#REF!</v>
      </c>
      <c r="F406" s="211" t="s">
        <v>2413</v>
      </c>
      <c r="G406" s="13" t="s">
        <v>2414</v>
      </c>
      <c r="H406" s="13" t="s">
        <v>2077</v>
      </c>
      <c r="I406" s="13" t="s">
        <v>2077</v>
      </c>
      <c r="J406" s="13" t="s">
        <v>2077</v>
      </c>
      <c r="K406" s="13" t="s">
        <v>2077</v>
      </c>
      <c r="L406" s="13" t="s">
        <v>2077</v>
      </c>
      <c r="M406" s="13" t="s">
        <v>2077</v>
      </c>
      <c r="N406" s="211" t="s">
        <v>2415</v>
      </c>
      <c r="O406" s="13" t="s">
        <v>2416</v>
      </c>
      <c r="P406" s="69" t="e">
        <f>VLOOKUP($B406,#REF!,2,FALSE)</f>
        <v>#REF!</v>
      </c>
      <c r="Q406" s="13" t="e">
        <f t="shared" si="398"/>
        <v>#REF!</v>
      </c>
      <c r="R406" s="215" t="e">
        <f>VLOOKUP($B406,#REF!,6,FALSE)</f>
        <v>#REF!</v>
      </c>
      <c r="S406" s="215" t="e">
        <f>VLOOKUP($B406,#REF!,7,FALSE)</f>
        <v>#REF!</v>
      </c>
      <c r="T406" s="13">
        <v>85</v>
      </c>
      <c r="U406" s="167" t="e">
        <f>VLOOKUP($B406,#REF!,9,FALSE)</f>
        <v>#REF!</v>
      </c>
      <c r="V406" s="13">
        <v>1</v>
      </c>
      <c r="W406" s="13" t="s">
        <v>2417</v>
      </c>
      <c r="X406" s="13" t="s">
        <v>1924</v>
      </c>
      <c r="Y406" s="13" t="s">
        <v>2073</v>
      </c>
      <c r="Z406" s="13" t="s">
        <v>2073</v>
      </c>
      <c r="AA406" s="13" t="s">
        <v>2073</v>
      </c>
      <c r="AB406" s="13" t="s">
        <v>1924</v>
      </c>
      <c r="AC406" s="211" t="s">
        <v>2415</v>
      </c>
      <c r="AD406" s="13" t="s">
        <v>2416</v>
      </c>
      <c r="AE406" s="69" t="e">
        <f>VLOOKUP($B406,#REF!,4,FALSE)</f>
        <v>#REF!</v>
      </c>
      <c r="AF406" s="13" t="s">
        <v>2418</v>
      </c>
      <c r="AG406" s="13" t="s">
        <v>2419</v>
      </c>
      <c r="AH406" s="13" t="s">
        <v>2420</v>
      </c>
      <c r="AI406" s="13" t="s">
        <v>2421</v>
      </c>
      <c r="AJ406" s="13" t="s">
        <v>2422</v>
      </c>
      <c r="AK406" s="13" t="s">
        <v>2416</v>
      </c>
      <c r="AL406" s="13" t="s">
        <v>2077</v>
      </c>
      <c r="AM406" s="13" t="s">
        <v>2077</v>
      </c>
      <c r="AN406" s="13" t="s">
        <v>2077</v>
      </c>
      <c r="AO406" s="13" t="s">
        <v>2077</v>
      </c>
      <c r="AP406" s="13" t="s">
        <v>2077</v>
      </c>
      <c r="AQ406" s="13" t="s">
        <v>2077</v>
      </c>
      <c r="AR406" s="13" t="s">
        <v>2418</v>
      </c>
      <c r="AS406" s="13" t="s">
        <v>2419</v>
      </c>
      <c r="AT406" s="13" t="s">
        <v>2420</v>
      </c>
      <c r="AU406" s="13" t="s">
        <v>2421</v>
      </c>
      <c r="AV406" s="13" t="s">
        <v>2422</v>
      </c>
      <c r="AW406" s="13" t="s">
        <v>2416</v>
      </c>
      <c r="AX406" s="13" t="s">
        <v>2073</v>
      </c>
      <c r="AY406" s="13" t="s">
        <v>2073</v>
      </c>
      <c r="AZ406" s="13" t="s">
        <v>2073</v>
      </c>
      <c r="BA406" s="13" t="s">
        <v>2073</v>
      </c>
      <c r="BB406" s="13" t="s">
        <v>2073</v>
      </c>
      <c r="BC406" s="13" t="s">
        <v>2073</v>
      </c>
    </row>
    <row r="407" spans="1:55" ht="15.75" customHeight="1">
      <c r="A407" s="6">
        <v>2000</v>
      </c>
      <c r="B407" s="63" t="s">
        <v>1029</v>
      </c>
      <c r="C407" s="211" t="s">
        <v>2412</v>
      </c>
      <c r="D407" s="13" t="e">
        <f>VLOOKUP($B407,#REF!,2,FALSE)</f>
        <v>#REF!</v>
      </c>
      <c r="E407" s="13" t="e">
        <f>VLOOKUP($B407,#REF!,10,FALSE)</f>
        <v>#REF!</v>
      </c>
      <c r="F407" s="211" t="s">
        <v>2413</v>
      </c>
      <c r="G407" s="13" t="s">
        <v>2414</v>
      </c>
      <c r="H407" s="13" t="s">
        <v>2077</v>
      </c>
      <c r="I407" s="13" t="s">
        <v>2077</v>
      </c>
      <c r="J407" s="13" t="s">
        <v>2077</v>
      </c>
      <c r="K407" s="13" t="s">
        <v>2077</v>
      </c>
      <c r="L407" s="13" t="s">
        <v>2077</v>
      </c>
      <c r="M407" s="13" t="s">
        <v>2077</v>
      </c>
      <c r="N407" s="211" t="s">
        <v>2415</v>
      </c>
      <c r="O407" s="13" t="s">
        <v>2416</v>
      </c>
      <c r="P407" s="69" t="e">
        <f>VLOOKUP($B407,#REF!,2,FALSE)</f>
        <v>#REF!</v>
      </c>
      <c r="Q407" s="13" t="e">
        <f t="shared" si="398"/>
        <v>#REF!</v>
      </c>
      <c r="R407" s="215" t="e">
        <f>VLOOKUP($B407,#REF!,6,FALSE)</f>
        <v>#REF!</v>
      </c>
      <c r="S407" s="215" t="e">
        <f>VLOOKUP($B407,#REF!,7,FALSE)</f>
        <v>#REF!</v>
      </c>
      <c r="T407" s="13">
        <v>85</v>
      </c>
      <c r="U407" s="167" t="e">
        <f>VLOOKUP($B407,#REF!,9,FALSE)</f>
        <v>#REF!</v>
      </c>
      <c r="V407" s="13">
        <v>1</v>
      </c>
      <c r="W407" s="13" t="s">
        <v>2417</v>
      </c>
      <c r="X407" s="13" t="s">
        <v>1924</v>
      </c>
      <c r="Y407" s="13" t="s">
        <v>2073</v>
      </c>
      <c r="Z407" s="13" t="s">
        <v>2073</v>
      </c>
      <c r="AA407" s="13" t="s">
        <v>2073</v>
      </c>
      <c r="AB407" s="13" t="s">
        <v>1924</v>
      </c>
      <c r="AC407" s="211" t="s">
        <v>2415</v>
      </c>
      <c r="AD407" s="13" t="s">
        <v>2416</v>
      </c>
      <c r="AE407" s="69" t="e">
        <f>VLOOKUP($B407,#REF!,4,FALSE)</f>
        <v>#REF!</v>
      </c>
      <c r="AF407" s="13" t="s">
        <v>2418</v>
      </c>
      <c r="AG407" s="13" t="s">
        <v>2419</v>
      </c>
      <c r="AH407" s="13" t="s">
        <v>2420</v>
      </c>
      <c r="AI407" s="13" t="s">
        <v>2421</v>
      </c>
      <c r="AJ407" s="13" t="s">
        <v>2422</v>
      </c>
      <c r="AK407" s="13" t="s">
        <v>2416</v>
      </c>
      <c r="AL407" s="13" t="s">
        <v>2077</v>
      </c>
      <c r="AM407" s="13" t="s">
        <v>2077</v>
      </c>
      <c r="AN407" s="13" t="s">
        <v>2077</v>
      </c>
      <c r="AO407" s="13" t="s">
        <v>2077</v>
      </c>
      <c r="AP407" s="13" t="s">
        <v>2077</v>
      </c>
      <c r="AQ407" s="13" t="s">
        <v>2077</v>
      </c>
      <c r="AR407" s="13" t="s">
        <v>2418</v>
      </c>
      <c r="AS407" s="13" t="s">
        <v>2419</v>
      </c>
      <c r="AT407" s="13" t="s">
        <v>2420</v>
      </c>
      <c r="AU407" s="13" t="s">
        <v>2421</v>
      </c>
      <c r="AV407" s="13" t="s">
        <v>2422</v>
      </c>
      <c r="AW407" s="13" t="s">
        <v>2416</v>
      </c>
      <c r="AX407" s="13" t="s">
        <v>2073</v>
      </c>
      <c r="AY407" s="13" t="s">
        <v>2073</v>
      </c>
      <c r="AZ407" s="13" t="s">
        <v>2073</v>
      </c>
      <c r="BA407" s="13" t="s">
        <v>2073</v>
      </c>
      <c r="BB407" s="13" t="s">
        <v>2073</v>
      </c>
      <c r="BC407" s="13" t="s">
        <v>2073</v>
      </c>
    </row>
    <row r="408" spans="1:55" ht="15.75" customHeight="1">
      <c r="A408" s="6">
        <v>2000</v>
      </c>
      <c r="B408" s="63" t="s">
        <v>1034</v>
      </c>
      <c r="C408" s="211" t="s">
        <v>2412</v>
      </c>
      <c r="D408" s="13" t="e">
        <f>VLOOKUP($B408,#REF!,2,FALSE)</f>
        <v>#REF!</v>
      </c>
      <c r="E408" s="13" t="e">
        <f>VLOOKUP($B408,#REF!,10,FALSE)</f>
        <v>#REF!</v>
      </c>
      <c r="F408" s="211" t="s">
        <v>2413</v>
      </c>
      <c r="G408" s="13" t="s">
        <v>2414</v>
      </c>
      <c r="H408" s="13" t="s">
        <v>2077</v>
      </c>
      <c r="I408" s="13" t="s">
        <v>2077</v>
      </c>
      <c r="J408" s="13" t="s">
        <v>2077</v>
      </c>
      <c r="K408" s="13" t="s">
        <v>2077</v>
      </c>
      <c r="L408" s="13" t="s">
        <v>2077</v>
      </c>
      <c r="M408" s="13" t="s">
        <v>2077</v>
      </c>
      <c r="N408" s="211" t="s">
        <v>2415</v>
      </c>
      <c r="O408" s="13" t="s">
        <v>2416</v>
      </c>
      <c r="P408" s="69" t="e">
        <f>VLOOKUP($B408,#REF!,2,FALSE)</f>
        <v>#REF!</v>
      </c>
      <c r="Q408" s="13" t="e">
        <f t="shared" si="398"/>
        <v>#REF!</v>
      </c>
      <c r="R408" s="215" t="e">
        <f>VLOOKUP($B408,#REF!,6,FALSE)</f>
        <v>#REF!</v>
      </c>
      <c r="S408" s="215" t="e">
        <f>VLOOKUP($B408,#REF!,7,FALSE)</f>
        <v>#REF!</v>
      </c>
      <c r="T408" s="13">
        <v>85</v>
      </c>
      <c r="U408" s="167" t="e">
        <f>VLOOKUP($B408,#REF!,9,FALSE)</f>
        <v>#REF!</v>
      </c>
      <c r="V408" s="13">
        <v>1</v>
      </c>
      <c r="W408" s="13" t="s">
        <v>2417</v>
      </c>
      <c r="X408" s="13" t="s">
        <v>1924</v>
      </c>
      <c r="Y408" s="13" t="s">
        <v>2073</v>
      </c>
      <c r="Z408" s="13" t="s">
        <v>2073</v>
      </c>
      <c r="AA408" s="13" t="s">
        <v>2073</v>
      </c>
      <c r="AB408" s="13" t="s">
        <v>1924</v>
      </c>
      <c r="AC408" s="211" t="s">
        <v>2415</v>
      </c>
      <c r="AD408" s="13" t="s">
        <v>2416</v>
      </c>
      <c r="AE408" s="69" t="e">
        <f>VLOOKUP($B408,#REF!,4,FALSE)</f>
        <v>#REF!</v>
      </c>
      <c r="AF408" s="13" t="s">
        <v>2418</v>
      </c>
      <c r="AG408" s="13" t="s">
        <v>2419</v>
      </c>
      <c r="AH408" s="13" t="s">
        <v>2420</v>
      </c>
      <c r="AI408" s="13" t="s">
        <v>2421</v>
      </c>
      <c r="AJ408" s="13" t="s">
        <v>2422</v>
      </c>
      <c r="AK408" s="13" t="s">
        <v>2416</v>
      </c>
      <c r="AL408" s="13" t="s">
        <v>2077</v>
      </c>
      <c r="AM408" s="13" t="s">
        <v>2077</v>
      </c>
      <c r="AN408" s="13" t="s">
        <v>2077</v>
      </c>
      <c r="AO408" s="13" t="s">
        <v>2077</v>
      </c>
      <c r="AP408" s="13" t="s">
        <v>2077</v>
      </c>
      <c r="AQ408" s="13" t="s">
        <v>2077</v>
      </c>
      <c r="AR408" s="13" t="s">
        <v>2418</v>
      </c>
      <c r="AS408" s="13" t="s">
        <v>2419</v>
      </c>
      <c r="AT408" s="13" t="s">
        <v>2420</v>
      </c>
      <c r="AU408" s="13" t="s">
        <v>2421</v>
      </c>
      <c r="AV408" s="13" t="s">
        <v>2422</v>
      </c>
      <c r="AW408" s="13" t="s">
        <v>2416</v>
      </c>
      <c r="AX408" s="13" t="s">
        <v>2073</v>
      </c>
      <c r="AY408" s="13" t="s">
        <v>2073</v>
      </c>
      <c r="AZ408" s="13" t="s">
        <v>2073</v>
      </c>
      <c r="BA408" s="13" t="s">
        <v>2073</v>
      </c>
      <c r="BB408" s="13" t="s">
        <v>2073</v>
      </c>
      <c r="BC408" s="13" t="s">
        <v>2073</v>
      </c>
    </row>
    <row r="409" spans="1:55" ht="15.75" customHeight="1">
      <c r="A409" s="6">
        <v>2000</v>
      </c>
      <c r="B409" s="63" t="s">
        <v>1039</v>
      </c>
      <c r="C409" s="211" t="s">
        <v>2412</v>
      </c>
      <c r="D409" s="13" t="e">
        <f>VLOOKUP($B409,#REF!,2,FALSE)</f>
        <v>#REF!</v>
      </c>
      <c r="E409" s="13" t="e">
        <f>VLOOKUP($B409,#REF!,10,FALSE)</f>
        <v>#REF!</v>
      </c>
      <c r="F409" s="211" t="s">
        <v>2413</v>
      </c>
      <c r="G409" s="13" t="s">
        <v>2414</v>
      </c>
      <c r="H409" s="13" t="s">
        <v>2077</v>
      </c>
      <c r="I409" s="13" t="s">
        <v>2077</v>
      </c>
      <c r="J409" s="13" t="s">
        <v>2077</v>
      </c>
      <c r="K409" s="13" t="s">
        <v>2077</v>
      </c>
      <c r="L409" s="13" t="s">
        <v>2077</v>
      </c>
      <c r="M409" s="13" t="s">
        <v>2077</v>
      </c>
      <c r="N409" s="211" t="s">
        <v>2415</v>
      </c>
      <c r="O409" s="13" t="s">
        <v>2416</v>
      </c>
      <c r="P409" s="69" t="e">
        <f>VLOOKUP($B409,#REF!,2,FALSE)</f>
        <v>#REF!</v>
      </c>
      <c r="Q409" s="13" t="e">
        <f t="shared" si="398"/>
        <v>#REF!</v>
      </c>
      <c r="R409" s="215" t="e">
        <f>VLOOKUP($B409,#REF!,6,FALSE)</f>
        <v>#REF!</v>
      </c>
      <c r="S409" s="215" t="e">
        <f>VLOOKUP($B409,#REF!,7,FALSE)</f>
        <v>#REF!</v>
      </c>
      <c r="T409" s="13">
        <v>85</v>
      </c>
      <c r="U409" s="167" t="e">
        <f>VLOOKUP($B409,#REF!,9,FALSE)</f>
        <v>#REF!</v>
      </c>
      <c r="V409" s="13">
        <v>1</v>
      </c>
      <c r="W409" s="13" t="s">
        <v>2417</v>
      </c>
      <c r="X409" s="13" t="s">
        <v>1924</v>
      </c>
      <c r="Y409" s="13" t="s">
        <v>2073</v>
      </c>
      <c r="Z409" s="13" t="s">
        <v>2073</v>
      </c>
      <c r="AA409" s="13" t="s">
        <v>2073</v>
      </c>
      <c r="AB409" s="13" t="s">
        <v>1924</v>
      </c>
      <c r="AC409" s="211" t="s">
        <v>2415</v>
      </c>
      <c r="AD409" s="13" t="s">
        <v>2416</v>
      </c>
      <c r="AE409" s="69" t="e">
        <f>VLOOKUP($B409,#REF!,4,FALSE)</f>
        <v>#REF!</v>
      </c>
      <c r="AF409" s="13" t="s">
        <v>2418</v>
      </c>
      <c r="AG409" s="13" t="s">
        <v>2419</v>
      </c>
      <c r="AH409" s="13" t="s">
        <v>2420</v>
      </c>
      <c r="AI409" s="13" t="s">
        <v>2421</v>
      </c>
      <c r="AJ409" s="13" t="s">
        <v>2422</v>
      </c>
      <c r="AK409" s="13" t="s">
        <v>2416</v>
      </c>
      <c r="AL409" s="13" t="s">
        <v>2077</v>
      </c>
      <c r="AM409" s="13" t="s">
        <v>2077</v>
      </c>
      <c r="AN409" s="13" t="s">
        <v>2077</v>
      </c>
      <c r="AO409" s="13" t="s">
        <v>2077</v>
      </c>
      <c r="AP409" s="13" t="s">
        <v>2077</v>
      </c>
      <c r="AQ409" s="13" t="s">
        <v>2077</v>
      </c>
      <c r="AR409" s="13" t="s">
        <v>2418</v>
      </c>
      <c r="AS409" s="13" t="s">
        <v>2419</v>
      </c>
      <c r="AT409" s="13" t="s">
        <v>2420</v>
      </c>
      <c r="AU409" s="13" t="s">
        <v>2421</v>
      </c>
      <c r="AV409" s="13" t="s">
        <v>2422</v>
      </c>
      <c r="AW409" s="13" t="s">
        <v>2416</v>
      </c>
      <c r="AX409" s="13" t="s">
        <v>2073</v>
      </c>
      <c r="AY409" s="13" t="s">
        <v>2073</v>
      </c>
      <c r="AZ409" s="13" t="s">
        <v>2073</v>
      </c>
      <c r="BA409" s="13" t="s">
        <v>2073</v>
      </c>
      <c r="BB409" s="13" t="s">
        <v>2073</v>
      </c>
      <c r="BC409" s="13" t="s">
        <v>2073</v>
      </c>
    </row>
    <row r="410" spans="1:55" ht="15.75" customHeight="1">
      <c r="A410" s="6">
        <v>2000</v>
      </c>
      <c r="B410" s="63" t="s">
        <v>1044</v>
      </c>
      <c r="C410" s="211" t="s">
        <v>2412</v>
      </c>
      <c r="D410" s="13" t="e">
        <f>VLOOKUP($B410,#REF!,2,FALSE)</f>
        <v>#REF!</v>
      </c>
      <c r="E410" s="13" t="e">
        <f>VLOOKUP($B410,#REF!,10,FALSE)</f>
        <v>#REF!</v>
      </c>
      <c r="F410" s="211" t="s">
        <v>2413</v>
      </c>
      <c r="G410" s="13" t="s">
        <v>2414</v>
      </c>
      <c r="H410" s="13" t="s">
        <v>2077</v>
      </c>
      <c r="I410" s="13" t="s">
        <v>2077</v>
      </c>
      <c r="J410" s="13" t="s">
        <v>2077</v>
      </c>
      <c r="K410" s="13" t="s">
        <v>2077</v>
      </c>
      <c r="L410" s="13" t="s">
        <v>2077</v>
      </c>
      <c r="M410" s="13" t="s">
        <v>2077</v>
      </c>
      <c r="N410" s="211" t="s">
        <v>2415</v>
      </c>
      <c r="O410" s="13" t="s">
        <v>2416</v>
      </c>
      <c r="P410" s="69" t="e">
        <f>VLOOKUP($B410,#REF!,2,FALSE)</f>
        <v>#REF!</v>
      </c>
      <c r="Q410" s="13" t="e">
        <f t="shared" si="398"/>
        <v>#REF!</v>
      </c>
      <c r="R410" s="215" t="e">
        <f>VLOOKUP($B410,#REF!,6,FALSE)</f>
        <v>#REF!</v>
      </c>
      <c r="S410" s="215" t="e">
        <f>VLOOKUP($B410,#REF!,7,FALSE)</f>
        <v>#REF!</v>
      </c>
      <c r="T410" s="13">
        <v>85</v>
      </c>
      <c r="U410" s="167" t="e">
        <f>VLOOKUP($B410,#REF!,9,FALSE)</f>
        <v>#REF!</v>
      </c>
      <c r="V410" s="13">
        <v>1</v>
      </c>
      <c r="W410" s="13" t="s">
        <v>2417</v>
      </c>
      <c r="X410" s="13" t="s">
        <v>1924</v>
      </c>
      <c r="Y410" s="13" t="s">
        <v>2073</v>
      </c>
      <c r="Z410" s="13" t="s">
        <v>2073</v>
      </c>
      <c r="AA410" s="13" t="s">
        <v>2073</v>
      </c>
      <c r="AB410" s="13" t="s">
        <v>1924</v>
      </c>
      <c r="AC410" s="211" t="s">
        <v>2415</v>
      </c>
      <c r="AD410" s="13" t="s">
        <v>2416</v>
      </c>
      <c r="AE410" s="69" t="e">
        <f>VLOOKUP($B410,#REF!,4,FALSE)</f>
        <v>#REF!</v>
      </c>
      <c r="AF410" s="13" t="s">
        <v>2418</v>
      </c>
      <c r="AG410" s="13" t="s">
        <v>2419</v>
      </c>
      <c r="AH410" s="13" t="s">
        <v>2420</v>
      </c>
      <c r="AI410" s="13" t="s">
        <v>2421</v>
      </c>
      <c r="AJ410" s="13" t="s">
        <v>2422</v>
      </c>
      <c r="AK410" s="13" t="s">
        <v>2416</v>
      </c>
      <c r="AL410" s="13" t="s">
        <v>2077</v>
      </c>
      <c r="AM410" s="13" t="s">
        <v>2077</v>
      </c>
      <c r="AN410" s="13" t="s">
        <v>2077</v>
      </c>
      <c r="AO410" s="13" t="s">
        <v>2077</v>
      </c>
      <c r="AP410" s="13" t="s">
        <v>2077</v>
      </c>
      <c r="AQ410" s="13" t="s">
        <v>2077</v>
      </c>
      <c r="AR410" s="13" t="s">
        <v>2418</v>
      </c>
      <c r="AS410" s="13" t="s">
        <v>2419</v>
      </c>
      <c r="AT410" s="13" t="s">
        <v>2420</v>
      </c>
      <c r="AU410" s="13" t="s">
        <v>2421</v>
      </c>
      <c r="AV410" s="13" t="s">
        <v>2422</v>
      </c>
      <c r="AW410" s="13" t="s">
        <v>2416</v>
      </c>
      <c r="AX410" s="13" t="s">
        <v>2073</v>
      </c>
      <c r="AY410" s="13" t="s">
        <v>2073</v>
      </c>
      <c r="AZ410" s="13" t="s">
        <v>2073</v>
      </c>
      <c r="BA410" s="13" t="s">
        <v>2073</v>
      </c>
      <c r="BB410" s="13" t="s">
        <v>2073</v>
      </c>
      <c r="BC410" s="13" t="s">
        <v>2073</v>
      </c>
    </row>
    <row r="411" spans="1:55" ht="15.75" customHeight="1">
      <c r="A411" s="6">
        <v>2000</v>
      </c>
      <c r="B411" s="63" t="s">
        <v>1049</v>
      </c>
      <c r="C411" s="211" t="s">
        <v>2412</v>
      </c>
      <c r="D411" s="13" t="e">
        <f>VLOOKUP($B411,#REF!,2,FALSE)</f>
        <v>#REF!</v>
      </c>
      <c r="E411" s="13" t="e">
        <f>VLOOKUP($B411,#REF!,10,FALSE)</f>
        <v>#REF!</v>
      </c>
      <c r="F411" s="211" t="s">
        <v>2413</v>
      </c>
      <c r="G411" s="13" t="s">
        <v>2414</v>
      </c>
      <c r="H411" s="13" t="s">
        <v>2077</v>
      </c>
      <c r="I411" s="13" t="s">
        <v>2077</v>
      </c>
      <c r="J411" s="13" t="s">
        <v>2077</v>
      </c>
      <c r="K411" s="13" t="s">
        <v>2077</v>
      </c>
      <c r="L411" s="13" t="s">
        <v>2077</v>
      </c>
      <c r="M411" s="13" t="s">
        <v>2077</v>
      </c>
      <c r="N411" s="211" t="s">
        <v>2415</v>
      </c>
      <c r="O411" s="13" t="s">
        <v>2416</v>
      </c>
      <c r="P411" s="69" t="e">
        <f>VLOOKUP($B411,#REF!,2,FALSE)</f>
        <v>#REF!</v>
      </c>
      <c r="Q411" s="13" t="e">
        <f t="shared" si="398"/>
        <v>#REF!</v>
      </c>
      <c r="R411" s="215" t="e">
        <f>VLOOKUP($B411,#REF!,6,FALSE)</f>
        <v>#REF!</v>
      </c>
      <c r="S411" s="215" t="e">
        <f>VLOOKUP($B411,#REF!,7,FALSE)</f>
        <v>#REF!</v>
      </c>
      <c r="T411" s="13">
        <v>85</v>
      </c>
      <c r="U411" s="167" t="e">
        <f>VLOOKUP($B411,#REF!,9,FALSE)</f>
        <v>#REF!</v>
      </c>
      <c r="V411" s="13">
        <v>1</v>
      </c>
      <c r="W411" s="13" t="s">
        <v>2417</v>
      </c>
      <c r="X411" s="13" t="s">
        <v>1924</v>
      </c>
      <c r="Y411" s="13" t="s">
        <v>2073</v>
      </c>
      <c r="Z411" s="13" t="s">
        <v>2073</v>
      </c>
      <c r="AA411" s="13" t="s">
        <v>2073</v>
      </c>
      <c r="AB411" s="13" t="s">
        <v>1924</v>
      </c>
      <c r="AC411" s="211" t="s">
        <v>2415</v>
      </c>
      <c r="AD411" s="13" t="s">
        <v>2416</v>
      </c>
      <c r="AE411" s="69" t="e">
        <f>VLOOKUP($B411,#REF!,4,FALSE)</f>
        <v>#REF!</v>
      </c>
      <c r="AF411" s="13" t="s">
        <v>2418</v>
      </c>
      <c r="AG411" s="13" t="s">
        <v>2419</v>
      </c>
      <c r="AH411" s="13" t="s">
        <v>2420</v>
      </c>
      <c r="AI411" s="13" t="s">
        <v>2421</v>
      </c>
      <c r="AJ411" s="13" t="s">
        <v>2422</v>
      </c>
      <c r="AK411" s="13" t="s">
        <v>2416</v>
      </c>
      <c r="AL411" s="13" t="s">
        <v>2077</v>
      </c>
      <c r="AM411" s="13" t="s">
        <v>2077</v>
      </c>
      <c r="AN411" s="13" t="s">
        <v>2077</v>
      </c>
      <c r="AO411" s="13" t="s">
        <v>2077</v>
      </c>
      <c r="AP411" s="13" t="s">
        <v>2077</v>
      </c>
      <c r="AQ411" s="13" t="s">
        <v>2077</v>
      </c>
      <c r="AR411" s="13" t="s">
        <v>2418</v>
      </c>
      <c r="AS411" s="13" t="s">
        <v>2419</v>
      </c>
      <c r="AT411" s="13" t="s">
        <v>2420</v>
      </c>
      <c r="AU411" s="13" t="s">
        <v>2421</v>
      </c>
      <c r="AV411" s="13" t="s">
        <v>2422</v>
      </c>
      <c r="AW411" s="13" t="s">
        <v>2416</v>
      </c>
      <c r="AX411" s="13" t="s">
        <v>2073</v>
      </c>
      <c r="AY411" s="13" t="s">
        <v>2073</v>
      </c>
      <c r="AZ411" s="13" t="s">
        <v>2073</v>
      </c>
      <c r="BA411" s="13" t="s">
        <v>2073</v>
      </c>
      <c r="BB411" s="13" t="s">
        <v>2073</v>
      </c>
      <c r="BC411" s="13" t="s">
        <v>2073</v>
      </c>
    </row>
    <row r="412" spans="1:55" ht="15.75" customHeight="1">
      <c r="A412" s="6">
        <v>2000</v>
      </c>
      <c r="B412" s="63" t="s">
        <v>1054</v>
      </c>
      <c r="C412" s="211" t="s">
        <v>2412</v>
      </c>
      <c r="D412" s="13" t="e">
        <f>VLOOKUP($B412,#REF!,2,FALSE)</f>
        <v>#REF!</v>
      </c>
      <c r="E412" s="13" t="e">
        <f>VLOOKUP($B412,#REF!,10,FALSE)</f>
        <v>#REF!</v>
      </c>
      <c r="F412" s="211" t="s">
        <v>2413</v>
      </c>
      <c r="G412" s="13" t="s">
        <v>2414</v>
      </c>
      <c r="H412" s="13" t="s">
        <v>2077</v>
      </c>
      <c r="I412" s="13" t="s">
        <v>2077</v>
      </c>
      <c r="J412" s="13" t="s">
        <v>2077</v>
      </c>
      <c r="K412" s="13" t="s">
        <v>2077</v>
      </c>
      <c r="L412" s="13" t="s">
        <v>2077</v>
      </c>
      <c r="M412" s="13" t="s">
        <v>2077</v>
      </c>
      <c r="N412" s="211" t="s">
        <v>2415</v>
      </c>
      <c r="O412" s="13" t="s">
        <v>2416</v>
      </c>
      <c r="P412" s="69" t="e">
        <f>VLOOKUP($B412,#REF!,2,FALSE)</f>
        <v>#REF!</v>
      </c>
      <c r="Q412" s="13" t="e">
        <f t="shared" si="398"/>
        <v>#REF!</v>
      </c>
      <c r="R412" s="215" t="e">
        <f>VLOOKUP($B412,#REF!,6,FALSE)</f>
        <v>#REF!</v>
      </c>
      <c r="S412" s="215" t="e">
        <f>VLOOKUP($B412,#REF!,7,FALSE)</f>
        <v>#REF!</v>
      </c>
      <c r="T412" s="13">
        <v>85</v>
      </c>
      <c r="U412" s="167" t="e">
        <f>VLOOKUP($B412,#REF!,9,FALSE)</f>
        <v>#REF!</v>
      </c>
      <c r="V412" s="13">
        <v>1</v>
      </c>
      <c r="W412" s="13" t="s">
        <v>2417</v>
      </c>
      <c r="X412" s="13" t="s">
        <v>1924</v>
      </c>
      <c r="Y412" s="13" t="s">
        <v>2073</v>
      </c>
      <c r="Z412" s="13" t="s">
        <v>2073</v>
      </c>
      <c r="AA412" s="13" t="s">
        <v>2073</v>
      </c>
      <c r="AB412" s="13" t="s">
        <v>1924</v>
      </c>
      <c r="AC412" s="211" t="s">
        <v>2415</v>
      </c>
      <c r="AD412" s="13" t="s">
        <v>2416</v>
      </c>
      <c r="AE412" s="69" t="e">
        <f>VLOOKUP($B412,#REF!,4,FALSE)</f>
        <v>#REF!</v>
      </c>
      <c r="AF412" s="13" t="s">
        <v>2418</v>
      </c>
      <c r="AG412" s="13" t="s">
        <v>2419</v>
      </c>
      <c r="AH412" s="13" t="s">
        <v>2420</v>
      </c>
      <c r="AI412" s="13" t="s">
        <v>2421</v>
      </c>
      <c r="AJ412" s="13" t="s">
        <v>2422</v>
      </c>
      <c r="AK412" s="13" t="s">
        <v>2416</v>
      </c>
      <c r="AL412" s="13" t="s">
        <v>2077</v>
      </c>
      <c r="AM412" s="13" t="s">
        <v>2077</v>
      </c>
      <c r="AN412" s="13" t="s">
        <v>2077</v>
      </c>
      <c r="AO412" s="13" t="s">
        <v>2077</v>
      </c>
      <c r="AP412" s="13" t="s">
        <v>2077</v>
      </c>
      <c r="AQ412" s="13" t="s">
        <v>2077</v>
      </c>
      <c r="AR412" s="13" t="s">
        <v>2418</v>
      </c>
      <c r="AS412" s="13" t="s">
        <v>2419</v>
      </c>
      <c r="AT412" s="13" t="s">
        <v>2420</v>
      </c>
      <c r="AU412" s="13" t="s">
        <v>2421</v>
      </c>
      <c r="AV412" s="13" t="s">
        <v>2422</v>
      </c>
      <c r="AW412" s="13" t="s">
        <v>2416</v>
      </c>
      <c r="AX412" s="13" t="s">
        <v>2073</v>
      </c>
      <c r="AY412" s="13" t="s">
        <v>2073</v>
      </c>
      <c r="AZ412" s="13" t="s">
        <v>2073</v>
      </c>
      <c r="BA412" s="13" t="s">
        <v>2073</v>
      </c>
      <c r="BB412" s="13" t="s">
        <v>2073</v>
      </c>
      <c r="BC412" s="13" t="s">
        <v>2073</v>
      </c>
    </row>
    <row r="413" spans="1:55" ht="15.75" customHeight="1">
      <c r="A413" s="6">
        <v>2000</v>
      </c>
      <c r="B413" s="63" t="s">
        <v>1059</v>
      </c>
      <c r="C413" s="211" t="s">
        <v>2412</v>
      </c>
      <c r="D413" s="13" t="e">
        <f>VLOOKUP($B413,#REF!,2,FALSE)</f>
        <v>#REF!</v>
      </c>
      <c r="E413" s="13" t="e">
        <f>VLOOKUP($B413,#REF!,10,FALSE)</f>
        <v>#REF!</v>
      </c>
      <c r="F413" s="211" t="s">
        <v>2413</v>
      </c>
      <c r="G413" s="13" t="s">
        <v>2414</v>
      </c>
      <c r="H413" s="13" t="s">
        <v>2077</v>
      </c>
      <c r="I413" s="13" t="s">
        <v>2077</v>
      </c>
      <c r="J413" s="13" t="s">
        <v>2077</v>
      </c>
      <c r="K413" s="13" t="s">
        <v>2077</v>
      </c>
      <c r="L413" s="13" t="s">
        <v>2077</v>
      </c>
      <c r="M413" s="13" t="s">
        <v>2077</v>
      </c>
      <c r="N413" s="211" t="s">
        <v>2415</v>
      </c>
      <c r="O413" s="13" t="s">
        <v>2416</v>
      </c>
      <c r="P413" s="69" t="e">
        <f>VLOOKUP($B413,#REF!,2,FALSE)</f>
        <v>#REF!</v>
      </c>
      <c r="Q413" s="13" t="e">
        <f t="shared" si="398"/>
        <v>#REF!</v>
      </c>
      <c r="R413" s="215" t="e">
        <f>VLOOKUP($B413,#REF!,6,FALSE)</f>
        <v>#REF!</v>
      </c>
      <c r="S413" s="215" t="e">
        <f>VLOOKUP($B413,#REF!,7,FALSE)</f>
        <v>#REF!</v>
      </c>
      <c r="T413" s="13">
        <v>85</v>
      </c>
      <c r="U413" s="167" t="e">
        <f>VLOOKUP($B413,#REF!,9,FALSE)</f>
        <v>#REF!</v>
      </c>
      <c r="V413" s="13">
        <v>1</v>
      </c>
      <c r="W413" s="13" t="s">
        <v>2417</v>
      </c>
      <c r="X413" s="13" t="s">
        <v>1924</v>
      </c>
      <c r="Y413" s="13" t="s">
        <v>2073</v>
      </c>
      <c r="Z413" s="13" t="s">
        <v>2073</v>
      </c>
      <c r="AA413" s="13" t="s">
        <v>2073</v>
      </c>
      <c r="AB413" s="13" t="s">
        <v>1924</v>
      </c>
      <c r="AC413" s="211" t="s">
        <v>2415</v>
      </c>
      <c r="AD413" s="13" t="s">
        <v>2416</v>
      </c>
      <c r="AE413" s="69" t="e">
        <f>VLOOKUP($B413,#REF!,4,FALSE)</f>
        <v>#REF!</v>
      </c>
      <c r="AF413" s="13" t="s">
        <v>2418</v>
      </c>
      <c r="AG413" s="13" t="s">
        <v>2419</v>
      </c>
      <c r="AH413" s="13" t="s">
        <v>2420</v>
      </c>
      <c r="AI413" s="13" t="s">
        <v>2421</v>
      </c>
      <c r="AJ413" s="13" t="s">
        <v>2422</v>
      </c>
      <c r="AK413" s="13" t="s">
        <v>2416</v>
      </c>
      <c r="AL413" s="13" t="s">
        <v>2077</v>
      </c>
      <c r="AM413" s="13" t="s">
        <v>2077</v>
      </c>
      <c r="AN413" s="13" t="s">
        <v>2077</v>
      </c>
      <c r="AO413" s="13" t="s">
        <v>2077</v>
      </c>
      <c r="AP413" s="13" t="s">
        <v>2077</v>
      </c>
      <c r="AQ413" s="13" t="s">
        <v>2077</v>
      </c>
      <c r="AR413" s="13" t="s">
        <v>2418</v>
      </c>
      <c r="AS413" s="13" t="s">
        <v>2419</v>
      </c>
      <c r="AT413" s="13" t="s">
        <v>2420</v>
      </c>
      <c r="AU413" s="13" t="s">
        <v>2421</v>
      </c>
      <c r="AV413" s="13" t="s">
        <v>2422</v>
      </c>
      <c r="AW413" s="13" t="s">
        <v>2416</v>
      </c>
      <c r="AX413" s="13" t="s">
        <v>2073</v>
      </c>
      <c r="AY413" s="13" t="s">
        <v>2073</v>
      </c>
      <c r="AZ413" s="13" t="s">
        <v>2073</v>
      </c>
      <c r="BA413" s="13" t="s">
        <v>2073</v>
      </c>
      <c r="BB413" s="13" t="s">
        <v>2073</v>
      </c>
      <c r="BC413" s="13" t="s">
        <v>2073</v>
      </c>
    </row>
    <row r="414" spans="1:55" ht="15.75" customHeight="1">
      <c r="A414" s="6">
        <v>2000</v>
      </c>
      <c r="B414" s="63" t="s">
        <v>1064</v>
      </c>
      <c r="C414" s="211" t="s">
        <v>2412</v>
      </c>
      <c r="D414" s="13" t="e">
        <f>VLOOKUP($B414,#REF!,2,FALSE)</f>
        <v>#REF!</v>
      </c>
      <c r="E414" s="13" t="e">
        <f>VLOOKUP($B414,#REF!,10,FALSE)</f>
        <v>#REF!</v>
      </c>
      <c r="F414" s="211" t="s">
        <v>2413</v>
      </c>
      <c r="G414" s="13" t="s">
        <v>2414</v>
      </c>
      <c r="H414" s="13" t="s">
        <v>2077</v>
      </c>
      <c r="I414" s="13" t="s">
        <v>2077</v>
      </c>
      <c r="J414" s="13" t="s">
        <v>2077</v>
      </c>
      <c r="K414" s="13" t="s">
        <v>2077</v>
      </c>
      <c r="L414" s="13" t="s">
        <v>2077</v>
      </c>
      <c r="M414" s="13" t="s">
        <v>2077</v>
      </c>
      <c r="N414" s="211" t="s">
        <v>2415</v>
      </c>
      <c r="O414" s="13" t="s">
        <v>2416</v>
      </c>
      <c r="P414" s="69" t="e">
        <f>VLOOKUP($B414,#REF!,2,FALSE)</f>
        <v>#REF!</v>
      </c>
      <c r="Q414" s="13" t="e">
        <f t="shared" si="398"/>
        <v>#REF!</v>
      </c>
      <c r="R414" s="215" t="e">
        <f>VLOOKUP($B414,#REF!,6,FALSE)</f>
        <v>#REF!</v>
      </c>
      <c r="S414" s="215" t="e">
        <f>VLOOKUP($B414,#REF!,7,FALSE)</f>
        <v>#REF!</v>
      </c>
      <c r="T414" s="13">
        <v>85</v>
      </c>
      <c r="U414" s="167" t="e">
        <f>VLOOKUP($B414,#REF!,9,FALSE)</f>
        <v>#REF!</v>
      </c>
      <c r="V414" s="13">
        <v>1</v>
      </c>
      <c r="W414" s="13" t="s">
        <v>2417</v>
      </c>
      <c r="X414" s="13" t="s">
        <v>1924</v>
      </c>
      <c r="Y414" s="13" t="s">
        <v>2073</v>
      </c>
      <c r="Z414" s="13" t="s">
        <v>2073</v>
      </c>
      <c r="AA414" s="13" t="s">
        <v>2073</v>
      </c>
      <c r="AB414" s="13" t="s">
        <v>1924</v>
      </c>
      <c r="AC414" s="211" t="s">
        <v>2415</v>
      </c>
      <c r="AD414" s="13" t="s">
        <v>2416</v>
      </c>
      <c r="AE414" s="69" t="e">
        <f>VLOOKUP($B414,#REF!,4,FALSE)</f>
        <v>#REF!</v>
      </c>
      <c r="AF414" s="13" t="s">
        <v>2418</v>
      </c>
      <c r="AG414" s="13" t="s">
        <v>2419</v>
      </c>
      <c r="AH414" s="13" t="s">
        <v>2420</v>
      </c>
      <c r="AI414" s="13" t="s">
        <v>2421</v>
      </c>
      <c r="AJ414" s="13" t="s">
        <v>2422</v>
      </c>
      <c r="AK414" s="13" t="s">
        <v>2416</v>
      </c>
      <c r="AL414" s="13" t="s">
        <v>2077</v>
      </c>
      <c r="AM414" s="13" t="s">
        <v>2077</v>
      </c>
      <c r="AN414" s="13" t="s">
        <v>2077</v>
      </c>
      <c r="AO414" s="13" t="s">
        <v>2077</v>
      </c>
      <c r="AP414" s="13" t="s">
        <v>2077</v>
      </c>
      <c r="AQ414" s="13" t="s">
        <v>2077</v>
      </c>
      <c r="AR414" s="13" t="s">
        <v>2418</v>
      </c>
      <c r="AS414" s="13" t="s">
        <v>2419</v>
      </c>
      <c r="AT414" s="13" t="s">
        <v>2420</v>
      </c>
      <c r="AU414" s="13" t="s">
        <v>2421</v>
      </c>
      <c r="AV414" s="13" t="s">
        <v>2422</v>
      </c>
      <c r="AW414" s="13" t="s">
        <v>2416</v>
      </c>
      <c r="AX414" s="13" t="s">
        <v>2073</v>
      </c>
      <c r="AY414" s="13" t="s">
        <v>2073</v>
      </c>
      <c r="AZ414" s="13" t="s">
        <v>2073</v>
      </c>
      <c r="BA414" s="13" t="s">
        <v>2073</v>
      </c>
      <c r="BB414" s="13" t="s">
        <v>2073</v>
      </c>
      <c r="BC414" s="13" t="s">
        <v>2073</v>
      </c>
    </row>
    <row r="415" spans="1:55" ht="15.75" customHeight="1">
      <c r="A415" s="6">
        <v>2000</v>
      </c>
      <c r="B415" s="63" t="s">
        <v>1069</v>
      </c>
      <c r="C415" s="211" t="s">
        <v>2412</v>
      </c>
      <c r="D415" s="13" t="e">
        <f>VLOOKUP($B415,#REF!,2,FALSE)</f>
        <v>#REF!</v>
      </c>
      <c r="E415" s="13" t="e">
        <f>VLOOKUP($B415,#REF!,10,FALSE)</f>
        <v>#REF!</v>
      </c>
      <c r="F415" s="211" t="s">
        <v>2413</v>
      </c>
      <c r="G415" s="13" t="s">
        <v>2414</v>
      </c>
      <c r="H415" s="13" t="s">
        <v>2077</v>
      </c>
      <c r="I415" s="13" t="s">
        <v>2077</v>
      </c>
      <c r="J415" s="13" t="s">
        <v>2077</v>
      </c>
      <c r="K415" s="13" t="s">
        <v>2077</v>
      </c>
      <c r="L415" s="13" t="s">
        <v>2077</v>
      </c>
      <c r="M415" s="13" t="s">
        <v>2077</v>
      </c>
      <c r="N415" s="211" t="s">
        <v>2415</v>
      </c>
      <c r="O415" s="13" t="s">
        <v>2416</v>
      </c>
      <c r="P415" s="69" t="e">
        <f>VLOOKUP($B415,#REF!,2,FALSE)</f>
        <v>#REF!</v>
      </c>
      <c r="Q415" s="13" t="e">
        <f t="shared" si="398"/>
        <v>#REF!</v>
      </c>
      <c r="R415" s="215" t="e">
        <f>VLOOKUP($B415,#REF!,6,FALSE)</f>
        <v>#REF!</v>
      </c>
      <c r="S415" s="215" t="e">
        <f>VLOOKUP($B415,#REF!,7,FALSE)</f>
        <v>#REF!</v>
      </c>
      <c r="T415" s="13">
        <v>85</v>
      </c>
      <c r="U415" s="167" t="e">
        <f>VLOOKUP($B415,#REF!,9,FALSE)</f>
        <v>#REF!</v>
      </c>
      <c r="V415" s="13">
        <v>1</v>
      </c>
      <c r="W415" s="13" t="s">
        <v>2417</v>
      </c>
      <c r="X415" s="13" t="s">
        <v>1924</v>
      </c>
      <c r="Y415" s="13" t="s">
        <v>2073</v>
      </c>
      <c r="Z415" s="13" t="s">
        <v>2073</v>
      </c>
      <c r="AA415" s="13" t="s">
        <v>2073</v>
      </c>
      <c r="AB415" s="13" t="s">
        <v>1924</v>
      </c>
      <c r="AC415" s="211" t="s">
        <v>2415</v>
      </c>
      <c r="AD415" s="13" t="s">
        <v>2416</v>
      </c>
      <c r="AE415" s="69" t="e">
        <f>VLOOKUP($B415,#REF!,4,FALSE)</f>
        <v>#REF!</v>
      </c>
      <c r="AF415" s="13" t="s">
        <v>2418</v>
      </c>
      <c r="AG415" s="13" t="s">
        <v>2419</v>
      </c>
      <c r="AH415" s="13" t="s">
        <v>2420</v>
      </c>
      <c r="AI415" s="13" t="s">
        <v>2421</v>
      </c>
      <c r="AJ415" s="13" t="s">
        <v>2422</v>
      </c>
      <c r="AK415" s="13" t="s">
        <v>2416</v>
      </c>
      <c r="AL415" s="13" t="s">
        <v>2077</v>
      </c>
      <c r="AM415" s="13" t="s">
        <v>2077</v>
      </c>
      <c r="AN415" s="13" t="s">
        <v>2077</v>
      </c>
      <c r="AO415" s="13" t="s">
        <v>2077</v>
      </c>
      <c r="AP415" s="13" t="s">
        <v>2077</v>
      </c>
      <c r="AQ415" s="13" t="s">
        <v>2077</v>
      </c>
      <c r="AR415" s="13" t="s">
        <v>2418</v>
      </c>
      <c r="AS415" s="13" t="s">
        <v>2419</v>
      </c>
      <c r="AT415" s="13" t="s">
        <v>2420</v>
      </c>
      <c r="AU415" s="13" t="s">
        <v>2421</v>
      </c>
      <c r="AV415" s="13" t="s">
        <v>2422</v>
      </c>
      <c r="AW415" s="13" t="s">
        <v>2416</v>
      </c>
      <c r="AX415" s="13" t="s">
        <v>2073</v>
      </c>
      <c r="AY415" s="13" t="s">
        <v>2073</v>
      </c>
      <c r="AZ415" s="13" t="s">
        <v>2073</v>
      </c>
      <c r="BA415" s="13" t="s">
        <v>2073</v>
      </c>
      <c r="BB415" s="13" t="s">
        <v>2073</v>
      </c>
      <c r="BC415" s="13" t="s">
        <v>2073</v>
      </c>
    </row>
    <row r="416" spans="1:55" ht="15.75" customHeight="1">
      <c r="A416" s="6">
        <v>2000</v>
      </c>
      <c r="B416" s="63" t="s">
        <v>1074</v>
      </c>
      <c r="C416" s="211" t="s">
        <v>2412</v>
      </c>
      <c r="D416" s="13" t="e">
        <f>VLOOKUP($B416,#REF!,2,FALSE)</f>
        <v>#REF!</v>
      </c>
      <c r="E416" s="13" t="e">
        <f>VLOOKUP($B416,#REF!,10,FALSE)</f>
        <v>#REF!</v>
      </c>
      <c r="F416" s="211" t="s">
        <v>2413</v>
      </c>
      <c r="G416" s="13" t="s">
        <v>2414</v>
      </c>
      <c r="H416" s="13" t="s">
        <v>2077</v>
      </c>
      <c r="I416" s="13" t="s">
        <v>2077</v>
      </c>
      <c r="J416" s="13" t="s">
        <v>2077</v>
      </c>
      <c r="K416" s="13" t="s">
        <v>2077</v>
      </c>
      <c r="L416" s="13" t="s">
        <v>2077</v>
      </c>
      <c r="M416" s="13" t="s">
        <v>2077</v>
      </c>
      <c r="N416" s="211" t="s">
        <v>2415</v>
      </c>
      <c r="O416" s="13" t="s">
        <v>2416</v>
      </c>
      <c r="P416" s="69" t="e">
        <f>VLOOKUP($B416,#REF!,2,FALSE)</f>
        <v>#REF!</v>
      </c>
      <c r="Q416" s="13" t="e">
        <f t="shared" si="398"/>
        <v>#REF!</v>
      </c>
      <c r="R416" s="216" t="e">
        <f>VLOOKUP($B416,#REF!,6,FALSE)</f>
        <v>#REF!</v>
      </c>
      <c r="S416" s="213" t="e">
        <f>VLOOKUP($B416,#REF!,7,FALSE)</f>
        <v>#REF!</v>
      </c>
      <c r="T416" s="13">
        <v>85</v>
      </c>
      <c r="U416" s="167" t="e">
        <f>VLOOKUP($B416,#REF!,9,FALSE)</f>
        <v>#REF!</v>
      </c>
      <c r="V416" s="13">
        <v>1</v>
      </c>
      <c r="W416" s="13" t="s">
        <v>2417</v>
      </c>
      <c r="X416" s="13" t="s">
        <v>1924</v>
      </c>
      <c r="Y416" s="13" t="s">
        <v>2073</v>
      </c>
      <c r="Z416" s="13" t="s">
        <v>2073</v>
      </c>
      <c r="AA416" s="13" t="s">
        <v>2073</v>
      </c>
      <c r="AB416" s="13" t="s">
        <v>1924</v>
      </c>
      <c r="AC416" s="211" t="s">
        <v>2415</v>
      </c>
      <c r="AD416" s="13" t="s">
        <v>2416</v>
      </c>
      <c r="AE416" s="69" t="e">
        <f>VLOOKUP($B416,#REF!,4,FALSE)</f>
        <v>#REF!</v>
      </c>
      <c r="AF416" s="13" t="s">
        <v>2418</v>
      </c>
      <c r="AG416" s="13" t="s">
        <v>2419</v>
      </c>
      <c r="AH416" s="13" t="s">
        <v>2420</v>
      </c>
      <c r="AI416" s="13" t="s">
        <v>2421</v>
      </c>
      <c r="AJ416" s="13" t="s">
        <v>2422</v>
      </c>
      <c r="AK416" s="13" t="s">
        <v>2416</v>
      </c>
      <c r="AL416" s="13" t="s">
        <v>2077</v>
      </c>
      <c r="AM416" s="13" t="s">
        <v>2077</v>
      </c>
      <c r="AN416" s="13" t="s">
        <v>2077</v>
      </c>
      <c r="AO416" s="13" t="s">
        <v>2077</v>
      </c>
      <c r="AP416" s="13" t="s">
        <v>2077</v>
      </c>
      <c r="AQ416" s="13" t="s">
        <v>2077</v>
      </c>
      <c r="AR416" s="13" t="s">
        <v>2418</v>
      </c>
      <c r="AS416" s="13" t="s">
        <v>2419</v>
      </c>
      <c r="AT416" s="13" t="s">
        <v>2420</v>
      </c>
      <c r="AU416" s="13" t="s">
        <v>2421</v>
      </c>
      <c r="AV416" s="13" t="s">
        <v>2422</v>
      </c>
      <c r="AW416" s="13" t="s">
        <v>2416</v>
      </c>
      <c r="AX416" s="13" t="s">
        <v>2073</v>
      </c>
      <c r="AY416" s="13" t="s">
        <v>2073</v>
      </c>
      <c r="AZ416" s="13" t="s">
        <v>2073</v>
      </c>
      <c r="BA416" s="13" t="s">
        <v>2073</v>
      </c>
      <c r="BB416" s="13" t="s">
        <v>2073</v>
      </c>
      <c r="BC416" s="13" t="s">
        <v>2073</v>
      </c>
    </row>
    <row r="417" spans="1:55" ht="15.75" customHeight="1">
      <c r="A417" s="6">
        <v>2000</v>
      </c>
      <c r="B417" s="63" t="s">
        <v>1079</v>
      </c>
      <c r="C417" s="211" t="s">
        <v>2412</v>
      </c>
      <c r="D417" s="13" t="e">
        <f>VLOOKUP($B417,#REF!,2,FALSE)</f>
        <v>#REF!</v>
      </c>
      <c r="E417" s="13" t="e">
        <f>VLOOKUP($B417,#REF!,10,FALSE)</f>
        <v>#REF!</v>
      </c>
      <c r="F417" s="211" t="s">
        <v>2413</v>
      </c>
      <c r="G417" s="13" t="s">
        <v>2414</v>
      </c>
      <c r="H417" s="13" t="s">
        <v>2077</v>
      </c>
      <c r="I417" s="13" t="s">
        <v>2077</v>
      </c>
      <c r="J417" s="13" t="s">
        <v>2077</v>
      </c>
      <c r="K417" s="13" t="s">
        <v>2077</v>
      </c>
      <c r="L417" s="13" t="s">
        <v>2077</v>
      </c>
      <c r="M417" s="13" t="s">
        <v>2077</v>
      </c>
      <c r="N417" s="211" t="s">
        <v>2415</v>
      </c>
      <c r="O417" s="13" t="s">
        <v>2416</v>
      </c>
      <c r="P417" s="69" t="e">
        <f>VLOOKUP($B417,#REF!,2,FALSE)</f>
        <v>#REF!</v>
      </c>
      <c r="Q417" s="13" t="e">
        <f t="shared" si="398"/>
        <v>#REF!</v>
      </c>
      <c r="R417" s="216" t="e">
        <f>VLOOKUP($B417,#REF!,6,FALSE)</f>
        <v>#REF!</v>
      </c>
      <c r="S417" s="213" t="e">
        <f>VLOOKUP($B417,#REF!,7,FALSE)</f>
        <v>#REF!</v>
      </c>
      <c r="T417" s="13">
        <v>85</v>
      </c>
      <c r="U417" s="167" t="e">
        <f>VLOOKUP($B417,#REF!,9,FALSE)</f>
        <v>#REF!</v>
      </c>
      <c r="V417" s="13">
        <v>1</v>
      </c>
      <c r="W417" s="13" t="s">
        <v>2417</v>
      </c>
      <c r="X417" s="13" t="s">
        <v>1924</v>
      </c>
      <c r="Y417" s="13" t="s">
        <v>2073</v>
      </c>
      <c r="Z417" s="13" t="s">
        <v>2073</v>
      </c>
      <c r="AA417" s="13" t="s">
        <v>2073</v>
      </c>
      <c r="AB417" s="13" t="s">
        <v>1924</v>
      </c>
      <c r="AC417" s="211" t="s">
        <v>2415</v>
      </c>
      <c r="AD417" s="13" t="s">
        <v>2416</v>
      </c>
      <c r="AE417" s="69" t="e">
        <f>VLOOKUP($B417,#REF!,4,FALSE)</f>
        <v>#REF!</v>
      </c>
      <c r="AF417" s="13" t="s">
        <v>2418</v>
      </c>
      <c r="AG417" s="13" t="s">
        <v>2419</v>
      </c>
      <c r="AH417" s="13" t="s">
        <v>2420</v>
      </c>
      <c r="AI417" s="13" t="s">
        <v>2421</v>
      </c>
      <c r="AJ417" s="13" t="s">
        <v>2422</v>
      </c>
      <c r="AK417" s="13" t="s">
        <v>2416</v>
      </c>
      <c r="AL417" s="13" t="s">
        <v>2077</v>
      </c>
      <c r="AM417" s="13" t="s">
        <v>2077</v>
      </c>
      <c r="AN417" s="13" t="s">
        <v>2077</v>
      </c>
      <c r="AO417" s="13" t="s">
        <v>2077</v>
      </c>
      <c r="AP417" s="13" t="s">
        <v>2077</v>
      </c>
      <c r="AQ417" s="13" t="s">
        <v>2077</v>
      </c>
      <c r="AR417" s="13" t="s">
        <v>2418</v>
      </c>
      <c r="AS417" s="13" t="s">
        <v>2419</v>
      </c>
      <c r="AT417" s="13" t="s">
        <v>2420</v>
      </c>
      <c r="AU417" s="13" t="s">
        <v>2421</v>
      </c>
      <c r="AV417" s="13" t="s">
        <v>2422</v>
      </c>
      <c r="AW417" s="13" t="s">
        <v>2416</v>
      </c>
      <c r="AX417" s="13" t="s">
        <v>2073</v>
      </c>
      <c r="AY417" s="13" t="s">
        <v>2073</v>
      </c>
      <c r="AZ417" s="13" t="s">
        <v>2073</v>
      </c>
      <c r="BA417" s="13" t="s">
        <v>2073</v>
      </c>
      <c r="BB417" s="13" t="s">
        <v>2073</v>
      </c>
      <c r="BC417" s="13" t="s">
        <v>2073</v>
      </c>
    </row>
    <row r="418" spans="1:55" ht="15.75" customHeight="1">
      <c r="A418" s="6">
        <v>2000</v>
      </c>
      <c r="B418" s="63" t="s">
        <v>1084</v>
      </c>
      <c r="C418" s="211" t="s">
        <v>2412</v>
      </c>
      <c r="D418" s="13" t="e">
        <f>VLOOKUP($B418,#REF!,2,FALSE)</f>
        <v>#REF!</v>
      </c>
      <c r="E418" s="13" t="e">
        <f>VLOOKUP($B418,#REF!,10,FALSE)</f>
        <v>#REF!</v>
      </c>
      <c r="F418" s="211" t="s">
        <v>2413</v>
      </c>
      <c r="G418" s="13" t="s">
        <v>2414</v>
      </c>
      <c r="H418" s="13" t="s">
        <v>2077</v>
      </c>
      <c r="I418" s="13" t="s">
        <v>2077</v>
      </c>
      <c r="J418" s="13" t="s">
        <v>2077</v>
      </c>
      <c r="K418" s="13" t="s">
        <v>2077</v>
      </c>
      <c r="L418" s="13" t="s">
        <v>2077</v>
      </c>
      <c r="M418" s="13" t="s">
        <v>2077</v>
      </c>
      <c r="N418" s="211" t="s">
        <v>2415</v>
      </c>
      <c r="O418" s="13" t="s">
        <v>2416</v>
      </c>
      <c r="P418" s="69" t="e">
        <f>VLOOKUP($B418,#REF!,2,FALSE)</f>
        <v>#REF!</v>
      </c>
      <c r="Q418" s="13" t="e">
        <f t="shared" si="398"/>
        <v>#REF!</v>
      </c>
      <c r="R418" s="216" t="e">
        <f>VLOOKUP($B418,#REF!,6,FALSE)</f>
        <v>#REF!</v>
      </c>
      <c r="S418" s="213" t="e">
        <f>VLOOKUP($B418,#REF!,7,FALSE)</f>
        <v>#REF!</v>
      </c>
      <c r="T418" s="13">
        <v>85</v>
      </c>
      <c r="U418" s="167" t="e">
        <f>VLOOKUP($B418,#REF!,9,FALSE)</f>
        <v>#REF!</v>
      </c>
      <c r="V418" s="13">
        <v>1</v>
      </c>
      <c r="W418" s="13" t="s">
        <v>2417</v>
      </c>
      <c r="X418" s="13" t="s">
        <v>1924</v>
      </c>
      <c r="Y418" s="13" t="s">
        <v>2073</v>
      </c>
      <c r="Z418" s="13" t="s">
        <v>2073</v>
      </c>
      <c r="AA418" s="13" t="s">
        <v>2073</v>
      </c>
      <c r="AB418" s="13" t="s">
        <v>1924</v>
      </c>
      <c r="AC418" s="211" t="s">
        <v>2415</v>
      </c>
      <c r="AD418" s="13" t="s">
        <v>2416</v>
      </c>
      <c r="AE418" s="69" t="e">
        <f>VLOOKUP($B418,#REF!,4,FALSE)</f>
        <v>#REF!</v>
      </c>
      <c r="AF418" s="13" t="s">
        <v>2418</v>
      </c>
      <c r="AG418" s="13" t="s">
        <v>2419</v>
      </c>
      <c r="AH418" s="13" t="s">
        <v>2420</v>
      </c>
      <c r="AI418" s="13" t="s">
        <v>2421</v>
      </c>
      <c r="AJ418" s="13" t="s">
        <v>2422</v>
      </c>
      <c r="AK418" s="13" t="s">
        <v>2416</v>
      </c>
      <c r="AL418" s="13" t="s">
        <v>2077</v>
      </c>
      <c r="AM418" s="13" t="s">
        <v>2077</v>
      </c>
      <c r="AN418" s="13" t="s">
        <v>2077</v>
      </c>
      <c r="AO418" s="13" t="s">
        <v>2077</v>
      </c>
      <c r="AP418" s="13" t="s">
        <v>2077</v>
      </c>
      <c r="AQ418" s="13" t="s">
        <v>2077</v>
      </c>
      <c r="AR418" s="13" t="s">
        <v>2418</v>
      </c>
      <c r="AS418" s="13" t="s">
        <v>2419</v>
      </c>
      <c r="AT418" s="13" t="s">
        <v>2420</v>
      </c>
      <c r="AU418" s="13" t="s">
        <v>2421</v>
      </c>
      <c r="AV418" s="13" t="s">
        <v>2422</v>
      </c>
      <c r="AW418" s="13" t="s">
        <v>2416</v>
      </c>
      <c r="AX418" s="13" t="s">
        <v>2073</v>
      </c>
      <c r="AY418" s="13" t="s">
        <v>2073</v>
      </c>
      <c r="AZ418" s="13" t="s">
        <v>2073</v>
      </c>
      <c r="BA418" s="13" t="s">
        <v>2073</v>
      </c>
      <c r="BB418" s="13" t="s">
        <v>2073</v>
      </c>
      <c r="BC418" s="13" t="s">
        <v>2073</v>
      </c>
    </row>
    <row r="419" spans="1:55" ht="15.75" customHeight="1">
      <c r="A419" s="6">
        <v>2000</v>
      </c>
      <c r="B419" s="63" t="s">
        <v>1089</v>
      </c>
      <c r="C419" s="211" t="s">
        <v>2412</v>
      </c>
      <c r="D419" s="13" t="e">
        <f>VLOOKUP($B419,#REF!,2,FALSE)</f>
        <v>#REF!</v>
      </c>
      <c r="E419" s="13" t="e">
        <f>VLOOKUP($B419,#REF!,10,FALSE)</f>
        <v>#REF!</v>
      </c>
      <c r="F419" s="211" t="s">
        <v>2413</v>
      </c>
      <c r="G419" s="13" t="s">
        <v>2414</v>
      </c>
      <c r="H419" s="13" t="s">
        <v>2077</v>
      </c>
      <c r="I419" s="13" t="s">
        <v>2077</v>
      </c>
      <c r="J419" s="13" t="s">
        <v>2077</v>
      </c>
      <c r="K419" s="13" t="s">
        <v>2077</v>
      </c>
      <c r="L419" s="13" t="s">
        <v>2077</v>
      </c>
      <c r="M419" s="13" t="s">
        <v>2077</v>
      </c>
      <c r="N419" s="211" t="s">
        <v>2415</v>
      </c>
      <c r="O419" s="13" t="s">
        <v>2416</v>
      </c>
      <c r="P419" s="69" t="e">
        <f>VLOOKUP($B419,#REF!,2,FALSE)</f>
        <v>#REF!</v>
      </c>
      <c r="Q419" s="13" t="e">
        <f t="shared" si="398"/>
        <v>#REF!</v>
      </c>
      <c r="R419" s="216" t="e">
        <f>VLOOKUP($B419,#REF!,6,FALSE)</f>
        <v>#REF!</v>
      </c>
      <c r="S419" s="213" t="e">
        <f>VLOOKUP($B419,#REF!,7,FALSE)</f>
        <v>#REF!</v>
      </c>
      <c r="T419" s="13">
        <v>85</v>
      </c>
      <c r="U419" s="167" t="e">
        <f>VLOOKUP($B419,#REF!,9,FALSE)</f>
        <v>#REF!</v>
      </c>
      <c r="V419" s="13">
        <v>1</v>
      </c>
      <c r="W419" s="13" t="s">
        <v>2417</v>
      </c>
      <c r="X419" s="13" t="s">
        <v>1924</v>
      </c>
      <c r="Y419" s="13" t="s">
        <v>2073</v>
      </c>
      <c r="Z419" s="13" t="s">
        <v>2073</v>
      </c>
      <c r="AA419" s="13" t="s">
        <v>2073</v>
      </c>
      <c r="AB419" s="13" t="s">
        <v>1924</v>
      </c>
      <c r="AC419" s="211" t="s">
        <v>2415</v>
      </c>
      <c r="AD419" s="13" t="s">
        <v>2416</v>
      </c>
      <c r="AE419" s="69" t="e">
        <f>VLOOKUP($B419,#REF!,4,FALSE)</f>
        <v>#REF!</v>
      </c>
      <c r="AF419" s="13" t="s">
        <v>2418</v>
      </c>
      <c r="AG419" s="13" t="s">
        <v>2419</v>
      </c>
      <c r="AH419" s="13" t="s">
        <v>2420</v>
      </c>
      <c r="AI419" s="13" t="s">
        <v>2421</v>
      </c>
      <c r="AJ419" s="13" t="s">
        <v>2422</v>
      </c>
      <c r="AK419" s="13" t="s">
        <v>2416</v>
      </c>
      <c r="AL419" s="13" t="s">
        <v>2077</v>
      </c>
      <c r="AM419" s="13" t="s">
        <v>2077</v>
      </c>
      <c r="AN419" s="13" t="s">
        <v>2077</v>
      </c>
      <c r="AO419" s="13" t="s">
        <v>2077</v>
      </c>
      <c r="AP419" s="13" t="s">
        <v>2077</v>
      </c>
      <c r="AQ419" s="13" t="s">
        <v>2077</v>
      </c>
      <c r="AR419" s="13" t="s">
        <v>2418</v>
      </c>
      <c r="AS419" s="13" t="s">
        <v>2419</v>
      </c>
      <c r="AT419" s="13" t="s">
        <v>2420</v>
      </c>
      <c r="AU419" s="13" t="s">
        <v>2421</v>
      </c>
      <c r="AV419" s="13" t="s">
        <v>2422</v>
      </c>
      <c r="AW419" s="13" t="s">
        <v>2416</v>
      </c>
      <c r="AX419" s="13" t="s">
        <v>2073</v>
      </c>
      <c r="AY419" s="13" t="s">
        <v>2073</v>
      </c>
      <c r="AZ419" s="13" t="s">
        <v>2073</v>
      </c>
      <c r="BA419" s="13" t="s">
        <v>2073</v>
      </c>
      <c r="BB419" s="13" t="s">
        <v>2073</v>
      </c>
      <c r="BC419" s="13" t="s">
        <v>2073</v>
      </c>
    </row>
    <row r="420" spans="1:55" ht="15.75" customHeight="1">
      <c r="A420" s="6">
        <v>2000</v>
      </c>
      <c r="B420" s="63" t="s">
        <v>1094</v>
      </c>
      <c r="C420" s="211" t="s">
        <v>2412</v>
      </c>
      <c r="D420" s="13" t="e">
        <f>VLOOKUP($B420,#REF!,2,FALSE)</f>
        <v>#REF!</v>
      </c>
      <c r="E420" s="13" t="e">
        <f>VLOOKUP($B420,#REF!,10,FALSE)</f>
        <v>#REF!</v>
      </c>
      <c r="F420" s="211" t="s">
        <v>2413</v>
      </c>
      <c r="G420" s="13" t="s">
        <v>2414</v>
      </c>
      <c r="H420" s="13" t="s">
        <v>2077</v>
      </c>
      <c r="I420" s="13" t="s">
        <v>2077</v>
      </c>
      <c r="J420" s="13" t="s">
        <v>2077</v>
      </c>
      <c r="K420" s="13" t="s">
        <v>2077</v>
      </c>
      <c r="L420" s="13" t="s">
        <v>2077</v>
      </c>
      <c r="M420" s="13" t="s">
        <v>2077</v>
      </c>
      <c r="N420" s="211" t="s">
        <v>2415</v>
      </c>
      <c r="O420" s="13" t="s">
        <v>2416</v>
      </c>
      <c r="P420" s="69" t="e">
        <f>VLOOKUP($B420,#REF!,2,FALSE)</f>
        <v>#REF!</v>
      </c>
      <c r="Q420" s="13" t="e">
        <f t="shared" si="398"/>
        <v>#REF!</v>
      </c>
      <c r="R420" s="216" t="e">
        <f>VLOOKUP($B420,#REF!,6,FALSE)</f>
        <v>#REF!</v>
      </c>
      <c r="S420" s="213" t="e">
        <f>VLOOKUP($B420,#REF!,7,FALSE)</f>
        <v>#REF!</v>
      </c>
      <c r="T420" s="13">
        <v>85</v>
      </c>
      <c r="U420" s="167" t="e">
        <f>VLOOKUP($B420,#REF!,9,FALSE)</f>
        <v>#REF!</v>
      </c>
      <c r="V420" s="13">
        <v>1</v>
      </c>
      <c r="W420" s="13" t="s">
        <v>2417</v>
      </c>
      <c r="X420" s="13" t="s">
        <v>1924</v>
      </c>
      <c r="Y420" s="13" t="s">
        <v>2073</v>
      </c>
      <c r="Z420" s="13" t="s">
        <v>2073</v>
      </c>
      <c r="AA420" s="13" t="s">
        <v>2073</v>
      </c>
      <c r="AB420" s="13" t="s">
        <v>1924</v>
      </c>
      <c r="AC420" s="211" t="s">
        <v>2415</v>
      </c>
      <c r="AD420" s="13" t="s">
        <v>2416</v>
      </c>
      <c r="AE420" s="69" t="e">
        <f>VLOOKUP($B420,#REF!,4,FALSE)</f>
        <v>#REF!</v>
      </c>
      <c r="AF420" s="13" t="s">
        <v>2418</v>
      </c>
      <c r="AG420" s="13" t="s">
        <v>2419</v>
      </c>
      <c r="AH420" s="13" t="s">
        <v>2420</v>
      </c>
      <c r="AI420" s="13" t="s">
        <v>2421</v>
      </c>
      <c r="AJ420" s="13" t="s">
        <v>2422</v>
      </c>
      <c r="AK420" s="13" t="s">
        <v>2416</v>
      </c>
      <c r="AL420" s="13" t="s">
        <v>2077</v>
      </c>
      <c r="AM420" s="13" t="s">
        <v>2077</v>
      </c>
      <c r="AN420" s="13" t="s">
        <v>2077</v>
      </c>
      <c r="AO420" s="13" t="s">
        <v>2077</v>
      </c>
      <c r="AP420" s="13" t="s">
        <v>2077</v>
      </c>
      <c r="AQ420" s="13" t="s">
        <v>2077</v>
      </c>
      <c r="AR420" s="13" t="s">
        <v>2418</v>
      </c>
      <c r="AS420" s="13" t="s">
        <v>2419</v>
      </c>
      <c r="AT420" s="13" t="s">
        <v>2420</v>
      </c>
      <c r="AU420" s="13" t="s">
        <v>2421</v>
      </c>
      <c r="AV420" s="13" t="s">
        <v>2422</v>
      </c>
      <c r="AW420" s="13" t="s">
        <v>2416</v>
      </c>
      <c r="AX420" s="13" t="s">
        <v>2073</v>
      </c>
      <c r="AY420" s="13" t="s">
        <v>2073</v>
      </c>
      <c r="AZ420" s="13" t="s">
        <v>2073</v>
      </c>
      <c r="BA420" s="13" t="s">
        <v>2073</v>
      </c>
      <c r="BB420" s="13" t="s">
        <v>2073</v>
      </c>
      <c r="BC420" s="13" t="s">
        <v>2073</v>
      </c>
    </row>
    <row r="421" spans="1:55" ht="15.75" customHeight="1">
      <c r="A421" s="6">
        <v>2000</v>
      </c>
      <c r="B421" s="63" t="s">
        <v>1099</v>
      </c>
      <c r="C421" s="211" t="s">
        <v>2412</v>
      </c>
      <c r="D421" s="13" t="e">
        <f>VLOOKUP($B421,#REF!,2,FALSE)</f>
        <v>#REF!</v>
      </c>
      <c r="E421" s="13" t="e">
        <f>VLOOKUP($B421,#REF!,10,FALSE)</f>
        <v>#REF!</v>
      </c>
      <c r="F421" s="211" t="s">
        <v>2413</v>
      </c>
      <c r="G421" s="13" t="s">
        <v>2414</v>
      </c>
      <c r="H421" s="13" t="s">
        <v>2077</v>
      </c>
      <c r="I421" s="13" t="s">
        <v>2077</v>
      </c>
      <c r="J421" s="13" t="s">
        <v>2077</v>
      </c>
      <c r="K421" s="13" t="s">
        <v>2077</v>
      </c>
      <c r="L421" s="13" t="s">
        <v>2077</v>
      </c>
      <c r="M421" s="13" t="s">
        <v>2077</v>
      </c>
      <c r="N421" s="211" t="s">
        <v>2415</v>
      </c>
      <c r="O421" s="13" t="s">
        <v>2416</v>
      </c>
      <c r="P421" s="69" t="e">
        <f>VLOOKUP($B421,#REF!,2,FALSE)</f>
        <v>#REF!</v>
      </c>
      <c r="Q421" s="13" t="e">
        <f t="shared" si="398"/>
        <v>#REF!</v>
      </c>
      <c r="R421" s="216" t="e">
        <f>VLOOKUP($B421,#REF!,6,FALSE)</f>
        <v>#REF!</v>
      </c>
      <c r="S421" s="213" t="e">
        <f>VLOOKUP($B421,#REF!,7,FALSE)</f>
        <v>#REF!</v>
      </c>
      <c r="T421" s="13">
        <v>85</v>
      </c>
      <c r="U421" s="167" t="e">
        <f>VLOOKUP($B421,#REF!,9,FALSE)</f>
        <v>#REF!</v>
      </c>
      <c r="V421" s="13">
        <v>1</v>
      </c>
      <c r="W421" s="13" t="s">
        <v>2417</v>
      </c>
      <c r="X421" s="13" t="s">
        <v>1924</v>
      </c>
      <c r="Y421" s="13" t="s">
        <v>2073</v>
      </c>
      <c r="Z421" s="13" t="s">
        <v>2073</v>
      </c>
      <c r="AA421" s="13" t="s">
        <v>2073</v>
      </c>
      <c r="AB421" s="13" t="s">
        <v>1924</v>
      </c>
      <c r="AC421" s="211" t="s">
        <v>2415</v>
      </c>
      <c r="AD421" s="13" t="s">
        <v>2416</v>
      </c>
      <c r="AE421" s="69" t="e">
        <f>VLOOKUP($B421,#REF!,4,FALSE)</f>
        <v>#REF!</v>
      </c>
      <c r="AF421" s="13" t="s">
        <v>2418</v>
      </c>
      <c r="AG421" s="13" t="s">
        <v>2419</v>
      </c>
      <c r="AH421" s="13" t="s">
        <v>2420</v>
      </c>
      <c r="AI421" s="13" t="s">
        <v>2421</v>
      </c>
      <c r="AJ421" s="13" t="s">
        <v>2422</v>
      </c>
      <c r="AK421" s="13" t="s">
        <v>2416</v>
      </c>
      <c r="AL421" s="13" t="s">
        <v>2077</v>
      </c>
      <c r="AM421" s="13" t="s">
        <v>2077</v>
      </c>
      <c r="AN421" s="13" t="s">
        <v>2077</v>
      </c>
      <c r="AO421" s="13" t="s">
        <v>2077</v>
      </c>
      <c r="AP421" s="13" t="s">
        <v>2077</v>
      </c>
      <c r="AQ421" s="13" t="s">
        <v>2077</v>
      </c>
      <c r="AR421" s="13" t="s">
        <v>2418</v>
      </c>
      <c r="AS421" s="13" t="s">
        <v>2419</v>
      </c>
      <c r="AT421" s="13" t="s">
        <v>2420</v>
      </c>
      <c r="AU421" s="13" t="s">
        <v>2421</v>
      </c>
      <c r="AV421" s="13" t="s">
        <v>2422</v>
      </c>
      <c r="AW421" s="13" t="s">
        <v>2416</v>
      </c>
      <c r="AX421" s="13" t="s">
        <v>2073</v>
      </c>
      <c r="AY421" s="13" t="s">
        <v>2073</v>
      </c>
      <c r="AZ421" s="13" t="s">
        <v>2073</v>
      </c>
      <c r="BA421" s="13" t="s">
        <v>2073</v>
      </c>
      <c r="BB421" s="13" t="s">
        <v>2073</v>
      </c>
      <c r="BC421" s="13" t="s">
        <v>2073</v>
      </c>
    </row>
    <row r="422" spans="1:55" ht="15.75" customHeight="1">
      <c r="A422" s="6">
        <v>2000</v>
      </c>
      <c r="B422" s="63" t="s">
        <v>1114</v>
      </c>
      <c r="C422" s="211" t="s">
        <v>2412</v>
      </c>
      <c r="D422" s="13" t="e">
        <f>VLOOKUP($B422,#REF!,2,FALSE)</f>
        <v>#REF!</v>
      </c>
      <c r="E422" s="13" t="e">
        <f>VLOOKUP($B422,#REF!,10,FALSE)</f>
        <v>#REF!</v>
      </c>
      <c r="F422" s="211" t="s">
        <v>2413</v>
      </c>
      <c r="G422" s="13" t="s">
        <v>2414</v>
      </c>
      <c r="H422" s="13" t="s">
        <v>2077</v>
      </c>
      <c r="I422" s="13" t="s">
        <v>2077</v>
      </c>
      <c r="J422" s="13" t="s">
        <v>2077</v>
      </c>
      <c r="K422" s="13" t="s">
        <v>2077</v>
      </c>
      <c r="L422" s="13" t="s">
        <v>2077</v>
      </c>
      <c r="M422" s="13" t="s">
        <v>2077</v>
      </c>
      <c r="N422" s="211" t="s">
        <v>2415</v>
      </c>
      <c r="O422" s="13" t="s">
        <v>2416</v>
      </c>
      <c r="P422" s="69" t="e">
        <f>VLOOKUP($B422,#REF!,2,FALSE)</f>
        <v>#REF!</v>
      </c>
      <c r="Q422" s="13" t="e">
        <f t="shared" si="398"/>
        <v>#REF!</v>
      </c>
      <c r="R422" s="216" t="e">
        <f>VLOOKUP($B422,#REF!,6,FALSE)</f>
        <v>#REF!</v>
      </c>
      <c r="S422" s="213" t="e">
        <f>VLOOKUP($B422,#REF!,7,FALSE)</f>
        <v>#REF!</v>
      </c>
      <c r="T422" s="13">
        <v>85</v>
      </c>
      <c r="U422" s="167" t="e">
        <f>VLOOKUP($B422,#REF!,9,FALSE)</f>
        <v>#REF!</v>
      </c>
      <c r="V422" s="13">
        <v>1</v>
      </c>
      <c r="W422" s="13" t="s">
        <v>2417</v>
      </c>
      <c r="X422" s="13" t="s">
        <v>1924</v>
      </c>
      <c r="Y422" s="13" t="s">
        <v>2073</v>
      </c>
      <c r="Z422" s="13" t="s">
        <v>2073</v>
      </c>
      <c r="AA422" s="13" t="s">
        <v>2073</v>
      </c>
      <c r="AB422" s="13" t="s">
        <v>1924</v>
      </c>
      <c r="AC422" s="211" t="s">
        <v>2415</v>
      </c>
      <c r="AD422" s="13" t="s">
        <v>2416</v>
      </c>
      <c r="AE422" s="69" t="e">
        <f>VLOOKUP($B422,#REF!,4,FALSE)</f>
        <v>#REF!</v>
      </c>
      <c r="AF422" s="13" t="s">
        <v>2418</v>
      </c>
      <c r="AG422" s="13" t="s">
        <v>2419</v>
      </c>
      <c r="AH422" s="13" t="s">
        <v>2420</v>
      </c>
      <c r="AI422" s="13" t="s">
        <v>2421</v>
      </c>
      <c r="AJ422" s="13" t="s">
        <v>2422</v>
      </c>
      <c r="AK422" s="13" t="s">
        <v>2416</v>
      </c>
      <c r="AL422" s="13" t="s">
        <v>2077</v>
      </c>
      <c r="AM422" s="13" t="s">
        <v>2077</v>
      </c>
      <c r="AN422" s="13" t="s">
        <v>2077</v>
      </c>
      <c r="AO422" s="13" t="s">
        <v>2077</v>
      </c>
      <c r="AP422" s="13" t="s">
        <v>2077</v>
      </c>
      <c r="AQ422" s="13" t="s">
        <v>2077</v>
      </c>
      <c r="AR422" s="13" t="s">
        <v>2418</v>
      </c>
      <c r="AS422" s="13" t="s">
        <v>2419</v>
      </c>
      <c r="AT422" s="13" t="s">
        <v>2420</v>
      </c>
      <c r="AU422" s="13" t="s">
        <v>2421</v>
      </c>
      <c r="AV422" s="13" t="s">
        <v>2422</v>
      </c>
      <c r="AW422" s="13" t="s">
        <v>2416</v>
      </c>
      <c r="AX422" s="13" t="s">
        <v>2073</v>
      </c>
      <c r="AY422" s="13" t="s">
        <v>2073</v>
      </c>
      <c r="AZ422" s="13" t="s">
        <v>2073</v>
      </c>
      <c r="BA422" s="13" t="s">
        <v>2073</v>
      </c>
      <c r="BB422" s="13" t="s">
        <v>2073</v>
      </c>
      <c r="BC422" s="13" t="s">
        <v>2073</v>
      </c>
    </row>
    <row r="423" spans="1:55" ht="15.75" customHeight="1">
      <c r="A423" s="6">
        <v>2000</v>
      </c>
      <c r="B423" s="63" t="s">
        <v>1118</v>
      </c>
      <c r="C423" s="211" t="s">
        <v>2412</v>
      </c>
      <c r="D423" s="13" t="e">
        <f>VLOOKUP($B423,#REF!,2,FALSE)</f>
        <v>#REF!</v>
      </c>
      <c r="E423" s="13" t="e">
        <f>VLOOKUP($B423,#REF!,10,FALSE)</f>
        <v>#REF!</v>
      </c>
      <c r="F423" s="211" t="s">
        <v>2413</v>
      </c>
      <c r="G423" s="13" t="s">
        <v>2414</v>
      </c>
      <c r="H423" s="13" t="s">
        <v>2077</v>
      </c>
      <c r="I423" s="13" t="s">
        <v>2077</v>
      </c>
      <c r="J423" s="13" t="s">
        <v>2077</v>
      </c>
      <c r="K423" s="13" t="s">
        <v>2077</v>
      </c>
      <c r="L423" s="13" t="s">
        <v>2077</v>
      </c>
      <c r="M423" s="13" t="s">
        <v>2077</v>
      </c>
      <c r="N423" s="211" t="s">
        <v>2415</v>
      </c>
      <c r="O423" s="13" t="s">
        <v>2416</v>
      </c>
      <c r="P423" s="69" t="e">
        <f>VLOOKUP($B423,#REF!,2,FALSE)</f>
        <v>#REF!</v>
      </c>
      <c r="Q423" s="13" t="e">
        <f t="shared" si="398"/>
        <v>#REF!</v>
      </c>
      <c r="R423" s="215" t="e">
        <f>VLOOKUP($B423,#REF!,6,FALSE)</f>
        <v>#REF!</v>
      </c>
      <c r="S423" s="215" t="e">
        <f>VLOOKUP($B423,#REF!,7,FALSE)</f>
        <v>#REF!</v>
      </c>
      <c r="T423" s="13">
        <v>85</v>
      </c>
      <c r="U423" s="167" t="e">
        <f>VLOOKUP($B423,#REF!,9,FALSE)</f>
        <v>#REF!</v>
      </c>
      <c r="V423" s="13">
        <v>1</v>
      </c>
      <c r="W423" s="13" t="s">
        <v>2417</v>
      </c>
      <c r="X423" s="13" t="s">
        <v>1924</v>
      </c>
      <c r="Y423" s="13" t="s">
        <v>2073</v>
      </c>
      <c r="Z423" s="13" t="s">
        <v>2073</v>
      </c>
      <c r="AA423" s="13" t="s">
        <v>2073</v>
      </c>
      <c r="AB423" s="13" t="s">
        <v>1924</v>
      </c>
      <c r="AC423" s="211" t="s">
        <v>2415</v>
      </c>
      <c r="AD423" s="13" t="s">
        <v>2416</v>
      </c>
      <c r="AE423" s="69" t="e">
        <f>VLOOKUP($B423,#REF!,4,FALSE)</f>
        <v>#REF!</v>
      </c>
      <c r="AF423" s="13" t="s">
        <v>2418</v>
      </c>
      <c r="AG423" s="13" t="s">
        <v>2419</v>
      </c>
      <c r="AH423" s="13" t="s">
        <v>2420</v>
      </c>
      <c r="AI423" s="13" t="s">
        <v>2421</v>
      </c>
      <c r="AJ423" s="13" t="s">
        <v>2422</v>
      </c>
      <c r="AK423" s="13" t="s">
        <v>2416</v>
      </c>
      <c r="AL423" s="13" t="s">
        <v>2077</v>
      </c>
      <c r="AM423" s="13" t="s">
        <v>2077</v>
      </c>
      <c r="AN423" s="13" t="s">
        <v>2077</v>
      </c>
      <c r="AO423" s="13" t="s">
        <v>2077</v>
      </c>
      <c r="AP423" s="13" t="s">
        <v>2077</v>
      </c>
      <c r="AQ423" s="13" t="s">
        <v>2077</v>
      </c>
      <c r="AR423" s="13" t="s">
        <v>2418</v>
      </c>
      <c r="AS423" s="13" t="s">
        <v>2419</v>
      </c>
      <c r="AT423" s="13" t="s">
        <v>2420</v>
      </c>
      <c r="AU423" s="13" t="s">
        <v>2421</v>
      </c>
      <c r="AV423" s="13" t="s">
        <v>2422</v>
      </c>
      <c r="AW423" s="13" t="s">
        <v>2416</v>
      </c>
      <c r="AX423" s="13" t="s">
        <v>2073</v>
      </c>
      <c r="AY423" s="13" t="s">
        <v>2073</v>
      </c>
      <c r="AZ423" s="13" t="s">
        <v>2073</v>
      </c>
      <c r="BA423" s="13" t="s">
        <v>2073</v>
      </c>
      <c r="BB423" s="13" t="s">
        <v>2073</v>
      </c>
      <c r="BC423" s="13" t="s">
        <v>2073</v>
      </c>
    </row>
    <row r="424" spans="1:55" ht="15.75" customHeight="1">
      <c r="A424" s="6">
        <v>2000</v>
      </c>
      <c r="B424" s="63" t="s">
        <v>1122</v>
      </c>
      <c r="C424" s="211" t="s">
        <v>2412</v>
      </c>
      <c r="D424" s="13" t="e">
        <f>VLOOKUP($B424,#REF!,2,FALSE)</f>
        <v>#REF!</v>
      </c>
      <c r="E424" s="13" t="e">
        <f>VLOOKUP($B424,#REF!,10,FALSE)</f>
        <v>#REF!</v>
      </c>
      <c r="F424" s="211" t="s">
        <v>2413</v>
      </c>
      <c r="G424" s="13" t="s">
        <v>2414</v>
      </c>
      <c r="H424" s="13" t="s">
        <v>2077</v>
      </c>
      <c r="I424" s="13" t="s">
        <v>2077</v>
      </c>
      <c r="J424" s="13" t="s">
        <v>2077</v>
      </c>
      <c r="K424" s="13" t="s">
        <v>2077</v>
      </c>
      <c r="L424" s="13" t="s">
        <v>2077</v>
      </c>
      <c r="M424" s="13" t="s">
        <v>2077</v>
      </c>
      <c r="N424" s="211" t="s">
        <v>2415</v>
      </c>
      <c r="O424" s="13" t="s">
        <v>2416</v>
      </c>
      <c r="P424" s="69" t="e">
        <f>VLOOKUP($B424,#REF!,2,FALSE)</f>
        <v>#REF!</v>
      </c>
      <c r="Q424" s="13" t="e">
        <f t="shared" si="398"/>
        <v>#REF!</v>
      </c>
      <c r="R424" s="215" t="e">
        <f>VLOOKUP($B424,#REF!,6,FALSE)</f>
        <v>#REF!</v>
      </c>
      <c r="S424" s="216" t="e">
        <f>VLOOKUP($B424,#REF!,7,FALSE)</f>
        <v>#REF!</v>
      </c>
      <c r="T424" s="13">
        <v>85</v>
      </c>
      <c r="U424" s="217" t="e">
        <f>VLOOKUP($B424,#REF!,9,FALSE)</f>
        <v>#REF!</v>
      </c>
      <c r="V424" s="13">
        <v>1</v>
      </c>
      <c r="W424" s="13" t="s">
        <v>2417</v>
      </c>
      <c r="X424" s="13" t="s">
        <v>1924</v>
      </c>
      <c r="Y424" s="13" t="s">
        <v>2073</v>
      </c>
      <c r="Z424" s="13" t="s">
        <v>2073</v>
      </c>
      <c r="AA424" s="13" t="s">
        <v>2073</v>
      </c>
      <c r="AB424" s="13" t="s">
        <v>1924</v>
      </c>
      <c r="AC424" s="211" t="s">
        <v>2415</v>
      </c>
      <c r="AD424" s="13" t="s">
        <v>2416</v>
      </c>
      <c r="AE424" s="69" t="e">
        <f>VLOOKUP($B424,#REF!,4,FALSE)</f>
        <v>#REF!</v>
      </c>
      <c r="AF424" s="13" t="s">
        <v>2418</v>
      </c>
      <c r="AG424" s="13" t="s">
        <v>2419</v>
      </c>
      <c r="AH424" s="13" t="s">
        <v>2420</v>
      </c>
      <c r="AI424" s="13" t="s">
        <v>2421</v>
      </c>
      <c r="AJ424" s="13" t="s">
        <v>2422</v>
      </c>
      <c r="AK424" s="13" t="s">
        <v>2416</v>
      </c>
      <c r="AL424" s="13" t="s">
        <v>2077</v>
      </c>
      <c r="AM424" s="13" t="s">
        <v>2077</v>
      </c>
      <c r="AN424" s="13" t="s">
        <v>2077</v>
      </c>
      <c r="AO424" s="13" t="s">
        <v>2077</v>
      </c>
      <c r="AP424" s="13" t="s">
        <v>2077</v>
      </c>
      <c r="AQ424" s="13" t="s">
        <v>2077</v>
      </c>
      <c r="AR424" s="13" t="s">
        <v>2418</v>
      </c>
      <c r="AS424" s="13" t="s">
        <v>2419</v>
      </c>
      <c r="AT424" s="13" t="s">
        <v>2420</v>
      </c>
      <c r="AU424" s="13" t="s">
        <v>2421</v>
      </c>
      <c r="AV424" s="13" t="s">
        <v>2422</v>
      </c>
      <c r="AW424" s="13" t="s">
        <v>2416</v>
      </c>
      <c r="AX424" s="13" t="s">
        <v>2073</v>
      </c>
      <c r="AY424" s="13" t="s">
        <v>2073</v>
      </c>
      <c r="AZ424" s="13" t="s">
        <v>2073</v>
      </c>
      <c r="BA424" s="13" t="s">
        <v>2073</v>
      </c>
      <c r="BB424" s="13" t="s">
        <v>2073</v>
      </c>
      <c r="BC424" s="13" t="s">
        <v>2073</v>
      </c>
    </row>
    <row r="425" spans="1:55" ht="15.75" customHeight="1">
      <c r="A425" s="6">
        <v>2000</v>
      </c>
      <c r="B425" s="63" t="s">
        <v>1126</v>
      </c>
      <c r="C425" s="211" t="s">
        <v>2412</v>
      </c>
      <c r="D425" s="13" t="e">
        <f>VLOOKUP($B425,#REF!,2,FALSE)</f>
        <v>#REF!</v>
      </c>
      <c r="E425" s="13" t="e">
        <f>VLOOKUP($B425,#REF!,10,FALSE)</f>
        <v>#REF!</v>
      </c>
      <c r="F425" s="211" t="s">
        <v>2413</v>
      </c>
      <c r="G425" s="13" t="s">
        <v>2414</v>
      </c>
      <c r="H425" s="13" t="s">
        <v>2077</v>
      </c>
      <c r="I425" s="13" t="s">
        <v>2077</v>
      </c>
      <c r="J425" s="13" t="s">
        <v>2077</v>
      </c>
      <c r="K425" s="13" t="s">
        <v>2077</v>
      </c>
      <c r="L425" s="13" t="s">
        <v>2077</v>
      </c>
      <c r="M425" s="13" t="s">
        <v>2077</v>
      </c>
      <c r="N425" s="211" t="s">
        <v>2415</v>
      </c>
      <c r="O425" s="13" t="s">
        <v>2416</v>
      </c>
      <c r="P425" s="69" t="e">
        <f>VLOOKUP($B425,#REF!,2,FALSE)</f>
        <v>#REF!</v>
      </c>
      <c r="Q425" s="13" t="e">
        <f t="shared" si="398"/>
        <v>#REF!</v>
      </c>
      <c r="R425" s="215" t="e">
        <f>VLOOKUP($B425,#REF!,6,FALSE)</f>
        <v>#REF!</v>
      </c>
      <c r="S425" s="216" t="e">
        <f>VLOOKUP($B425,#REF!,7,FALSE)</f>
        <v>#REF!</v>
      </c>
      <c r="T425" s="13">
        <v>85</v>
      </c>
      <c r="U425" s="217" t="e">
        <f>VLOOKUP($B425,#REF!,9,FALSE)</f>
        <v>#REF!</v>
      </c>
      <c r="V425" s="13">
        <v>1</v>
      </c>
      <c r="W425" s="13" t="s">
        <v>2417</v>
      </c>
      <c r="X425" s="13" t="s">
        <v>1924</v>
      </c>
      <c r="Y425" s="13" t="s">
        <v>2073</v>
      </c>
      <c r="Z425" s="13" t="s">
        <v>2073</v>
      </c>
      <c r="AA425" s="13" t="s">
        <v>2073</v>
      </c>
      <c r="AB425" s="13" t="s">
        <v>1924</v>
      </c>
      <c r="AC425" s="211" t="s">
        <v>2415</v>
      </c>
      <c r="AD425" s="13" t="s">
        <v>2416</v>
      </c>
      <c r="AE425" s="69" t="e">
        <f>VLOOKUP($B425,#REF!,4,FALSE)</f>
        <v>#REF!</v>
      </c>
      <c r="AF425" s="13" t="s">
        <v>2418</v>
      </c>
      <c r="AG425" s="13" t="s">
        <v>2419</v>
      </c>
      <c r="AH425" s="13" t="s">
        <v>2420</v>
      </c>
      <c r="AI425" s="13" t="s">
        <v>2421</v>
      </c>
      <c r="AJ425" s="13" t="s">
        <v>2422</v>
      </c>
      <c r="AK425" s="13" t="s">
        <v>2416</v>
      </c>
      <c r="AL425" s="13" t="s">
        <v>2077</v>
      </c>
      <c r="AM425" s="13" t="s">
        <v>2077</v>
      </c>
      <c r="AN425" s="13" t="s">
        <v>2077</v>
      </c>
      <c r="AO425" s="13" t="s">
        <v>2077</v>
      </c>
      <c r="AP425" s="13" t="s">
        <v>2077</v>
      </c>
      <c r="AQ425" s="13" t="s">
        <v>2077</v>
      </c>
      <c r="AR425" s="13" t="s">
        <v>2418</v>
      </c>
      <c r="AS425" s="13" t="s">
        <v>2419</v>
      </c>
      <c r="AT425" s="13" t="s">
        <v>2420</v>
      </c>
      <c r="AU425" s="13" t="s">
        <v>2421</v>
      </c>
      <c r="AV425" s="13" t="s">
        <v>2422</v>
      </c>
      <c r="AW425" s="13" t="s">
        <v>2416</v>
      </c>
      <c r="AX425" s="13" t="s">
        <v>2073</v>
      </c>
      <c r="AY425" s="13" t="s">
        <v>2073</v>
      </c>
      <c r="AZ425" s="13" t="s">
        <v>2073</v>
      </c>
      <c r="BA425" s="13" t="s">
        <v>2073</v>
      </c>
      <c r="BB425" s="13" t="s">
        <v>2073</v>
      </c>
      <c r="BC425" s="13" t="s">
        <v>2073</v>
      </c>
    </row>
    <row r="426" spans="1:55" ht="15.75" customHeight="1">
      <c r="A426" s="6">
        <v>2000</v>
      </c>
      <c r="B426" s="63" t="s">
        <v>1129</v>
      </c>
      <c r="C426" s="211" t="s">
        <v>2412</v>
      </c>
      <c r="D426" s="13" t="e">
        <f>VLOOKUP($B426,#REF!,2,FALSE)</f>
        <v>#REF!</v>
      </c>
      <c r="E426" s="13" t="e">
        <f>VLOOKUP($B426,#REF!,10,FALSE)</f>
        <v>#REF!</v>
      </c>
      <c r="F426" s="211" t="s">
        <v>2413</v>
      </c>
      <c r="G426" s="13" t="s">
        <v>2414</v>
      </c>
      <c r="H426" s="13" t="s">
        <v>2077</v>
      </c>
      <c r="I426" s="13" t="s">
        <v>2077</v>
      </c>
      <c r="J426" s="13" t="s">
        <v>2077</v>
      </c>
      <c r="K426" s="13" t="s">
        <v>2077</v>
      </c>
      <c r="L426" s="13" t="s">
        <v>2077</v>
      </c>
      <c r="M426" s="13" t="s">
        <v>2077</v>
      </c>
      <c r="N426" s="211" t="s">
        <v>2415</v>
      </c>
      <c r="O426" s="13" t="s">
        <v>2416</v>
      </c>
      <c r="P426" s="69" t="e">
        <f>VLOOKUP($B426,#REF!,2,FALSE)</f>
        <v>#REF!</v>
      </c>
      <c r="Q426" s="13" t="e">
        <f t="shared" si="398"/>
        <v>#REF!</v>
      </c>
      <c r="R426" s="215" t="e">
        <f>VLOOKUP($B426,#REF!,6,FALSE)</f>
        <v>#REF!</v>
      </c>
      <c r="S426" s="216" t="e">
        <f>VLOOKUP($B426,#REF!,7,FALSE)</f>
        <v>#REF!</v>
      </c>
      <c r="T426" s="13">
        <v>85</v>
      </c>
      <c r="U426" s="217" t="e">
        <f>VLOOKUP($B426,#REF!,9,FALSE)</f>
        <v>#REF!</v>
      </c>
      <c r="V426" s="13">
        <v>1</v>
      </c>
      <c r="W426" s="13" t="s">
        <v>2417</v>
      </c>
      <c r="X426" s="13" t="s">
        <v>1924</v>
      </c>
      <c r="Y426" s="13" t="s">
        <v>2073</v>
      </c>
      <c r="Z426" s="13" t="s">
        <v>2073</v>
      </c>
      <c r="AA426" s="13" t="s">
        <v>2073</v>
      </c>
      <c r="AB426" s="13" t="s">
        <v>1924</v>
      </c>
      <c r="AC426" s="211" t="s">
        <v>2415</v>
      </c>
      <c r="AD426" s="13" t="s">
        <v>2416</v>
      </c>
      <c r="AE426" s="69" t="e">
        <f>VLOOKUP($B426,#REF!,4,FALSE)</f>
        <v>#REF!</v>
      </c>
      <c r="AF426" s="13" t="s">
        <v>2418</v>
      </c>
      <c r="AG426" s="13" t="s">
        <v>2419</v>
      </c>
      <c r="AH426" s="13" t="s">
        <v>2420</v>
      </c>
      <c r="AI426" s="13" t="s">
        <v>2421</v>
      </c>
      <c r="AJ426" s="13" t="s">
        <v>2422</v>
      </c>
      <c r="AK426" s="13" t="s">
        <v>2416</v>
      </c>
      <c r="AL426" s="13" t="s">
        <v>2077</v>
      </c>
      <c r="AM426" s="13" t="s">
        <v>2077</v>
      </c>
      <c r="AN426" s="13" t="s">
        <v>2077</v>
      </c>
      <c r="AO426" s="13" t="s">
        <v>2077</v>
      </c>
      <c r="AP426" s="13" t="s">
        <v>2077</v>
      </c>
      <c r="AQ426" s="13" t="s">
        <v>2077</v>
      </c>
      <c r="AR426" s="13" t="s">
        <v>2418</v>
      </c>
      <c r="AS426" s="13" t="s">
        <v>2419</v>
      </c>
      <c r="AT426" s="13" t="s">
        <v>2420</v>
      </c>
      <c r="AU426" s="13" t="s">
        <v>2421</v>
      </c>
      <c r="AV426" s="13" t="s">
        <v>2422</v>
      </c>
      <c r="AW426" s="13" t="s">
        <v>2416</v>
      </c>
      <c r="AX426" s="13" t="s">
        <v>2073</v>
      </c>
      <c r="AY426" s="13" t="s">
        <v>2073</v>
      </c>
      <c r="AZ426" s="13" t="s">
        <v>2073</v>
      </c>
      <c r="BA426" s="13" t="s">
        <v>2073</v>
      </c>
      <c r="BB426" s="13" t="s">
        <v>2073</v>
      </c>
      <c r="BC426" s="13" t="s">
        <v>2073</v>
      </c>
    </row>
    <row r="427" spans="1:55" ht="15.75" customHeight="1">
      <c r="A427" s="6">
        <v>2000</v>
      </c>
      <c r="B427" s="63" t="s">
        <v>1132</v>
      </c>
      <c r="C427" s="211" t="s">
        <v>2412</v>
      </c>
      <c r="D427" s="13" t="e">
        <f>VLOOKUP($B427,#REF!,2,FALSE)</f>
        <v>#REF!</v>
      </c>
      <c r="E427" s="13" t="e">
        <f>VLOOKUP($B427,#REF!,10,FALSE)</f>
        <v>#REF!</v>
      </c>
      <c r="F427" s="211" t="s">
        <v>2413</v>
      </c>
      <c r="G427" s="13" t="s">
        <v>2414</v>
      </c>
      <c r="H427" s="13" t="s">
        <v>2077</v>
      </c>
      <c r="I427" s="13" t="s">
        <v>2077</v>
      </c>
      <c r="J427" s="13" t="s">
        <v>2077</v>
      </c>
      <c r="K427" s="13" t="s">
        <v>2077</v>
      </c>
      <c r="L427" s="13" t="s">
        <v>2077</v>
      </c>
      <c r="M427" s="13" t="s">
        <v>2077</v>
      </c>
      <c r="N427" s="211" t="s">
        <v>2415</v>
      </c>
      <c r="O427" s="13" t="s">
        <v>2416</v>
      </c>
      <c r="P427" s="69" t="e">
        <f>VLOOKUP($B427,#REF!,2,FALSE)</f>
        <v>#REF!</v>
      </c>
      <c r="Q427" s="13" t="e">
        <f t="shared" si="398"/>
        <v>#REF!</v>
      </c>
      <c r="R427" s="215" t="e">
        <f>VLOOKUP($B427,#REF!,6,FALSE)</f>
        <v>#REF!</v>
      </c>
      <c r="S427" s="216" t="e">
        <f>VLOOKUP($B427,#REF!,7,FALSE)</f>
        <v>#REF!</v>
      </c>
      <c r="T427" s="13">
        <v>85</v>
      </c>
      <c r="U427" s="217" t="e">
        <f>VLOOKUP($B427,#REF!,9,FALSE)</f>
        <v>#REF!</v>
      </c>
      <c r="V427" s="13">
        <v>1</v>
      </c>
      <c r="W427" s="13" t="s">
        <v>2417</v>
      </c>
      <c r="X427" s="13" t="s">
        <v>1924</v>
      </c>
      <c r="Y427" s="13" t="s">
        <v>2073</v>
      </c>
      <c r="Z427" s="13" t="s">
        <v>2073</v>
      </c>
      <c r="AA427" s="13" t="s">
        <v>2073</v>
      </c>
      <c r="AB427" s="13" t="s">
        <v>1924</v>
      </c>
      <c r="AC427" s="211" t="s">
        <v>2415</v>
      </c>
      <c r="AD427" s="13" t="s">
        <v>2416</v>
      </c>
      <c r="AE427" s="69" t="e">
        <f>VLOOKUP($B427,#REF!,4,FALSE)</f>
        <v>#REF!</v>
      </c>
      <c r="AF427" s="13" t="s">
        <v>2418</v>
      </c>
      <c r="AG427" s="13" t="s">
        <v>2419</v>
      </c>
      <c r="AH427" s="13" t="s">
        <v>2420</v>
      </c>
      <c r="AI427" s="13" t="s">
        <v>2421</v>
      </c>
      <c r="AJ427" s="13" t="s">
        <v>2422</v>
      </c>
      <c r="AK427" s="13" t="s">
        <v>2416</v>
      </c>
      <c r="AL427" s="13" t="s">
        <v>2077</v>
      </c>
      <c r="AM427" s="13" t="s">
        <v>2077</v>
      </c>
      <c r="AN427" s="13" t="s">
        <v>2077</v>
      </c>
      <c r="AO427" s="13" t="s">
        <v>2077</v>
      </c>
      <c r="AP427" s="13" t="s">
        <v>2077</v>
      </c>
      <c r="AQ427" s="13" t="s">
        <v>2077</v>
      </c>
      <c r="AR427" s="13" t="s">
        <v>2418</v>
      </c>
      <c r="AS427" s="13" t="s">
        <v>2419</v>
      </c>
      <c r="AT427" s="13" t="s">
        <v>2420</v>
      </c>
      <c r="AU427" s="13" t="s">
        <v>2421</v>
      </c>
      <c r="AV427" s="13" t="s">
        <v>2422</v>
      </c>
      <c r="AW427" s="13" t="s">
        <v>2416</v>
      </c>
      <c r="AX427" s="13" t="s">
        <v>2073</v>
      </c>
      <c r="AY427" s="13" t="s">
        <v>2073</v>
      </c>
      <c r="AZ427" s="13" t="s">
        <v>2073</v>
      </c>
      <c r="BA427" s="13" t="s">
        <v>2073</v>
      </c>
      <c r="BB427" s="13" t="s">
        <v>2073</v>
      </c>
      <c r="BC427" s="13" t="s">
        <v>2073</v>
      </c>
    </row>
    <row r="428" spans="1:55" ht="15.75" customHeight="1">
      <c r="A428" s="6">
        <v>2000</v>
      </c>
      <c r="B428" s="63" t="s">
        <v>1136</v>
      </c>
      <c r="C428" s="211" t="s">
        <v>2412</v>
      </c>
      <c r="D428" s="13" t="e">
        <f>VLOOKUP($B428,#REF!,2,FALSE)</f>
        <v>#REF!</v>
      </c>
      <c r="E428" s="13" t="e">
        <f>VLOOKUP($B428,#REF!,10,FALSE)</f>
        <v>#REF!</v>
      </c>
      <c r="F428" s="211" t="s">
        <v>2413</v>
      </c>
      <c r="G428" s="13" t="s">
        <v>2414</v>
      </c>
      <c r="H428" s="13" t="s">
        <v>2077</v>
      </c>
      <c r="I428" s="13" t="s">
        <v>2077</v>
      </c>
      <c r="J428" s="13" t="s">
        <v>2077</v>
      </c>
      <c r="K428" s="13" t="s">
        <v>2077</v>
      </c>
      <c r="L428" s="13" t="s">
        <v>2077</v>
      </c>
      <c r="M428" s="13" t="s">
        <v>2077</v>
      </c>
      <c r="N428" s="211" t="s">
        <v>2415</v>
      </c>
      <c r="O428" s="13" t="s">
        <v>2416</v>
      </c>
      <c r="P428" s="69" t="e">
        <f>VLOOKUP($B428,#REF!,2,FALSE)</f>
        <v>#REF!</v>
      </c>
      <c r="Q428" s="13" t="e">
        <f t="shared" si="398"/>
        <v>#REF!</v>
      </c>
      <c r="R428" s="215" t="e">
        <f>VLOOKUP($B428,#REF!,6,FALSE)</f>
        <v>#REF!</v>
      </c>
      <c r="S428" s="216" t="e">
        <f>VLOOKUP($B428,#REF!,7,FALSE)</f>
        <v>#REF!</v>
      </c>
      <c r="T428" s="13">
        <v>85</v>
      </c>
      <c r="U428" s="217" t="e">
        <f>VLOOKUP($B428,#REF!,9,FALSE)</f>
        <v>#REF!</v>
      </c>
      <c r="V428" s="13">
        <v>1</v>
      </c>
      <c r="W428" s="13" t="s">
        <v>2417</v>
      </c>
      <c r="X428" s="13" t="s">
        <v>1924</v>
      </c>
      <c r="Y428" s="13" t="s">
        <v>2073</v>
      </c>
      <c r="Z428" s="13" t="s">
        <v>2073</v>
      </c>
      <c r="AA428" s="13" t="s">
        <v>2073</v>
      </c>
      <c r="AB428" s="13" t="s">
        <v>1924</v>
      </c>
      <c r="AC428" s="211" t="s">
        <v>2415</v>
      </c>
      <c r="AD428" s="13" t="s">
        <v>2416</v>
      </c>
      <c r="AE428" s="69" t="e">
        <f>VLOOKUP($B428,#REF!,4,FALSE)</f>
        <v>#REF!</v>
      </c>
      <c r="AF428" s="13" t="s">
        <v>2418</v>
      </c>
      <c r="AG428" s="13" t="s">
        <v>2419</v>
      </c>
      <c r="AH428" s="13" t="s">
        <v>2420</v>
      </c>
      <c r="AI428" s="13" t="s">
        <v>2421</v>
      </c>
      <c r="AJ428" s="13" t="s">
        <v>2422</v>
      </c>
      <c r="AK428" s="13" t="s">
        <v>2416</v>
      </c>
      <c r="AL428" s="13" t="s">
        <v>2077</v>
      </c>
      <c r="AM428" s="13" t="s">
        <v>2077</v>
      </c>
      <c r="AN428" s="13" t="s">
        <v>2077</v>
      </c>
      <c r="AO428" s="13" t="s">
        <v>2077</v>
      </c>
      <c r="AP428" s="13" t="s">
        <v>2077</v>
      </c>
      <c r="AQ428" s="13" t="s">
        <v>2077</v>
      </c>
      <c r="AR428" s="13" t="s">
        <v>2418</v>
      </c>
      <c r="AS428" s="13" t="s">
        <v>2419</v>
      </c>
      <c r="AT428" s="13" t="s">
        <v>2420</v>
      </c>
      <c r="AU428" s="13" t="s">
        <v>2421</v>
      </c>
      <c r="AV428" s="13" t="s">
        <v>2422</v>
      </c>
      <c r="AW428" s="13" t="s">
        <v>2416</v>
      </c>
      <c r="AX428" s="13" t="s">
        <v>2073</v>
      </c>
      <c r="AY428" s="13" t="s">
        <v>2073</v>
      </c>
      <c r="AZ428" s="13" t="s">
        <v>2073</v>
      </c>
      <c r="BA428" s="13" t="s">
        <v>2073</v>
      </c>
      <c r="BB428" s="13" t="s">
        <v>2073</v>
      </c>
      <c r="BC428" s="13" t="s">
        <v>2073</v>
      </c>
    </row>
    <row r="429" spans="1:55" ht="15.75" customHeight="1">
      <c r="A429" s="6">
        <v>2000</v>
      </c>
      <c r="B429" s="63" t="s">
        <v>1143</v>
      </c>
      <c r="C429" s="211" t="s">
        <v>2412</v>
      </c>
      <c r="D429" s="13" t="e">
        <f>VLOOKUP($B429,#REF!,2,FALSE)</f>
        <v>#REF!</v>
      </c>
      <c r="E429" s="13" t="e">
        <f>VLOOKUP($B429,#REF!,10,FALSE)</f>
        <v>#REF!</v>
      </c>
      <c r="F429" s="211" t="s">
        <v>2413</v>
      </c>
      <c r="G429" s="13" t="s">
        <v>2414</v>
      </c>
      <c r="H429" s="13" t="s">
        <v>2077</v>
      </c>
      <c r="I429" s="13" t="s">
        <v>2077</v>
      </c>
      <c r="J429" s="13" t="s">
        <v>2077</v>
      </c>
      <c r="K429" s="13" t="s">
        <v>2077</v>
      </c>
      <c r="L429" s="13" t="s">
        <v>2077</v>
      </c>
      <c r="M429" s="13" t="s">
        <v>2077</v>
      </c>
      <c r="N429" s="211" t="s">
        <v>2415</v>
      </c>
      <c r="O429" s="13" t="s">
        <v>2416</v>
      </c>
      <c r="P429" s="69" t="e">
        <f>VLOOKUP($B429,#REF!,2,FALSE)</f>
        <v>#REF!</v>
      </c>
      <c r="Q429" s="13" t="e">
        <f t="shared" si="398"/>
        <v>#REF!</v>
      </c>
      <c r="R429" s="215" t="e">
        <f>VLOOKUP($B429,#REF!,6,FALSE)</f>
        <v>#REF!</v>
      </c>
      <c r="S429" s="213" t="e">
        <f>VLOOKUP($B429,#REF!,7,FALSE)</f>
        <v>#REF!</v>
      </c>
      <c r="T429" s="13">
        <v>85</v>
      </c>
      <c r="U429" s="167" t="e">
        <f>VLOOKUP($B429,#REF!,9,FALSE)</f>
        <v>#REF!</v>
      </c>
      <c r="V429" s="13">
        <v>1</v>
      </c>
      <c r="W429" s="13" t="s">
        <v>2417</v>
      </c>
      <c r="X429" s="13" t="s">
        <v>1924</v>
      </c>
      <c r="Y429" s="13" t="s">
        <v>2073</v>
      </c>
      <c r="Z429" s="13" t="s">
        <v>2073</v>
      </c>
      <c r="AA429" s="13" t="s">
        <v>2073</v>
      </c>
      <c r="AB429" s="13" t="s">
        <v>1924</v>
      </c>
      <c r="AC429" s="211" t="s">
        <v>2415</v>
      </c>
      <c r="AD429" s="13" t="s">
        <v>2416</v>
      </c>
      <c r="AE429" s="69" t="e">
        <f>VLOOKUP($B429,#REF!,4,FALSE)</f>
        <v>#REF!</v>
      </c>
      <c r="AF429" s="13" t="s">
        <v>2418</v>
      </c>
      <c r="AG429" s="13" t="s">
        <v>2419</v>
      </c>
      <c r="AH429" s="13" t="s">
        <v>2420</v>
      </c>
      <c r="AI429" s="13" t="s">
        <v>2421</v>
      </c>
      <c r="AJ429" s="13" t="s">
        <v>2422</v>
      </c>
      <c r="AK429" s="13" t="s">
        <v>2416</v>
      </c>
      <c r="AL429" s="13" t="s">
        <v>2077</v>
      </c>
      <c r="AM429" s="13" t="s">
        <v>2077</v>
      </c>
      <c r="AN429" s="13" t="s">
        <v>2077</v>
      </c>
      <c r="AO429" s="13" t="s">
        <v>2077</v>
      </c>
      <c r="AP429" s="13" t="s">
        <v>2077</v>
      </c>
      <c r="AQ429" s="13" t="s">
        <v>2077</v>
      </c>
      <c r="AR429" s="13" t="s">
        <v>2418</v>
      </c>
      <c r="AS429" s="13" t="s">
        <v>2419</v>
      </c>
      <c r="AT429" s="13" t="s">
        <v>2420</v>
      </c>
      <c r="AU429" s="13" t="s">
        <v>2421</v>
      </c>
      <c r="AV429" s="13" t="s">
        <v>2422</v>
      </c>
      <c r="AW429" s="13" t="s">
        <v>2416</v>
      </c>
      <c r="AX429" s="13" t="s">
        <v>2073</v>
      </c>
      <c r="AY429" s="13" t="s">
        <v>2073</v>
      </c>
      <c r="AZ429" s="13" t="s">
        <v>2073</v>
      </c>
      <c r="BA429" s="13" t="s">
        <v>2073</v>
      </c>
      <c r="BB429" s="13" t="s">
        <v>2073</v>
      </c>
      <c r="BC429" s="13" t="s">
        <v>2073</v>
      </c>
    </row>
    <row r="430" spans="1:55" ht="15.75" customHeight="1">
      <c r="A430" s="6">
        <v>2000</v>
      </c>
      <c r="B430" s="63" t="s">
        <v>1147</v>
      </c>
      <c r="C430" s="211" t="s">
        <v>2412</v>
      </c>
      <c r="D430" s="13" t="e">
        <f>VLOOKUP($B430,#REF!,2,FALSE)</f>
        <v>#REF!</v>
      </c>
      <c r="E430" s="13" t="e">
        <f>VLOOKUP($B430,#REF!,10,FALSE)</f>
        <v>#REF!</v>
      </c>
      <c r="F430" s="211" t="s">
        <v>2413</v>
      </c>
      <c r="G430" s="13" t="s">
        <v>2414</v>
      </c>
      <c r="H430" s="13" t="s">
        <v>2077</v>
      </c>
      <c r="I430" s="13" t="s">
        <v>2077</v>
      </c>
      <c r="J430" s="13" t="s">
        <v>2077</v>
      </c>
      <c r="K430" s="13" t="s">
        <v>2077</v>
      </c>
      <c r="L430" s="13" t="s">
        <v>2077</v>
      </c>
      <c r="M430" s="13" t="s">
        <v>2077</v>
      </c>
      <c r="N430" s="211" t="s">
        <v>2415</v>
      </c>
      <c r="O430" s="13" t="s">
        <v>2416</v>
      </c>
      <c r="P430" s="69" t="e">
        <f>VLOOKUP($B430,#REF!,2,FALSE)</f>
        <v>#REF!</v>
      </c>
      <c r="Q430" s="13" t="e">
        <f t="shared" si="398"/>
        <v>#REF!</v>
      </c>
      <c r="R430" s="215" t="e">
        <f>VLOOKUP($B430,#REF!,6,FALSE)</f>
        <v>#REF!</v>
      </c>
      <c r="S430" s="213" t="e">
        <f>VLOOKUP($B430,#REF!,7,FALSE)</f>
        <v>#REF!</v>
      </c>
      <c r="T430" s="13">
        <v>85</v>
      </c>
      <c r="U430" s="167" t="e">
        <f>VLOOKUP($B430,#REF!,9,FALSE)</f>
        <v>#REF!</v>
      </c>
      <c r="V430" s="13">
        <v>1</v>
      </c>
      <c r="W430" s="13" t="s">
        <v>2417</v>
      </c>
      <c r="X430" s="13" t="s">
        <v>1924</v>
      </c>
      <c r="Y430" s="13" t="s">
        <v>2073</v>
      </c>
      <c r="Z430" s="13" t="s">
        <v>2073</v>
      </c>
      <c r="AA430" s="13" t="s">
        <v>2073</v>
      </c>
      <c r="AB430" s="13" t="s">
        <v>1924</v>
      </c>
      <c r="AC430" s="211" t="s">
        <v>2415</v>
      </c>
      <c r="AD430" s="13" t="s">
        <v>2416</v>
      </c>
      <c r="AE430" s="69" t="e">
        <f>VLOOKUP($B430,#REF!,4,FALSE)</f>
        <v>#REF!</v>
      </c>
      <c r="AF430" s="13" t="s">
        <v>2418</v>
      </c>
      <c r="AG430" s="13" t="s">
        <v>2419</v>
      </c>
      <c r="AH430" s="13" t="s">
        <v>2420</v>
      </c>
      <c r="AI430" s="13" t="s">
        <v>2421</v>
      </c>
      <c r="AJ430" s="13" t="s">
        <v>2422</v>
      </c>
      <c r="AK430" s="13" t="s">
        <v>2416</v>
      </c>
      <c r="AL430" s="13" t="s">
        <v>2077</v>
      </c>
      <c r="AM430" s="13" t="s">
        <v>2077</v>
      </c>
      <c r="AN430" s="13" t="s">
        <v>2077</v>
      </c>
      <c r="AO430" s="13" t="s">
        <v>2077</v>
      </c>
      <c r="AP430" s="13" t="s">
        <v>2077</v>
      </c>
      <c r="AQ430" s="13" t="s">
        <v>2077</v>
      </c>
      <c r="AR430" s="13" t="s">
        <v>2418</v>
      </c>
      <c r="AS430" s="13" t="s">
        <v>2419</v>
      </c>
      <c r="AT430" s="13" t="s">
        <v>2420</v>
      </c>
      <c r="AU430" s="13" t="s">
        <v>2421</v>
      </c>
      <c r="AV430" s="13" t="s">
        <v>2422</v>
      </c>
      <c r="AW430" s="13" t="s">
        <v>2416</v>
      </c>
      <c r="AX430" s="13" t="s">
        <v>2073</v>
      </c>
      <c r="AY430" s="13" t="s">
        <v>2073</v>
      </c>
      <c r="AZ430" s="13" t="s">
        <v>2073</v>
      </c>
      <c r="BA430" s="13" t="s">
        <v>2073</v>
      </c>
      <c r="BB430" s="13" t="s">
        <v>2073</v>
      </c>
      <c r="BC430" s="13" t="s">
        <v>2073</v>
      </c>
    </row>
    <row r="431" spans="1:55" ht="15.75" customHeight="1">
      <c r="A431" s="6">
        <v>2000</v>
      </c>
      <c r="B431" s="63" t="s">
        <v>1151</v>
      </c>
      <c r="C431" s="211" t="s">
        <v>2412</v>
      </c>
      <c r="D431" s="13" t="e">
        <f>VLOOKUP($B431,#REF!,2,FALSE)</f>
        <v>#REF!</v>
      </c>
      <c r="E431" s="13" t="e">
        <f>VLOOKUP($B431,#REF!,10,FALSE)</f>
        <v>#REF!</v>
      </c>
      <c r="F431" s="211" t="s">
        <v>2413</v>
      </c>
      <c r="G431" s="13" t="s">
        <v>2414</v>
      </c>
      <c r="H431" s="13" t="s">
        <v>2077</v>
      </c>
      <c r="I431" s="13" t="s">
        <v>2077</v>
      </c>
      <c r="J431" s="13" t="s">
        <v>2077</v>
      </c>
      <c r="K431" s="13" t="s">
        <v>2077</v>
      </c>
      <c r="L431" s="13" t="s">
        <v>2077</v>
      </c>
      <c r="M431" s="13" t="s">
        <v>2077</v>
      </c>
      <c r="N431" s="211" t="s">
        <v>2415</v>
      </c>
      <c r="O431" s="13" t="s">
        <v>2416</v>
      </c>
      <c r="P431" s="69" t="e">
        <f>VLOOKUP($B431,#REF!,2,FALSE)</f>
        <v>#REF!</v>
      </c>
      <c r="Q431" s="13" t="e">
        <f t="shared" si="398"/>
        <v>#REF!</v>
      </c>
      <c r="R431" s="215" t="e">
        <f>VLOOKUP($B431,#REF!,6,FALSE)</f>
        <v>#REF!</v>
      </c>
      <c r="S431" s="213" t="e">
        <f>VLOOKUP($B431,#REF!,7,FALSE)</f>
        <v>#REF!</v>
      </c>
      <c r="T431" s="13">
        <v>85</v>
      </c>
      <c r="U431" s="167" t="e">
        <f>VLOOKUP($B431,#REF!,9,FALSE)</f>
        <v>#REF!</v>
      </c>
      <c r="V431" s="13">
        <v>1</v>
      </c>
      <c r="W431" s="13" t="s">
        <v>2417</v>
      </c>
      <c r="X431" s="13" t="s">
        <v>1924</v>
      </c>
      <c r="Y431" s="13" t="s">
        <v>2073</v>
      </c>
      <c r="Z431" s="13" t="s">
        <v>2073</v>
      </c>
      <c r="AA431" s="13" t="s">
        <v>2073</v>
      </c>
      <c r="AB431" s="13" t="s">
        <v>1924</v>
      </c>
      <c r="AC431" s="211" t="s">
        <v>2415</v>
      </c>
      <c r="AD431" s="13" t="s">
        <v>2416</v>
      </c>
      <c r="AE431" s="69" t="e">
        <f>VLOOKUP($B431,#REF!,4,FALSE)</f>
        <v>#REF!</v>
      </c>
      <c r="AF431" s="13" t="s">
        <v>2418</v>
      </c>
      <c r="AG431" s="13" t="s">
        <v>2419</v>
      </c>
      <c r="AH431" s="13" t="s">
        <v>2420</v>
      </c>
      <c r="AI431" s="13" t="s">
        <v>2421</v>
      </c>
      <c r="AJ431" s="13" t="s">
        <v>2422</v>
      </c>
      <c r="AK431" s="13" t="s">
        <v>2416</v>
      </c>
      <c r="AL431" s="13" t="s">
        <v>2077</v>
      </c>
      <c r="AM431" s="13" t="s">
        <v>2077</v>
      </c>
      <c r="AN431" s="13" t="s">
        <v>2077</v>
      </c>
      <c r="AO431" s="13" t="s">
        <v>2077</v>
      </c>
      <c r="AP431" s="13" t="s">
        <v>2077</v>
      </c>
      <c r="AQ431" s="13" t="s">
        <v>2077</v>
      </c>
      <c r="AR431" s="13" t="s">
        <v>2418</v>
      </c>
      <c r="AS431" s="13" t="s">
        <v>2419</v>
      </c>
      <c r="AT431" s="13" t="s">
        <v>2420</v>
      </c>
      <c r="AU431" s="13" t="s">
        <v>2421</v>
      </c>
      <c r="AV431" s="13" t="s">
        <v>2422</v>
      </c>
      <c r="AW431" s="13" t="s">
        <v>2416</v>
      </c>
      <c r="AX431" s="13" t="s">
        <v>2073</v>
      </c>
      <c r="AY431" s="13" t="s">
        <v>2073</v>
      </c>
      <c r="AZ431" s="13" t="s">
        <v>2073</v>
      </c>
      <c r="BA431" s="13" t="s">
        <v>2073</v>
      </c>
      <c r="BB431" s="13" t="s">
        <v>2073</v>
      </c>
      <c r="BC431" s="13" t="s">
        <v>2073</v>
      </c>
    </row>
    <row r="432" spans="1:55" ht="15.75" customHeight="1">
      <c r="A432" s="6">
        <v>2000</v>
      </c>
      <c r="B432" s="63" t="s">
        <v>1155</v>
      </c>
      <c r="C432" s="211" t="s">
        <v>2412</v>
      </c>
      <c r="D432" s="13" t="e">
        <f>VLOOKUP($B432,#REF!,2,FALSE)</f>
        <v>#REF!</v>
      </c>
      <c r="E432" s="13" t="e">
        <f>VLOOKUP($B432,#REF!,10,FALSE)</f>
        <v>#REF!</v>
      </c>
      <c r="F432" s="211" t="s">
        <v>2413</v>
      </c>
      <c r="G432" s="13" t="s">
        <v>2414</v>
      </c>
      <c r="H432" s="13" t="s">
        <v>2077</v>
      </c>
      <c r="I432" s="13" t="s">
        <v>2077</v>
      </c>
      <c r="J432" s="13" t="s">
        <v>2077</v>
      </c>
      <c r="K432" s="13" t="s">
        <v>2077</v>
      </c>
      <c r="L432" s="13" t="s">
        <v>2077</v>
      </c>
      <c r="M432" s="13" t="s">
        <v>2077</v>
      </c>
      <c r="N432" s="211" t="s">
        <v>2415</v>
      </c>
      <c r="O432" s="13" t="s">
        <v>2416</v>
      </c>
      <c r="P432" s="69" t="e">
        <f>VLOOKUP($B432,#REF!,2,FALSE)</f>
        <v>#REF!</v>
      </c>
      <c r="Q432" s="13" t="e">
        <f t="shared" si="398"/>
        <v>#REF!</v>
      </c>
      <c r="R432" s="216" t="e">
        <f>VLOOKUP($B432,#REF!,6,FALSE)</f>
        <v>#REF!</v>
      </c>
      <c r="S432" s="213" t="e">
        <f>VLOOKUP($B432,#REF!,7,FALSE)</f>
        <v>#REF!</v>
      </c>
      <c r="T432" s="13">
        <v>85</v>
      </c>
      <c r="U432" s="167" t="e">
        <f>VLOOKUP($B432,#REF!,9,FALSE)</f>
        <v>#REF!</v>
      </c>
      <c r="V432" s="13">
        <v>1</v>
      </c>
      <c r="W432" s="13" t="s">
        <v>2417</v>
      </c>
      <c r="X432" s="13" t="s">
        <v>1924</v>
      </c>
      <c r="Y432" s="13" t="s">
        <v>2073</v>
      </c>
      <c r="Z432" s="13" t="s">
        <v>2073</v>
      </c>
      <c r="AA432" s="13" t="s">
        <v>2073</v>
      </c>
      <c r="AB432" s="13" t="s">
        <v>1924</v>
      </c>
      <c r="AC432" s="211" t="s">
        <v>2415</v>
      </c>
      <c r="AD432" s="13" t="s">
        <v>2416</v>
      </c>
      <c r="AE432" s="69" t="e">
        <f>VLOOKUP($B432,#REF!,4,FALSE)</f>
        <v>#REF!</v>
      </c>
      <c r="AF432" s="13" t="s">
        <v>2418</v>
      </c>
      <c r="AG432" s="13" t="s">
        <v>2419</v>
      </c>
      <c r="AH432" s="13" t="s">
        <v>2420</v>
      </c>
      <c r="AI432" s="13" t="s">
        <v>2421</v>
      </c>
      <c r="AJ432" s="13" t="s">
        <v>2422</v>
      </c>
      <c r="AK432" s="13" t="s">
        <v>2416</v>
      </c>
      <c r="AL432" s="13" t="s">
        <v>2077</v>
      </c>
      <c r="AM432" s="13" t="s">
        <v>2077</v>
      </c>
      <c r="AN432" s="13" t="s">
        <v>2077</v>
      </c>
      <c r="AO432" s="13" t="s">
        <v>2077</v>
      </c>
      <c r="AP432" s="13" t="s">
        <v>2077</v>
      </c>
      <c r="AQ432" s="13" t="s">
        <v>2077</v>
      </c>
      <c r="AR432" s="13" t="s">
        <v>2418</v>
      </c>
      <c r="AS432" s="13" t="s">
        <v>2419</v>
      </c>
      <c r="AT432" s="13" t="s">
        <v>2420</v>
      </c>
      <c r="AU432" s="13" t="s">
        <v>2421</v>
      </c>
      <c r="AV432" s="13" t="s">
        <v>2422</v>
      </c>
      <c r="AW432" s="13" t="s">
        <v>2416</v>
      </c>
      <c r="AX432" s="13" t="s">
        <v>2073</v>
      </c>
      <c r="AY432" s="13" t="s">
        <v>2073</v>
      </c>
      <c r="AZ432" s="13" t="s">
        <v>2073</v>
      </c>
      <c r="BA432" s="13" t="s">
        <v>2073</v>
      </c>
      <c r="BB432" s="13" t="s">
        <v>2073</v>
      </c>
      <c r="BC432" s="13" t="s">
        <v>2073</v>
      </c>
    </row>
    <row r="433" spans="1:55" ht="15.75" customHeight="1">
      <c r="A433" s="6">
        <v>2000</v>
      </c>
      <c r="B433" s="63" t="s">
        <v>1159</v>
      </c>
      <c r="C433" s="211" t="s">
        <v>2412</v>
      </c>
      <c r="D433" s="13" t="e">
        <f>VLOOKUP($B433,#REF!,2,FALSE)</f>
        <v>#REF!</v>
      </c>
      <c r="E433" s="13" t="e">
        <f>VLOOKUP($B433,#REF!,10,FALSE)</f>
        <v>#REF!</v>
      </c>
      <c r="F433" s="211" t="s">
        <v>2413</v>
      </c>
      <c r="G433" s="13" t="s">
        <v>2414</v>
      </c>
      <c r="H433" s="13" t="s">
        <v>2077</v>
      </c>
      <c r="I433" s="13" t="s">
        <v>2077</v>
      </c>
      <c r="J433" s="13" t="s">
        <v>2077</v>
      </c>
      <c r="K433" s="13" t="s">
        <v>2077</v>
      </c>
      <c r="L433" s="13" t="s">
        <v>2077</v>
      </c>
      <c r="M433" s="13" t="s">
        <v>2077</v>
      </c>
      <c r="N433" s="211" t="s">
        <v>2415</v>
      </c>
      <c r="O433" s="13" t="s">
        <v>2416</v>
      </c>
      <c r="P433" s="69" t="e">
        <f>VLOOKUP($B433,#REF!,2,FALSE)</f>
        <v>#REF!</v>
      </c>
      <c r="Q433" s="13" t="e">
        <f t="shared" si="398"/>
        <v>#REF!</v>
      </c>
      <c r="R433" s="215" t="e">
        <f>VLOOKUP($B433,#REF!,6,FALSE)</f>
        <v>#REF!</v>
      </c>
      <c r="S433" s="215" t="e">
        <f>VLOOKUP($B433,#REF!,7,FALSE)</f>
        <v>#REF!</v>
      </c>
      <c r="T433" s="13">
        <v>85</v>
      </c>
      <c r="U433" s="167" t="e">
        <f>VLOOKUP($B433,#REF!,9,FALSE)</f>
        <v>#REF!</v>
      </c>
      <c r="V433" s="13">
        <v>1</v>
      </c>
      <c r="W433" s="13" t="s">
        <v>2417</v>
      </c>
      <c r="X433" s="13" t="s">
        <v>1924</v>
      </c>
      <c r="Y433" s="13" t="s">
        <v>2073</v>
      </c>
      <c r="Z433" s="13" t="s">
        <v>2073</v>
      </c>
      <c r="AA433" s="13" t="s">
        <v>2073</v>
      </c>
      <c r="AB433" s="13" t="s">
        <v>1924</v>
      </c>
      <c r="AC433" s="211" t="s">
        <v>2415</v>
      </c>
      <c r="AD433" s="13" t="s">
        <v>2416</v>
      </c>
      <c r="AE433" s="69" t="e">
        <f>VLOOKUP($B433,#REF!,4,FALSE)</f>
        <v>#REF!</v>
      </c>
      <c r="AF433" s="13" t="s">
        <v>2418</v>
      </c>
      <c r="AG433" s="13" t="s">
        <v>2419</v>
      </c>
      <c r="AH433" s="13" t="s">
        <v>2420</v>
      </c>
      <c r="AI433" s="13" t="s">
        <v>2421</v>
      </c>
      <c r="AJ433" s="13" t="s">
        <v>2422</v>
      </c>
      <c r="AK433" s="13" t="s">
        <v>2416</v>
      </c>
      <c r="AL433" s="13" t="s">
        <v>2077</v>
      </c>
      <c r="AM433" s="13" t="s">
        <v>2077</v>
      </c>
      <c r="AN433" s="13" t="s">
        <v>2077</v>
      </c>
      <c r="AO433" s="13" t="s">
        <v>2077</v>
      </c>
      <c r="AP433" s="13" t="s">
        <v>2077</v>
      </c>
      <c r="AQ433" s="13" t="s">
        <v>2077</v>
      </c>
      <c r="AR433" s="13" t="s">
        <v>2418</v>
      </c>
      <c r="AS433" s="13" t="s">
        <v>2419</v>
      </c>
      <c r="AT433" s="13" t="s">
        <v>2420</v>
      </c>
      <c r="AU433" s="13" t="s">
        <v>2421</v>
      </c>
      <c r="AV433" s="13" t="s">
        <v>2422</v>
      </c>
      <c r="AW433" s="13" t="s">
        <v>2416</v>
      </c>
      <c r="AX433" s="13" t="s">
        <v>2073</v>
      </c>
      <c r="AY433" s="13" t="s">
        <v>2073</v>
      </c>
      <c r="AZ433" s="13" t="s">
        <v>2073</v>
      </c>
      <c r="BA433" s="13" t="s">
        <v>2073</v>
      </c>
      <c r="BB433" s="13" t="s">
        <v>2073</v>
      </c>
      <c r="BC433" s="13" t="s">
        <v>2073</v>
      </c>
    </row>
    <row r="434" spans="1:55" ht="15.75" customHeight="1">
      <c r="A434" s="6">
        <v>2000</v>
      </c>
      <c r="B434" s="63" t="s">
        <v>1163</v>
      </c>
      <c r="C434" s="211" t="s">
        <v>2412</v>
      </c>
      <c r="D434" s="13" t="e">
        <f>VLOOKUP($B434,#REF!,2,FALSE)</f>
        <v>#REF!</v>
      </c>
      <c r="E434" s="13" t="e">
        <f>VLOOKUP($B434,#REF!,10,FALSE)</f>
        <v>#REF!</v>
      </c>
      <c r="F434" s="211" t="s">
        <v>2413</v>
      </c>
      <c r="G434" s="13" t="s">
        <v>2414</v>
      </c>
      <c r="H434" s="13" t="s">
        <v>2077</v>
      </c>
      <c r="I434" s="13" t="s">
        <v>2077</v>
      </c>
      <c r="J434" s="13" t="s">
        <v>2077</v>
      </c>
      <c r="K434" s="13" t="s">
        <v>2077</v>
      </c>
      <c r="L434" s="13" t="s">
        <v>2077</v>
      </c>
      <c r="M434" s="13" t="s">
        <v>2077</v>
      </c>
      <c r="N434" s="211" t="s">
        <v>2415</v>
      </c>
      <c r="O434" s="13" t="s">
        <v>2416</v>
      </c>
      <c r="P434" s="69" t="e">
        <f>VLOOKUP($B434,#REF!,2,FALSE)</f>
        <v>#REF!</v>
      </c>
      <c r="Q434" s="13" t="e">
        <f t="shared" si="398"/>
        <v>#REF!</v>
      </c>
      <c r="R434" s="215" t="e">
        <f>VLOOKUP($B434,#REF!,6,FALSE)</f>
        <v>#REF!</v>
      </c>
      <c r="S434" s="215" t="e">
        <f>VLOOKUP($B434,#REF!,7,FALSE)</f>
        <v>#REF!</v>
      </c>
      <c r="T434" s="13">
        <v>85</v>
      </c>
      <c r="U434" s="167" t="e">
        <f>VLOOKUP($B434,#REF!,9,FALSE)</f>
        <v>#REF!</v>
      </c>
      <c r="V434" s="13">
        <v>1</v>
      </c>
      <c r="W434" s="13" t="s">
        <v>2417</v>
      </c>
      <c r="X434" s="13" t="s">
        <v>1924</v>
      </c>
      <c r="Y434" s="13" t="s">
        <v>2073</v>
      </c>
      <c r="Z434" s="13" t="s">
        <v>2073</v>
      </c>
      <c r="AA434" s="13" t="s">
        <v>2073</v>
      </c>
      <c r="AB434" s="13" t="s">
        <v>1924</v>
      </c>
      <c r="AC434" s="211" t="s">
        <v>2415</v>
      </c>
      <c r="AD434" s="13" t="s">
        <v>2416</v>
      </c>
      <c r="AE434" s="69" t="e">
        <f>VLOOKUP($B434,#REF!,4,FALSE)</f>
        <v>#REF!</v>
      </c>
      <c r="AF434" s="13" t="s">
        <v>2418</v>
      </c>
      <c r="AG434" s="13" t="s">
        <v>2419</v>
      </c>
      <c r="AH434" s="13" t="s">
        <v>2420</v>
      </c>
      <c r="AI434" s="13" t="s">
        <v>2421</v>
      </c>
      <c r="AJ434" s="13" t="s">
        <v>2422</v>
      </c>
      <c r="AK434" s="13" t="s">
        <v>2416</v>
      </c>
      <c r="AL434" s="13" t="s">
        <v>2077</v>
      </c>
      <c r="AM434" s="13" t="s">
        <v>2077</v>
      </c>
      <c r="AN434" s="13" t="s">
        <v>2077</v>
      </c>
      <c r="AO434" s="13" t="s">
        <v>2077</v>
      </c>
      <c r="AP434" s="13" t="s">
        <v>2077</v>
      </c>
      <c r="AQ434" s="13" t="s">
        <v>2077</v>
      </c>
      <c r="AR434" s="13" t="s">
        <v>2418</v>
      </c>
      <c r="AS434" s="13" t="s">
        <v>2419</v>
      </c>
      <c r="AT434" s="13" t="s">
        <v>2420</v>
      </c>
      <c r="AU434" s="13" t="s">
        <v>2421</v>
      </c>
      <c r="AV434" s="13" t="s">
        <v>2422</v>
      </c>
      <c r="AW434" s="13" t="s">
        <v>2416</v>
      </c>
      <c r="AX434" s="13" t="s">
        <v>2073</v>
      </c>
      <c r="AY434" s="13" t="s">
        <v>2073</v>
      </c>
      <c r="AZ434" s="13" t="s">
        <v>2073</v>
      </c>
      <c r="BA434" s="13" t="s">
        <v>2073</v>
      </c>
      <c r="BB434" s="13" t="s">
        <v>2073</v>
      </c>
      <c r="BC434" s="13" t="s">
        <v>2073</v>
      </c>
    </row>
    <row r="435" spans="1:55" ht="15.75" customHeight="1">
      <c r="A435" s="6">
        <v>2000</v>
      </c>
      <c r="B435" s="63" t="s">
        <v>1167</v>
      </c>
      <c r="C435" s="211" t="s">
        <v>2412</v>
      </c>
      <c r="D435" s="13" t="e">
        <f>VLOOKUP($B435,#REF!,2,FALSE)</f>
        <v>#REF!</v>
      </c>
      <c r="E435" s="13" t="e">
        <f>VLOOKUP($B435,#REF!,10,FALSE)</f>
        <v>#REF!</v>
      </c>
      <c r="F435" s="211" t="s">
        <v>2413</v>
      </c>
      <c r="G435" s="13" t="s">
        <v>2414</v>
      </c>
      <c r="H435" s="13" t="s">
        <v>2077</v>
      </c>
      <c r="I435" s="13" t="s">
        <v>2077</v>
      </c>
      <c r="J435" s="13" t="s">
        <v>2077</v>
      </c>
      <c r="K435" s="13" t="s">
        <v>2077</v>
      </c>
      <c r="L435" s="13" t="s">
        <v>2077</v>
      </c>
      <c r="M435" s="13" t="s">
        <v>2077</v>
      </c>
      <c r="N435" s="211" t="s">
        <v>2415</v>
      </c>
      <c r="O435" s="13" t="s">
        <v>2416</v>
      </c>
      <c r="P435" s="69" t="e">
        <f>VLOOKUP($B435,#REF!,2,FALSE)</f>
        <v>#REF!</v>
      </c>
      <c r="Q435" s="13" t="e">
        <f t="shared" si="398"/>
        <v>#REF!</v>
      </c>
      <c r="R435" s="215" t="e">
        <f>VLOOKUP($B435,#REF!,6,FALSE)</f>
        <v>#REF!</v>
      </c>
      <c r="S435" s="215" t="e">
        <f>VLOOKUP($B435,#REF!,7,FALSE)</f>
        <v>#REF!</v>
      </c>
      <c r="T435" s="13">
        <v>85</v>
      </c>
      <c r="U435" s="167" t="e">
        <f>VLOOKUP($B435,#REF!,9,FALSE)</f>
        <v>#REF!</v>
      </c>
      <c r="V435" s="13">
        <v>1</v>
      </c>
      <c r="W435" s="13" t="s">
        <v>2417</v>
      </c>
      <c r="X435" s="13" t="s">
        <v>1924</v>
      </c>
      <c r="Y435" s="13" t="s">
        <v>2073</v>
      </c>
      <c r="Z435" s="13" t="s">
        <v>2073</v>
      </c>
      <c r="AA435" s="13" t="s">
        <v>2073</v>
      </c>
      <c r="AB435" s="13" t="s">
        <v>1924</v>
      </c>
      <c r="AC435" s="211" t="s">
        <v>2415</v>
      </c>
      <c r="AD435" s="13" t="s">
        <v>2416</v>
      </c>
      <c r="AE435" s="69" t="e">
        <f>VLOOKUP($B435,#REF!,4,FALSE)</f>
        <v>#REF!</v>
      </c>
      <c r="AF435" s="13" t="s">
        <v>2418</v>
      </c>
      <c r="AG435" s="13" t="s">
        <v>2419</v>
      </c>
      <c r="AH435" s="13" t="s">
        <v>2420</v>
      </c>
      <c r="AI435" s="13" t="s">
        <v>2421</v>
      </c>
      <c r="AJ435" s="13" t="s">
        <v>2422</v>
      </c>
      <c r="AK435" s="13" t="s">
        <v>2416</v>
      </c>
      <c r="AL435" s="13" t="s">
        <v>2077</v>
      </c>
      <c r="AM435" s="13" t="s">
        <v>2077</v>
      </c>
      <c r="AN435" s="13" t="s">
        <v>2077</v>
      </c>
      <c r="AO435" s="13" t="s">
        <v>2077</v>
      </c>
      <c r="AP435" s="13" t="s">
        <v>2077</v>
      </c>
      <c r="AQ435" s="13" t="s">
        <v>2077</v>
      </c>
      <c r="AR435" s="13" t="s">
        <v>2418</v>
      </c>
      <c r="AS435" s="13" t="s">
        <v>2419</v>
      </c>
      <c r="AT435" s="13" t="s">
        <v>2420</v>
      </c>
      <c r="AU435" s="13" t="s">
        <v>2421</v>
      </c>
      <c r="AV435" s="13" t="s">
        <v>2422</v>
      </c>
      <c r="AW435" s="13" t="s">
        <v>2416</v>
      </c>
      <c r="AX435" s="13" t="s">
        <v>2073</v>
      </c>
      <c r="AY435" s="13" t="s">
        <v>2073</v>
      </c>
      <c r="AZ435" s="13" t="s">
        <v>2073</v>
      </c>
      <c r="BA435" s="13" t="s">
        <v>2073</v>
      </c>
      <c r="BB435" s="13" t="s">
        <v>2073</v>
      </c>
      <c r="BC435" s="13" t="s">
        <v>2073</v>
      </c>
    </row>
    <row r="436" spans="1:55" ht="15.75" customHeight="1">
      <c r="A436" s="6">
        <v>2000</v>
      </c>
      <c r="B436" s="63" t="s">
        <v>1173</v>
      </c>
      <c r="C436" s="211" t="s">
        <v>2412</v>
      </c>
      <c r="D436" s="13" t="e">
        <f>VLOOKUP($B436,#REF!,2,FALSE)</f>
        <v>#REF!</v>
      </c>
      <c r="E436" s="13" t="e">
        <f>VLOOKUP($B436,#REF!,10,FALSE)</f>
        <v>#REF!</v>
      </c>
      <c r="F436" s="211" t="s">
        <v>2413</v>
      </c>
      <c r="G436" s="13" t="s">
        <v>2414</v>
      </c>
      <c r="H436" s="13" t="s">
        <v>2077</v>
      </c>
      <c r="I436" s="13" t="s">
        <v>2077</v>
      </c>
      <c r="J436" s="13" t="s">
        <v>2077</v>
      </c>
      <c r="K436" s="13" t="s">
        <v>2077</v>
      </c>
      <c r="L436" s="13" t="s">
        <v>2077</v>
      </c>
      <c r="M436" s="13" t="s">
        <v>2077</v>
      </c>
      <c r="N436" s="211" t="s">
        <v>2415</v>
      </c>
      <c r="O436" s="13" t="s">
        <v>2416</v>
      </c>
      <c r="P436" s="69" t="e">
        <f>VLOOKUP($B436,#REF!,2,FALSE)</f>
        <v>#REF!</v>
      </c>
      <c r="Q436" s="13" t="e">
        <f t="shared" si="398"/>
        <v>#REF!</v>
      </c>
      <c r="R436" s="215" t="e">
        <f>VLOOKUP($B436,#REF!,6,FALSE)</f>
        <v>#REF!</v>
      </c>
      <c r="S436" s="215" t="e">
        <f>VLOOKUP($B436,#REF!,7,FALSE)</f>
        <v>#REF!</v>
      </c>
      <c r="T436" s="13">
        <v>85</v>
      </c>
      <c r="U436" s="167" t="e">
        <f>VLOOKUP($B436,#REF!,9,FALSE)</f>
        <v>#REF!</v>
      </c>
      <c r="V436" s="13">
        <v>1</v>
      </c>
      <c r="W436" s="13" t="s">
        <v>2417</v>
      </c>
      <c r="X436" s="13" t="s">
        <v>1924</v>
      </c>
      <c r="Y436" s="13" t="s">
        <v>2073</v>
      </c>
      <c r="Z436" s="13" t="s">
        <v>2073</v>
      </c>
      <c r="AA436" s="13" t="s">
        <v>2073</v>
      </c>
      <c r="AB436" s="13" t="s">
        <v>1924</v>
      </c>
      <c r="AC436" s="211" t="s">
        <v>2415</v>
      </c>
      <c r="AD436" s="13" t="s">
        <v>2416</v>
      </c>
      <c r="AE436" s="69" t="e">
        <f>VLOOKUP($B436,#REF!,4,FALSE)</f>
        <v>#REF!</v>
      </c>
      <c r="AF436" s="13" t="s">
        <v>2418</v>
      </c>
      <c r="AG436" s="13" t="s">
        <v>2419</v>
      </c>
      <c r="AH436" s="13" t="s">
        <v>2420</v>
      </c>
      <c r="AI436" s="13" t="s">
        <v>2421</v>
      </c>
      <c r="AJ436" s="13" t="s">
        <v>2422</v>
      </c>
      <c r="AK436" s="13" t="s">
        <v>2416</v>
      </c>
      <c r="AL436" s="13" t="s">
        <v>2077</v>
      </c>
      <c r="AM436" s="13" t="s">
        <v>2077</v>
      </c>
      <c r="AN436" s="13" t="s">
        <v>2077</v>
      </c>
      <c r="AO436" s="13" t="s">
        <v>2077</v>
      </c>
      <c r="AP436" s="13" t="s">
        <v>2077</v>
      </c>
      <c r="AQ436" s="13" t="s">
        <v>2077</v>
      </c>
      <c r="AR436" s="13" t="s">
        <v>2418</v>
      </c>
      <c r="AS436" s="13" t="s">
        <v>2419</v>
      </c>
      <c r="AT436" s="13" t="s">
        <v>2420</v>
      </c>
      <c r="AU436" s="13" t="s">
        <v>2421</v>
      </c>
      <c r="AV436" s="13" t="s">
        <v>2422</v>
      </c>
      <c r="AW436" s="13" t="s">
        <v>2416</v>
      </c>
      <c r="AX436" s="13" t="s">
        <v>2073</v>
      </c>
      <c r="AY436" s="13" t="s">
        <v>2073</v>
      </c>
      <c r="AZ436" s="13" t="s">
        <v>2073</v>
      </c>
      <c r="BA436" s="13" t="s">
        <v>2073</v>
      </c>
      <c r="BB436" s="13" t="s">
        <v>2073</v>
      </c>
      <c r="BC436" s="13" t="s">
        <v>2073</v>
      </c>
    </row>
    <row r="437" spans="1:55" ht="15.75" customHeight="1">
      <c r="A437" s="6">
        <v>2000</v>
      </c>
      <c r="B437" s="63" t="s">
        <v>1178</v>
      </c>
      <c r="C437" s="211" t="s">
        <v>2412</v>
      </c>
      <c r="D437" s="13" t="e">
        <f>VLOOKUP($B437,#REF!,2,FALSE)</f>
        <v>#REF!</v>
      </c>
      <c r="E437" s="13" t="e">
        <f>VLOOKUP($B437,#REF!,10,FALSE)</f>
        <v>#REF!</v>
      </c>
      <c r="F437" s="211" t="s">
        <v>2413</v>
      </c>
      <c r="G437" s="13" t="s">
        <v>2414</v>
      </c>
      <c r="H437" s="13" t="s">
        <v>2077</v>
      </c>
      <c r="I437" s="13" t="s">
        <v>2077</v>
      </c>
      <c r="J437" s="13" t="s">
        <v>2077</v>
      </c>
      <c r="K437" s="13" t="s">
        <v>2077</v>
      </c>
      <c r="L437" s="13" t="s">
        <v>2077</v>
      </c>
      <c r="M437" s="13" t="s">
        <v>2077</v>
      </c>
      <c r="N437" s="211" t="s">
        <v>2415</v>
      </c>
      <c r="O437" s="13" t="s">
        <v>2416</v>
      </c>
      <c r="P437" s="69" t="e">
        <f>VLOOKUP($B437,#REF!,2,FALSE)</f>
        <v>#REF!</v>
      </c>
      <c r="Q437" s="13" t="e">
        <f t="shared" si="398"/>
        <v>#REF!</v>
      </c>
      <c r="R437" s="215" t="e">
        <f>VLOOKUP($B437,#REF!,6,FALSE)</f>
        <v>#REF!</v>
      </c>
      <c r="S437" s="215" t="e">
        <f>VLOOKUP($B437,#REF!,7,FALSE)</f>
        <v>#REF!</v>
      </c>
      <c r="T437" s="13">
        <v>85</v>
      </c>
      <c r="U437" s="167" t="e">
        <f>VLOOKUP($B437,#REF!,9,FALSE)</f>
        <v>#REF!</v>
      </c>
      <c r="V437" s="13">
        <v>1</v>
      </c>
      <c r="W437" s="13" t="s">
        <v>2417</v>
      </c>
      <c r="X437" s="13" t="s">
        <v>1924</v>
      </c>
      <c r="Y437" s="13" t="s">
        <v>2073</v>
      </c>
      <c r="Z437" s="13" t="s">
        <v>2073</v>
      </c>
      <c r="AA437" s="13" t="s">
        <v>2073</v>
      </c>
      <c r="AB437" s="13" t="s">
        <v>1924</v>
      </c>
      <c r="AC437" s="211" t="s">
        <v>2415</v>
      </c>
      <c r="AD437" s="13" t="s">
        <v>2416</v>
      </c>
      <c r="AE437" s="69" t="e">
        <f>VLOOKUP($B437,#REF!,4,FALSE)</f>
        <v>#REF!</v>
      </c>
      <c r="AF437" s="13" t="s">
        <v>2418</v>
      </c>
      <c r="AG437" s="13" t="s">
        <v>2419</v>
      </c>
      <c r="AH437" s="13" t="s">
        <v>2420</v>
      </c>
      <c r="AI437" s="13" t="s">
        <v>2421</v>
      </c>
      <c r="AJ437" s="13" t="s">
        <v>2422</v>
      </c>
      <c r="AK437" s="13" t="s">
        <v>2416</v>
      </c>
      <c r="AL437" s="13" t="s">
        <v>2077</v>
      </c>
      <c r="AM437" s="13" t="s">
        <v>2077</v>
      </c>
      <c r="AN437" s="13" t="s">
        <v>2077</v>
      </c>
      <c r="AO437" s="13" t="s">
        <v>2077</v>
      </c>
      <c r="AP437" s="13" t="s">
        <v>2077</v>
      </c>
      <c r="AQ437" s="13" t="s">
        <v>2077</v>
      </c>
      <c r="AR437" s="13" t="s">
        <v>2418</v>
      </c>
      <c r="AS437" s="13" t="s">
        <v>2419</v>
      </c>
      <c r="AT437" s="13" t="s">
        <v>2420</v>
      </c>
      <c r="AU437" s="13" t="s">
        <v>2421</v>
      </c>
      <c r="AV437" s="13" t="s">
        <v>2422</v>
      </c>
      <c r="AW437" s="13" t="s">
        <v>2416</v>
      </c>
      <c r="AX437" s="13" t="s">
        <v>2073</v>
      </c>
      <c r="AY437" s="13" t="s">
        <v>2073</v>
      </c>
      <c r="AZ437" s="13" t="s">
        <v>2073</v>
      </c>
      <c r="BA437" s="13" t="s">
        <v>2073</v>
      </c>
      <c r="BB437" s="13" t="s">
        <v>2073</v>
      </c>
      <c r="BC437" s="13" t="s">
        <v>2073</v>
      </c>
    </row>
    <row r="438" spans="1:55" ht="15.75" customHeight="1">
      <c r="A438" s="6">
        <v>2000</v>
      </c>
      <c r="B438" s="63" t="s">
        <v>1182</v>
      </c>
      <c r="C438" s="211" t="s">
        <v>2412</v>
      </c>
      <c r="D438" s="13" t="e">
        <f>VLOOKUP($B438,#REF!,2,FALSE)</f>
        <v>#REF!</v>
      </c>
      <c r="E438" s="13" t="e">
        <f>VLOOKUP($B438,#REF!,10,FALSE)</f>
        <v>#REF!</v>
      </c>
      <c r="F438" s="211" t="s">
        <v>2413</v>
      </c>
      <c r="G438" s="13" t="s">
        <v>2414</v>
      </c>
      <c r="H438" s="13" t="s">
        <v>2077</v>
      </c>
      <c r="I438" s="13" t="s">
        <v>2077</v>
      </c>
      <c r="J438" s="13" t="s">
        <v>2077</v>
      </c>
      <c r="K438" s="13" t="s">
        <v>2077</v>
      </c>
      <c r="L438" s="13" t="s">
        <v>2077</v>
      </c>
      <c r="M438" s="13" t="s">
        <v>2077</v>
      </c>
      <c r="N438" s="211" t="s">
        <v>2415</v>
      </c>
      <c r="O438" s="13" t="s">
        <v>2416</v>
      </c>
      <c r="P438" s="69" t="e">
        <f>VLOOKUP($B438,#REF!,2,FALSE)</f>
        <v>#REF!</v>
      </c>
      <c r="Q438" s="13" t="e">
        <f t="shared" si="398"/>
        <v>#REF!</v>
      </c>
      <c r="R438" s="215" t="e">
        <f>VLOOKUP($B438,#REF!,6,FALSE)</f>
        <v>#REF!</v>
      </c>
      <c r="S438" s="215" t="e">
        <f>VLOOKUP($B438,#REF!,7,FALSE)</f>
        <v>#REF!</v>
      </c>
      <c r="T438" s="13">
        <v>85</v>
      </c>
      <c r="U438" s="167" t="e">
        <f>VLOOKUP($B438,#REF!,9,FALSE)</f>
        <v>#REF!</v>
      </c>
      <c r="V438" s="13">
        <v>1</v>
      </c>
      <c r="W438" s="13" t="s">
        <v>2417</v>
      </c>
      <c r="X438" s="13" t="s">
        <v>1924</v>
      </c>
      <c r="Y438" s="13" t="s">
        <v>2073</v>
      </c>
      <c r="Z438" s="13" t="s">
        <v>2073</v>
      </c>
      <c r="AA438" s="13" t="s">
        <v>2073</v>
      </c>
      <c r="AB438" s="13" t="s">
        <v>1924</v>
      </c>
      <c r="AC438" s="211" t="s">
        <v>2415</v>
      </c>
      <c r="AD438" s="13" t="s">
        <v>2416</v>
      </c>
      <c r="AE438" s="69" t="e">
        <f>VLOOKUP($B438,#REF!,4,FALSE)</f>
        <v>#REF!</v>
      </c>
      <c r="AF438" s="13" t="s">
        <v>2418</v>
      </c>
      <c r="AG438" s="13" t="s">
        <v>2419</v>
      </c>
      <c r="AH438" s="13" t="s">
        <v>2420</v>
      </c>
      <c r="AI438" s="13" t="s">
        <v>2421</v>
      </c>
      <c r="AJ438" s="13" t="s">
        <v>2422</v>
      </c>
      <c r="AK438" s="13" t="s">
        <v>2416</v>
      </c>
      <c r="AL438" s="13" t="s">
        <v>2077</v>
      </c>
      <c r="AM438" s="13" t="s">
        <v>2077</v>
      </c>
      <c r="AN438" s="13" t="s">
        <v>2077</v>
      </c>
      <c r="AO438" s="13" t="s">
        <v>2077</v>
      </c>
      <c r="AP438" s="13" t="s">
        <v>2077</v>
      </c>
      <c r="AQ438" s="13" t="s">
        <v>2077</v>
      </c>
      <c r="AR438" s="13" t="s">
        <v>2418</v>
      </c>
      <c r="AS438" s="13" t="s">
        <v>2419</v>
      </c>
      <c r="AT438" s="13" t="s">
        <v>2420</v>
      </c>
      <c r="AU438" s="13" t="s">
        <v>2421</v>
      </c>
      <c r="AV438" s="13" t="s">
        <v>2422</v>
      </c>
      <c r="AW438" s="13" t="s">
        <v>2416</v>
      </c>
      <c r="AX438" s="13" t="s">
        <v>2073</v>
      </c>
      <c r="AY438" s="13" t="s">
        <v>2073</v>
      </c>
      <c r="AZ438" s="13" t="s">
        <v>2073</v>
      </c>
      <c r="BA438" s="13" t="s">
        <v>2073</v>
      </c>
      <c r="BB438" s="13" t="s">
        <v>2073</v>
      </c>
      <c r="BC438" s="13" t="s">
        <v>2073</v>
      </c>
    </row>
    <row r="439" spans="1:55" ht="15.75" customHeight="1">
      <c r="A439" s="6">
        <v>2000</v>
      </c>
      <c r="B439" s="63" t="s">
        <v>1186</v>
      </c>
      <c r="C439" s="211" t="s">
        <v>2412</v>
      </c>
      <c r="D439" s="13" t="e">
        <f>VLOOKUP($B439,#REF!,2,FALSE)</f>
        <v>#REF!</v>
      </c>
      <c r="E439" s="13" t="e">
        <f>VLOOKUP($B439,#REF!,10,FALSE)</f>
        <v>#REF!</v>
      </c>
      <c r="F439" s="211" t="s">
        <v>2413</v>
      </c>
      <c r="G439" s="13" t="s">
        <v>2414</v>
      </c>
      <c r="H439" s="13" t="s">
        <v>2077</v>
      </c>
      <c r="I439" s="13" t="s">
        <v>2077</v>
      </c>
      <c r="J439" s="13" t="s">
        <v>2077</v>
      </c>
      <c r="K439" s="13" t="s">
        <v>2077</v>
      </c>
      <c r="L439" s="13" t="s">
        <v>2077</v>
      </c>
      <c r="M439" s="13" t="s">
        <v>2077</v>
      </c>
      <c r="N439" s="211" t="s">
        <v>2415</v>
      </c>
      <c r="O439" s="13" t="s">
        <v>2416</v>
      </c>
      <c r="P439" s="69" t="e">
        <f>VLOOKUP($B439,#REF!,2,FALSE)</f>
        <v>#REF!</v>
      </c>
      <c r="Q439" s="13" t="e">
        <f t="shared" si="398"/>
        <v>#REF!</v>
      </c>
      <c r="R439" s="215" t="e">
        <f>VLOOKUP($B439,#REF!,6,FALSE)</f>
        <v>#REF!</v>
      </c>
      <c r="S439" s="215" t="e">
        <f>VLOOKUP($B439,#REF!,7,FALSE)</f>
        <v>#REF!</v>
      </c>
      <c r="T439" s="13">
        <v>85</v>
      </c>
      <c r="U439" s="167" t="e">
        <f>VLOOKUP($B439,#REF!,9,FALSE)</f>
        <v>#REF!</v>
      </c>
      <c r="V439" s="13">
        <v>1</v>
      </c>
      <c r="W439" s="13" t="s">
        <v>2417</v>
      </c>
      <c r="X439" s="13" t="s">
        <v>1924</v>
      </c>
      <c r="Y439" s="13" t="s">
        <v>2073</v>
      </c>
      <c r="Z439" s="13" t="s">
        <v>2073</v>
      </c>
      <c r="AA439" s="13" t="s">
        <v>2073</v>
      </c>
      <c r="AB439" s="13" t="s">
        <v>1924</v>
      </c>
      <c r="AC439" s="211" t="s">
        <v>2415</v>
      </c>
      <c r="AD439" s="13" t="s">
        <v>2416</v>
      </c>
      <c r="AE439" s="69" t="e">
        <f>VLOOKUP($B439,#REF!,4,FALSE)</f>
        <v>#REF!</v>
      </c>
      <c r="AF439" s="13" t="s">
        <v>2418</v>
      </c>
      <c r="AG439" s="13" t="s">
        <v>2419</v>
      </c>
      <c r="AH439" s="13" t="s">
        <v>2420</v>
      </c>
      <c r="AI439" s="13" t="s">
        <v>2421</v>
      </c>
      <c r="AJ439" s="13" t="s">
        <v>2422</v>
      </c>
      <c r="AK439" s="13" t="s">
        <v>2416</v>
      </c>
      <c r="AL439" s="13" t="s">
        <v>2077</v>
      </c>
      <c r="AM439" s="13" t="s">
        <v>2077</v>
      </c>
      <c r="AN439" s="13" t="s">
        <v>2077</v>
      </c>
      <c r="AO439" s="13" t="s">
        <v>2077</v>
      </c>
      <c r="AP439" s="13" t="s">
        <v>2077</v>
      </c>
      <c r="AQ439" s="13" t="s">
        <v>2077</v>
      </c>
      <c r="AR439" s="13" t="s">
        <v>2418</v>
      </c>
      <c r="AS439" s="13" t="s">
        <v>2419</v>
      </c>
      <c r="AT439" s="13" t="s">
        <v>2420</v>
      </c>
      <c r="AU439" s="13" t="s">
        <v>2421</v>
      </c>
      <c r="AV439" s="13" t="s">
        <v>2422</v>
      </c>
      <c r="AW439" s="13" t="s">
        <v>2416</v>
      </c>
      <c r="AX439" s="13" t="s">
        <v>2073</v>
      </c>
      <c r="AY439" s="13" t="s">
        <v>2073</v>
      </c>
      <c r="AZ439" s="13" t="s">
        <v>2073</v>
      </c>
      <c r="BA439" s="13" t="s">
        <v>2073</v>
      </c>
      <c r="BB439" s="13" t="s">
        <v>2073</v>
      </c>
      <c r="BC439" s="13" t="s">
        <v>2073</v>
      </c>
    </row>
    <row r="440" spans="1:55" ht="15.75" customHeight="1">
      <c r="A440" s="6">
        <v>2000</v>
      </c>
      <c r="B440" s="63" t="s">
        <v>1190</v>
      </c>
      <c r="C440" s="211" t="s">
        <v>2412</v>
      </c>
      <c r="D440" s="13" t="e">
        <f>VLOOKUP($B440,#REF!,2,FALSE)</f>
        <v>#REF!</v>
      </c>
      <c r="E440" s="13" t="e">
        <f>VLOOKUP($B440,#REF!,10,FALSE)</f>
        <v>#REF!</v>
      </c>
      <c r="F440" s="211" t="s">
        <v>2413</v>
      </c>
      <c r="G440" s="13" t="s">
        <v>2414</v>
      </c>
      <c r="H440" s="13" t="s">
        <v>2077</v>
      </c>
      <c r="I440" s="13" t="s">
        <v>2077</v>
      </c>
      <c r="J440" s="13" t="s">
        <v>2077</v>
      </c>
      <c r="K440" s="13" t="s">
        <v>2077</v>
      </c>
      <c r="L440" s="13" t="s">
        <v>2077</v>
      </c>
      <c r="M440" s="13" t="s">
        <v>2077</v>
      </c>
      <c r="N440" s="211" t="s">
        <v>2415</v>
      </c>
      <c r="O440" s="13" t="s">
        <v>2416</v>
      </c>
      <c r="P440" s="69" t="e">
        <f>VLOOKUP($B440,#REF!,2,FALSE)</f>
        <v>#REF!</v>
      </c>
      <c r="Q440" s="13" t="e">
        <f t="shared" si="398"/>
        <v>#REF!</v>
      </c>
      <c r="R440" s="215" t="e">
        <f>VLOOKUP($B440,#REF!,6,FALSE)</f>
        <v>#REF!</v>
      </c>
      <c r="S440" s="215" t="e">
        <f>VLOOKUP($B440,#REF!,7,FALSE)</f>
        <v>#REF!</v>
      </c>
      <c r="T440" s="13">
        <v>85</v>
      </c>
      <c r="U440" s="167" t="e">
        <f>VLOOKUP($B440,#REF!,9,FALSE)</f>
        <v>#REF!</v>
      </c>
      <c r="V440" s="13">
        <v>1</v>
      </c>
      <c r="W440" s="13" t="s">
        <v>2417</v>
      </c>
      <c r="X440" s="13" t="s">
        <v>1924</v>
      </c>
      <c r="Y440" s="13" t="s">
        <v>2073</v>
      </c>
      <c r="Z440" s="13" t="s">
        <v>2073</v>
      </c>
      <c r="AA440" s="13" t="s">
        <v>2073</v>
      </c>
      <c r="AB440" s="13" t="s">
        <v>1924</v>
      </c>
      <c r="AC440" s="211" t="s">
        <v>2415</v>
      </c>
      <c r="AD440" s="13" t="s">
        <v>2416</v>
      </c>
      <c r="AE440" s="69" t="e">
        <f>VLOOKUP($B440,#REF!,4,FALSE)</f>
        <v>#REF!</v>
      </c>
      <c r="AF440" s="13" t="s">
        <v>2418</v>
      </c>
      <c r="AG440" s="13" t="s">
        <v>2419</v>
      </c>
      <c r="AH440" s="13" t="s">
        <v>2420</v>
      </c>
      <c r="AI440" s="13" t="s">
        <v>2421</v>
      </c>
      <c r="AJ440" s="13" t="s">
        <v>2422</v>
      </c>
      <c r="AK440" s="13" t="s">
        <v>2416</v>
      </c>
      <c r="AL440" s="13" t="s">
        <v>2077</v>
      </c>
      <c r="AM440" s="13" t="s">
        <v>2077</v>
      </c>
      <c r="AN440" s="13" t="s">
        <v>2077</v>
      </c>
      <c r="AO440" s="13" t="s">
        <v>2077</v>
      </c>
      <c r="AP440" s="13" t="s">
        <v>2077</v>
      </c>
      <c r="AQ440" s="13" t="s">
        <v>2077</v>
      </c>
      <c r="AR440" s="13" t="s">
        <v>2418</v>
      </c>
      <c r="AS440" s="13" t="s">
        <v>2419</v>
      </c>
      <c r="AT440" s="13" t="s">
        <v>2420</v>
      </c>
      <c r="AU440" s="13" t="s">
        <v>2421</v>
      </c>
      <c r="AV440" s="13" t="s">
        <v>2422</v>
      </c>
      <c r="AW440" s="13" t="s">
        <v>2416</v>
      </c>
      <c r="AX440" s="13" t="s">
        <v>2073</v>
      </c>
      <c r="AY440" s="13" t="s">
        <v>2073</v>
      </c>
      <c r="AZ440" s="13" t="s">
        <v>2073</v>
      </c>
      <c r="BA440" s="13" t="s">
        <v>2073</v>
      </c>
      <c r="BB440" s="13" t="s">
        <v>2073</v>
      </c>
      <c r="BC440" s="13" t="s">
        <v>2073</v>
      </c>
    </row>
    <row r="441" spans="1:55" ht="15.75" customHeight="1">
      <c r="A441" s="6">
        <v>2000</v>
      </c>
      <c r="B441" s="63" t="s">
        <v>1194</v>
      </c>
      <c r="C441" s="211" t="s">
        <v>2412</v>
      </c>
      <c r="D441" s="13" t="e">
        <f>VLOOKUP($B441,#REF!,2,FALSE)</f>
        <v>#REF!</v>
      </c>
      <c r="E441" s="13" t="e">
        <f>VLOOKUP($B441,#REF!,10,FALSE)</f>
        <v>#REF!</v>
      </c>
      <c r="F441" s="211" t="s">
        <v>2413</v>
      </c>
      <c r="G441" s="13" t="s">
        <v>2414</v>
      </c>
      <c r="H441" s="13" t="s">
        <v>2077</v>
      </c>
      <c r="I441" s="13" t="s">
        <v>2077</v>
      </c>
      <c r="J441" s="13" t="s">
        <v>2077</v>
      </c>
      <c r="K441" s="13" t="s">
        <v>2077</v>
      </c>
      <c r="L441" s="13" t="s">
        <v>2077</v>
      </c>
      <c r="M441" s="13" t="s">
        <v>2077</v>
      </c>
      <c r="N441" s="211" t="s">
        <v>2415</v>
      </c>
      <c r="O441" s="13" t="s">
        <v>2416</v>
      </c>
      <c r="P441" s="69" t="e">
        <f>VLOOKUP($B441,#REF!,2,FALSE)</f>
        <v>#REF!</v>
      </c>
      <c r="Q441" s="13" t="e">
        <f t="shared" si="398"/>
        <v>#REF!</v>
      </c>
      <c r="R441" s="215" t="e">
        <f>VLOOKUP($B441,#REF!,6,FALSE)</f>
        <v>#REF!</v>
      </c>
      <c r="S441" s="215" t="e">
        <f>VLOOKUP($B441,#REF!,7,FALSE)</f>
        <v>#REF!</v>
      </c>
      <c r="T441" s="13">
        <v>85</v>
      </c>
      <c r="U441" s="167" t="e">
        <f>VLOOKUP($B441,#REF!,9,FALSE)</f>
        <v>#REF!</v>
      </c>
      <c r="V441" s="13">
        <v>1</v>
      </c>
      <c r="W441" s="13" t="s">
        <v>2417</v>
      </c>
      <c r="X441" s="13" t="s">
        <v>1924</v>
      </c>
      <c r="Y441" s="13" t="s">
        <v>2073</v>
      </c>
      <c r="Z441" s="13" t="s">
        <v>2073</v>
      </c>
      <c r="AA441" s="13" t="s">
        <v>2073</v>
      </c>
      <c r="AB441" s="13" t="s">
        <v>1924</v>
      </c>
      <c r="AC441" s="211" t="s">
        <v>2415</v>
      </c>
      <c r="AD441" s="13" t="s">
        <v>2416</v>
      </c>
      <c r="AE441" s="69" t="e">
        <f>VLOOKUP($B441,#REF!,4,FALSE)</f>
        <v>#REF!</v>
      </c>
      <c r="AF441" s="13" t="s">
        <v>2418</v>
      </c>
      <c r="AG441" s="13" t="s">
        <v>2419</v>
      </c>
      <c r="AH441" s="13" t="s">
        <v>2420</v>
      </c>
      <c r="AI441" s="13" t="s">
        <v>2421</v>
      </c>
      <c r="AJ441" s="13" t="s">
        <v>2422</v>
      </c>
      <c r="AK441" s="13" t="s">
        <v>2416</v>
      </c>
      <c r="AL441" s="13" t="s">
        <v>2077</v>
      </c>
      <c r="AM441" s="13" t="s">
        <v>2077</v>
      </c>
      <c r="AN441" s="13" t="s">
        <v>2077</v>
      </c>
      <c r="AO441" s="13" t="s">
        <v>2077</v>
      </c>
      <c r="AP441" s="13" t="s">
        <v>2077</v>
      </c>
      <c r="AQ441" s="13" t="s">
        <v>2077</v>
      </c>
      <c r="AR441" s="13" t="s">
        <v>2418</v>
      </c>
      <c r="AS441" s="13" t="s">
        <v>2419</v>
      </c>
      <c r="AT441" s="13" t="s">
        <v>2420</v>
      </c>
      <c r="AU441" s="13" t="s">
        <v>2421</v>
      </c>
      <c r="AV441" s="13" t="s">
        <v>2422</v>
      </c>
      <c r="AW441" s="13" t="s">
        <v>2416</v>
      </c>
      <c r="AX441" s="13" t="s">
        <v>2073</v>
      </c>
      <c r="AY441" s="13" t="s">
        <v>2073</v>
      </c>
      <c r="AZ441" s="13" t="s">
        <v>2073</v>
      </c>
      <c r="BA441" s="13" t="s">
        <v>2073</v>
      </c>
      <c r="BB441" s="13" t="s">
        <v>2073</v>
      </c>
      <c r="BC441" s="13" t="s">
        <v>2073</v>
      </c>
    </row>
    <row r="442" spans="1:55" ht="15.75" customHeight="1">
      <c r="A442" s="6">
        <v>2000</v>
      </c>
      <c r="B442" s="63" t="s">
        <v>1198</v>
      </c>
      <c r="C442" s="211" t="s">
        <v>2412</v>
      </c>
      <c r="D442" s="13" t="e">
        <f>VLOOKUP($B442,#REF!,2,FALSE)</f>
        <v>#REF!</v>
      </c>
      <c r="E442" s="13" t="e">
        <f>VLOOKUP($B442,#REF!,10,FALSE)</f>
        <v>#REF!</v>
      </c>
      <c r="F442" s="211" t="s">
        <v>2413</v>
      </c>
      <c r="G442" s="13" t="s">
        <v>2414</v>
      </c>
      <c r="H442" s="13" t="s">
        <v>2077</v>
      </c>
      <c r="I442" s="13" t="s">
        <v>2077</v>
      </c>
      <c r="J442" s="13" t="s">
        <v>2077</v>
      </c>
      <c r="K442" s="13" t="s">
        <v>2077</v>
      </c>
      <c r="L442" s="13" t="s">
        <v>2077</v>
      </c>
      <c r="M442" s="13" t="s">
        <v>2077</v>
      </c>
      <c r="N442" s="211" t="s">
        <v>2415</v>
      </c>
      <c r="O442" s="13" t="s">
        <v>2416</v>
      </c>
      <c r="P442" s="69" t="e">
        <f>VLOOKUP($B442,#REF!,2,FALSE)</f>
        <v>#REF!</v>
      </c>
      <c r="Q442" s="13" t="e">
        <f t="shared" si="398"/>
        <v>#REF!</v>
      </c>
      <c r="R442" s="215" t="e">
        <f>VLOOKUP($B442,#REF!,6,FALSE)</f>
        <v>#REF!</v>
      </c>
      <c r="S442" s="215" t="e">
        <f>VLOOKUP($B442,#REF!,7,FALSE)</f>
        <v>#REF!</v>
      </c>
      <c r="T442" s="13">
        <v>85</v>
      </c>
      <c r="U442" s="167" t="e">
        <f>VLOOKUP($B442,#REF!,9,FALSE)</f>
        <v>#REF!</v>
      </c>
      <c r="V442" s="13">
        <v>1</v>
      </c>
      <c r="W442" s="13" t="s">
        <v>2417</v>
      </c>
      <c r="X442" s="13" t="s">
        <v>1924</v>
      </c>
      <c r="Y442" s="13" t="s">
        <v>2073</v>
      </c>
      <c r="Z442" s="13" t="s">
        <v>2073</v>
      </c>
      <c r="AA442" s="13" t="s">
        <v>2073</v>
      </c>
      <c r="AB442" s="13" t="s">
        <v>1924</v>
      </c>
      <c r="AC442" s="211" t="s">
        <v>2415</v>
      </c>
      <c r="AD442" s="13" t="s">
        <v>2416</v>
      </c>
      <c r="AE442" s="69" t="e">
        <f>VLOOKUP($B442,#REF!,4,FALSE)</f>
        <v>#REF!</v>
      </c>
      <c r="AF442" s="13" t="s">
        <v>2418</v>
      </c>
      <c r="AG442" s="13" t="s">
        <v>2419</v>
      </c>
      <c r="AH442" s="13" t="s">
        <v>2420</v>
      </c>
      <c r="AI442" s="13" t="s">
        <v>2421</v>
      </c>
      <c r="AJ442" s="13" t="s">
        <v>2422</v>
      </c>
      <c r="AK442" s="13" t="s">
        <v>2416</v>
      </c>
      <c r="AL442" s="13" t="s">
        <v>2077</v>
      </c>
      <c r="AM442" s="13" t="s">
        <v>2077</v>
      </c>
      <c r="AN442" s="13" t="s">
        <v>2077</v>
      </c>
      <c r="AO442" s="13" t="s">
        <v>2077</v>
      </c>
      <c r="AP442" s="13" t="s">
        <v>2077</v>
      </c>
      <c r="AQ442" s="13" t="s">
        <v>2077</v>
      </c>
      <c r="AR442" s="13" t="s">
        <v>2418</v>
      </c>
      <c r="AS442" s="13" t="s">
        <v>2419</v>
      </c>
      <c r="AT442" s="13" t="s">
        <v>2420</v>
      </c>
      <c r="AU442" s="13" t="s">
        <v>2421</v>
      </c>
      <c r="AV442" s="13" t="s">
        <v>2422</v>
      </c>
      <c r="AW442" s="13" t="s">
        <v>2416</v>
      </c>
      <c r="AX442" s="13" t="s">
        <v>2073</v>
      </c>
      <c r="AY442" s="13" t="s">
        <v>2073</v>
      </c>
      <c r="AZ442" s="13" t="s">
        <v>2073</v>
      </c>
      <c r="BA442" s="13" t="s">
        <v>2073</v>
      </c>
      <c r="BB442" s="13" t="s">
        <v>2073</v>
      </c>
      <c r="BC442" s="13" t="s">
        <v>2073</v>
      </c>
    </row>
    <row r="443" spans="1:55" ht="15.75" customHeight="1">
      <c r="A443" s="6">
        <v>2000</v>
      </c>
      <c r="B443" s="63" t="s">
        <v>1202</v>
      </c>
      <c r="C443" s="211" t="s">
        <v>2412</v>
      </c>
      <c r="D443" s="13" t="e">
        <f>VLOOKUP($B443,#REF!,2,FALSE)</f>
        <v>#REF!</v>
      </c>
      <c r="E443" s="13" t="e">
        <f>VLOOKUP($B443,#REF!,10,FALSE)</f>
        <v>#REF!</v>
      </c>
      <c r="F443" s="211" t="s">
        <v>2413</v>
      </c>
      <c r="G443" s="13" t="s">
        <v>2414</v>
      </c>
      <c r="H443" s="13" t="s">
        <v>2077</v>
      </c>
      <c r="I443" s="13" t="s">
        <v>2077</v>
      </c>
      <c r="J443" s="13" t="s">
        <v>2077</v>
      </c>
      <c r="K443" s="13" t="s">
        <v>2077</v>
      </c>
      <c r="L443" s="13" t="s">
        <v>2077</v>
      </c>
      <c r="M443" s="13" t="s">
        <v>2077</v>
      </c>
      <c r="N443" s="211" t="s">
        <v>2415</v>
      </c>
      <c r="O443" s="13" t="s">
        <v>2416</v>
      </c>
      <c r="P443" s="69" t="e">
        <f>VLOOKUP($B443,#REF!,2,FALSE)</f>
        <v>#REF!</v>
      </c>
      <c r="Q443" s="13" t="e">
        <f t="shared" si="398"/>
        <v>#REF!</v>
      </c>
      <c r="R443" s="215" t="e">
        <f>VLOOKUP($B443,#REF!,6,FALSE)</f>
        <v>#REF!</v>
      </c>
      <c r="S443" s="215" t="e">
        <f>VLOOKUP($B443,#REF!,7,FALSE)</f>
        <v>#REF!</v>
      </c>
      <c r="T443" s="13">
        <v>85</v>
      </c>
      <c r="U443" s="167" t="e">
        <f>VLOOKUP($B443,#REF!,9,FALSE)</f>
        <v>#REF!</v>
      </c>
      <c r="V443" s="13">
        <v>1</v>
      </c>
      <c r="W443" s="13" t="s">
        <v>2417</v>
      </c>
      <c r="X443" s="13" t="s">
        <v>1924</v>
      </c>
      <c r="Y443" s="13" t="s">
        <v>2073</v>
      </c>
      <c r="Z443" s="13" t="s">
        <v>2073</v>
      </c>
      <c r="AA443" s="13" t="s">
        <v>2073</v>
      </c>
      <c r="AB443" s="13" t="s">
        <v>1924</v>
      </c>
      <c r="AC443" s="211" t="s">
        <v>2415</v>
      </c>
      <c r="AD443" s="13" t="s">
        <v>2416</v>
      </c>
      <c r="AE443" s="69" t="e">
        <f>VLOOKUP($B443,#REF!,4,FALSE)</f>
        <v>#REF!</v>
      </c>
      <c r="AF443" s="13" t="s">
        <v>2418</v>
      </c>
      <c r="AG443" s="13" t="s">
        <v>2419</v>
      </c>
      <c r="AH443" s="13" t="s">
        <v>2420</v>
      </c>
      <c r="AI443" s="13" t="s">
        <v>2421</v>
      </c>
      <c r="AJ443" s="13" t="s">
        <v>2422</v>
      </c>
      <c r="AK443" s="13" t="s">
        <v>2416</v>
      </c>
      <c r="AL443" s="13" t="s">
        <v>2077</v>
      </c>
      <c r="AM443" s="13" t="s">
        <v>2077</v>
      </c>
      <c r="AN443" s="13" t="s">
        <v>2077</v>
      </c>
      <c r="AO443" s="13" t="s">
        <v>2077</v>
      </c>
      <c r="AP443" s="13" t="s">
        <v>2077</v>
      </c>
      <c r="AQ443" s="13" t="s">
        <v>2077</v>
      </c>
      <c r="AR443" s="13" t="s">
        <v>2418</v>
      </c>
      <c r="AS443" s="13" t="s">
        <v>2419</v>
      </c>
      <c r="AT443" s="13" t="s">
        <v>2420</v>
      </c>
      <c r="AU443" s="13" t="s">
        <v>2421</v>
      </c>
      <c r="AV443" s="13" t="s">
        <v>2422</v>
      </c>
      <c r="AW443" s="13" t="s">
        <v>2416</v>
      </c>
      <c r="AX443" s="13" t="s">
        <v>2073</v>
      </c>
      <c r="AY443" s="13" t="s">
        <v>2073</v>
      </c>
      <c r="AZ443" s="13" t="s">
        <v>2073</v>
      </c>
      <c r="BA443" s="13" t="s">
        <v>2073</v>
      </c>
      <c r="BB443" s="13" t="s">
        <v>2073</v>
      </c>
      <c r="BC443" s="13" t="s">
        <v>2073</v>
      </c>
    </row>
    <row r="444" spans="1:55" ht="15.75" customHeight="1">
      <c r="A444" s="6">
        <v>2000</v>
      </c>
      <c r="B444" s="63" t="s">
        <v>1205</v>
      </c>
      <c r="C444" s="211" t="s">
        <v>2412</v>
      </c>
      <c r="D444" s="13" t="e">
        <f>VLOOKUP($B444,#REF!,2,FALSE)</f>
        <v>#REF!</v>
      </c>
      <c r="E444" s="13" t="e">
        <f>VLOOKUP($B444,#REF!,10,FALSE)</f>
        <v>#REF!</v>
      </c>
      <c r="F444" s="211" t="s">
        <v>2413</v>
      </c>
      <c r="G444" s="13" t="s">
        <v>2414</v>
      </c>
      <c r="H444" s="13" t="s">
        <v>2077</v>
      </c>
      <c r="I444" s="13" t="s">
        <v>2077</v>
      </c>
      <c r="J444" s="13" t="s">
        <v>2077</v>
      </c>
      <c r="K444" s="13" t="s">
        <v>2077</v>
      </c>
      <c r="L444" s="13" t="s">
        <v>2077</v>
      </c>
      <c r="M444" s="13" t="s">
        <v>2077</v>
      </c>
      <c r="N444" s="211" t="s">
        <v>2415</v>
      </c>
      <c r="O444" s="13" t="s">
        <v>2416</v>
      </c>
      <c r="P444" s="69" t="e">
        <f>VLOOKUP($B444,#REF!,2,FALSE)</f>
        <v>#REF!</v>
      </c>
      <c r="Q444" s="13" t="e">
        <f t="shared" si="398"/>
        <v>#REF!</v>
      </c>
      <c r="R444" s="215" t="e">
        <f>VLOOKUP($B444,#REF!,6,FALSE)</f>
        <v>#REF!</v>
      </c>
      <c r="S444" s="215" t="e">
        <f>VLOOKUP($B444,#REF!,7,FALSE)</f>
        <v>#REF!</v>
      </c>
      <c r="T444" s="13">
        <v>85</v>
      </c>
      <c r="U444" s="167" t="e">
        <f>VLOOKUP($B444,#REF!,9,FALSE)</f>
        <v>#REF!</v>
      </c>
      <c r="V444" s="13">
        <v>1</v>
      </c>
      <c r="W444" s="13" t="s">
        <v>2417</v>
      </c>
      <c r="X444" s="13" t="s">
        <v>1924</v>
      </c>
      <c r="Y444" s="13" t="s">
        <v>2073</v>
      </c>
      <c r="Z444" s="13" t="s">
        <v>2073</v>
      </c>
      <c r="AA444" s="13" t="s">
        <v>2073</v>
      </c>
      <c r="AB444" s="13" t="s">
        <v>1924</v>
      </c>
      <c r="AC444" s="211" t="s">
        <v>2415</v>
      </c>
      <c r="AD444" s="13" t="s">
        <v>2416</v>
      </c>
      <c r="AE444" s="69" t="e">
        <f>VLOOKUP($B444,#REF!,4,FALSE)</f>
        <v>#REF!</v>
      </c>
      <c r="AF444" s="13" t="s">
        <v>2418</v>
      </c>
      <c r="AG444" s="13" t="s">
        <v>2419</v>
      </c>
      <c r="AH444" s="13" t="s">
        <v>2420</v>
      </c>
      <c r="AI444" s="13" t="s">
        <v>2421</v>
      </c>
      <c r="AJ444" s="13" t="s">
        <v>2422</v>
      </c>
      <c r="AK444" s="13" t="s">
        <v>2416</v>
      </c>
      <c r="AL444" s="13" t="s">
        <v>2077</v>
      </c>
      <c r="AM444" s="13" t="s">
        <v>2077</v>
      </c>
      <c r="AN444" s="13" t="s">
        <v>2077</v>
      </c>
      <c r="AO444" s="13" t="s">
        <v>2077</v>
      </c>
      <c r="AP444" s="13" t="s">
        <v>2077</v>
      </c>
      <c r="AQ444" s="13" t="s">
        <v>2077</v>
      </c>
      <c r="AR444" s="13" t="s">
        <v>2418</v>
      </c>
      <c r="AS444" s="13" t="s">
        <v>2419</v>
      </c>
      <c r="AT444" s="13" t="s">
        <v>2420</v>
      </c>
      <c r="AU444" s="13" t="s">
        <v>2421</v>
      </c>
      <c r="AV444" s="13" t="s">
        <v>2422</v>
      </c>
      <c r="AW444" s="13" t="s">
        <v>2416</v>
      </c>
      <c r="AX444" s="13" t="s">
        <v>2073</v>
      </c>
      <c r="AY444" s="13" t="s">
        <v>2073</v>
      </c>
      <c r="AZ444" s="13" t="s">
        <v>2073</v>
      </c>
      <c r="BA444" s="13" t="s">
        <v>2073</v>
      </c>
      <c r="BB444" s="13" t="s">
        <v>2073</v>
      </c>
      <c r="BC444" s="13" t="s">
        <v>2073</v>
      </c>
    </row>
    <row r="445" spans="1:55" ht="15.75" customHeight="1">
      <c r="A445" s="6">
        <v>2000</v>
      </c>
      <c r="B445" s="63" t="s">
        <v>1208</v>
      </c>
      <c r="C445" s="211" t="s">
        <v>2412</v>
      </c>
      <c r="D445" s="13" t="e">
        <f>VLOOKUP($B445,#REF!,2,FALSE)</f>
        <v>#REF!</v>
      </c>
      <c r="E445" s="13" t="e">
        <f>VLOOKUP($B445,#REF!,10,FALSE)</f>
        <v>#REF!</v>
      </c>
      <c r="F445" s="211" t="s">
        <v>2413</v>
      </c>
      <c r="G445" s="13" t="s">
        <v>2414</v>
      </c>
      <c r="H445" s="13" t="s">
        <v>2077</v>
      </c>
      <c r="I445" s="13" t="s">
        <v>2077</v>
      </c>
      <c r="J445" s="13" t="s">
        <v>2077</v>
      </c>
      <c r="K445" s="13" t="s">
        <v>2077</v>
      </c>
      <c r="L445" s="13" t="s">
        <v>2077</v>
      </c>
      <c r="M445" s="13" t="s">
        <v>2077</v>
      </c>
      <c r="N445" s="211" t="s">
        <v>2415</v>
      </c>
      <c r="O445" s="13" t="s">
        <v>2416</v>
      </c>
      <c r="P445" s="69" t="e">
        <f>VLOOKUP($B445,#REF!,2,FALSE)</f>
        <v>#REF!</v>
      </c>
      <c r="Q445" s="13" t="e">
        <f t="shared" si="398"/>
        <v>#REF!</v>
      </c>
      <c r="R445" s="215" t="e">
        <f>VLOOKUP($B445,#REF!,6,FALSE)</f>
        <v>#REF!</v>
      </c>
      <c r="S445" s="215" t="e">
        <f>VLOOKUP($B445,#REF!,7,FALSE)</f>
        <v>#REF!</v>
      </c>
      <c r="T445" s="13">
        <v>85</v>
      </c>
      <c r="U445" s="167" t="e">
        <f>VLOOKUP($B445,#REF!,9,FALSE)</f>
        <v>#REF!</v>
      </c>
      <c r="V445" s="13">
        <v>1</v>
      </c>
      <c r="W445" s="13" t="s">
        <v>2417</v>
      </c>
      <c r="X445" s="13" t="s">
        <v>1924</v>
      </c>
      <c r="Y445" s="13" t="s">
        <v>2073</v>
      </c>
      <c r="Z445" s="13" t="s">
        <v>2073</v>
      </c>
      <c r="AA445" s="13" t="s">
        <v>2073</v>
      </c>
      <c r="AB445" s="13" t="s">
        <v>1924</v>
      </c>
      <c r="AC445" s="211" t="s">
        <v>2415</v>
      </c>
      <c r="AD445" s="13" t="s">
        <v>2416</v>
      </c>
      <c r="AE445" s="69" t="e">
        <f>VLOOKUP($B445,#REF!,4,FALSE)</f>
        <v>#REF!</v>
      </c>
      <c r="AF445" s="13" t="s">
        <v>2418</v>
      </c>
      <c r="AG445" s="13" t="s">
        <v>2419</v>
      </c>
      <c r="AH445" s="13" t="s">
        <v>2420</v>
      </c>
      <c r="AI445" s="13" t="s">
        <v>2421</v>
      </c>
      <c r="AJ445" s="13" t="s">
        <v>2422</v>
      </c>
      <c r="AK445" s="13" t="s">
        <v>2416</v>
      </c>
      <c r="AL445" s="13" t="s">
        <v>2077</v>
      </c>
      <c r="AM445" s="13" t="s">
        <v>2077</v>
      </c>
      <c r="AN445" s="13" t="s">
        <v>2077</v>
      </c>
      <c r="AO445" s="13" t="s">
        <v>2077</v>
      </c>
      <c r="AP445" s="13" t="s">
        <v>2077</v>
      </c>
      <c r="AQ445" s="13" t="s">
        <v>2077</v>
      </c>
      <c r="AR445" s="13" t="s">
        <v>2418</v>
      </c>
      <c r="AS445" s="13" t="s">
        <v>2419</v>
      </c>
      <c r="AT445" s="13" t="s">
        <v>2420</v>
      </c>
      <c r="AU445" s="13" t="s">
        <v>2421</v>
      </c>
      <c r="AV445" s="13" t="s">
        <v>2422</v>
      </c>
      <c r="AW445" s="13" t="s">
        <v>2416</v>
      </c>
      <c r="AX445" s="13" t="s">
        <v>2073</v>
      </c>
      <c r="AY445" s="13" t="s">
        <v>2073</v>
      </c>
      <c r="AZ445" s="13" t="s">
        <v>2073</v>
      </c>
      <c r="BA445" s="13" t="s">
        <v>2073</v>
      </c>
      <c r="BB445" s="13" t="s">
        <v>2073</v>
      </c>
      <c r="BC445" s="13" t="s">
        <v>2073</v>
      </c>
    </row>
    <row r="446" spans="1:55" ht="15.75" customHeight="1">
      <c r="A446" s="6">
        <v>2000</v>
      </c>
      <c r="B446" s="63" t="s">
        <v>1211</v>
      </c>
      <c r="C446" s="211" t="s">
        <v>2412</v>
      </c>
      <c r="D446" s="13" t="e">
        <f>VLOOKUP($B446,#REF!,2,FALSE)</f>
        <v>#REF!</v>
      </c>
      <c r="E446" s="13" t="e">
        <f>VLOOKUP($B446,#REF!,10,FALSE)</f>
        <v>#REF!</v>
      </c>
      <c r="F446" s="211" t="s">
        <v>2413</v>
      </c>
      <c r="G446" s="13" t="s">
        <v>2414</v>
      </c>
      <c r="H446" s="13" t="s">
        <v>2077</v>
      </c>
      <c r="I446" s="13" t="s">
        <v>2077</v>
      </c>
      <c r="J446" s="13" t="s">
        <v>2077</v>
      </c>
      <c r="K446" s="13" t="s">
        <v>2077</v>
      </c>
      <c r="L446" s="13" t="s">
        <v>2077</v>
      </c>
      <c r="M446" s="13" t="s">
        <v>2077</v>
      </c>
      <c r="N446" s="211" t="s">
        <v>2415</v>
      </c>
      <c r="O446" s="13" t="s">
        <v>2416</v>
      </c>
      <c r="P446" s="69" t="e">
        <f>VLOOKUP($B446,#REF!,2,FALSE)</f>
        <v>#REF!</v>
      </c>
      <c r="Q446" s="13" t="e">
        <f t="shared" si="398"/>
        <v>#REF!</v>
      </c>
      <c r="R446" s="215" t="e">
        <f>VLOOKUP($B446,#REF!,6,FALSE)</f>
        <v>#REF!</v>
      </c>
      <c r="S446" s="215" t="e">
        <f>VLOOKUP($B446,#REF!,7,FALSE)</f>
        <v>#REF!</v>
      </c>
      <c r="T446" s="13">
        <v>85</v>
      </c>
      <c r="U446" s="167" t="e">
        <f>VLOOKUP($B446,#REF!,9,FALSE)</f>
        <v>#REF!</v>
      </c>
      <c r="V446" s="13">
        <v>1</v>
      </c>
      <c r="W446" s="13" t="s">
        <v>2417</v>
      </c>
      <c r="X446" s="13" t="s">
        <v>1924</v>
      </c>
      <c r="Y446" s="13" t="s">
        <v>2073</v>
      </c>
      <c r="Z446" s="13" t="s">
        <v>2073</v>
      </c>
      <c r="AA446" s="13" t="s">
        <v>2073</v>
      </c>
      <c r="AB446" s="13" t="s">
        <v>1924</v>
      </c>
      <c r="AC446" s="211" t="s">
        <v>2415</v>
      </c>
      <c r="AD446" s="13" t="s">
        <v>2416</v>
      </c>
      <c r="AE446" s="69" t="e">
        <f>VLOOKUP($B446,#REF!,4,FALSE)</f>
        <v>#REF!</v>
      </c>
      <c r="AF446" s="13" t="s">
        <v>2418</v>
      </c>
      <c r="AG446" s="13" t="s">
        <v>2419</v>
      </c>
      <c r="AH446" s="13" t="s">
        <v>2420</v>
      </c>
      <c r="AI446" s="13" t="s">
        <v>2421</v>
      </c>
      <c r="AJ446" s="13" t="s">
        <v>2422</v>
      </c>
      <c r="AK446" s="13" t="s">
        <v>2416</v>
      </c>
      <c r="AL446" s="13" t="s">
        <v>2077</v>
      </c>
      <c r="AM446" s="13" t="s">
        <v>2077</v>
      </c>
      <c r="AN446" s="13" t="s">
        <v>2077</v>
      </c>
      <c r="AO446" s="13" t="s">
        <v>2077</v>
      </c>
      <c r="AP446" s="13" t="s">
        <v>2077</v>
      </c>
      <c r="AQ446" s="13" t="s">
        <v>2077</v>
      </c>
      <c r="AR446" s="13" t="s">
        <v>2418</v>
      </c>
      <c r="AS446" s="13" t="s">
        <v>2419</v>
      </c>
      <c r="AT446" s="13" t="s">
        <v>2420</v>
      </c>
      <c r="AU446" s="13" t="s">
        <v>2421</v>
      </c>
      <c r="AV446" s="13" t="s">
        <v>2422</v>
      </c>
      <c r="AW446" s="13" t="s">
        <v>2416</v>
      </c>
      <c r="AX446" s="13" t="s">
        <v>2073</v>
      </c>
      <c r="AY446" s="13" t="s">
        <v>2073</v>
      </c>
      <c r="AZ446" s="13" t="s">
        <v>2073</v>
      </c>
      <c r="BA446" s="13" t="s">
        <v>2073</v>
      </c>
      <c r="BB446" s="13" t="s">
        <v>2073</v>
      </c>
      <c r="BC446" s="13" t="s">
        <v>2073</v>
      </c>
    </row>
    <row r="447" spans="1:55" ht="15.75" customHeight="1">
      <c r="A447" s="6">
        <v>2000</v>
      </c>
      <c r="B447" s="63" t="s">
        <v>1214</v>
      </c>
      <c r="C447" s="211" t="s">
        <v>2412</v>
      </c>
      <c r="D447" s="13" t="e">
        <f>VLOOKUP($B447,#REF!,2,FALSE)</f>
        <v>#REF!</v>
      </c>
      <c r="E447" s="13" t="e">
        <f>VLOOKUP($B447,#REF!,10,FALSE)</f>
        <v>#REF!</v>
      </c>
      <c r="F447" s="211" t="s">
        <v>2413</v>
      </c>
      <c r="G447" s="13" t="s">
        <v>2414</v>
      </c>
      <c r="H447" s="13" t="s">
        <v>2077</v>
      </c>
      <c r="I447" s="13" t="s">
        <v>2077</v>
      </c>
      <c r="J447" s="13" t="s">
        <v>2077</v>
      </c>
      <c r="K447" s="13" t="s">
        <v>2077</v>
      </c>
      <c r="L447" s="13" t="s">
        <v>2077</v>
      </c>
      <c r="M447" s="13" t="s">
        <v>2077</v>
      </c>
      <c r="N447" s="211" t="s">
        <v>2415</v>
      </c>
      <c r="O447" s="13" t="s">
        <v>2416</v>
      </c>
      <c r="P447" s="69" t="e">
        <f>VLOOKUP($B447,#REF!,2,FALSE)</f>
        <v>#REF!</v>
      </c>
      <c r="Q447" s="13" t="e">
        <f t="shared" si="398"/>
        <v>#REF!</v>
      </c>
      <c r="R447" s="215" t="e">
        <f>VLOOKUP($B447,#REF!,6,FALSE)</f>
        <v>#REF!</v>
      </c>
      <c r="S447" s="215" t="e">
        <f>VLOOKUP($B447,#REF!,7,FALSE)</f>
        <v>#REF!</v>
      </c>
      <c r="T447" s="13">
        <v>85</v>
      </c>
      <c r="U447" s="167" t="e">
        <f>VLOOKUP($B447,#REF!,9,FALSE)</f>
        <v>#REF!</v>
      </c>
      <c r="V447" s="13">
        <v>1</v>
      </c>
      <c r="W447" s="13" t="s">
        <v>2417</v>
      </c>
      <c r="X447" s="13" t="s">
        <v>1924</v>
      </c>
      <c r="Y447" s="13" t="s">
        <v>2073</v>
      </c>
      <c r="Z447" s="13" t="s">
        <v>2073</v>
      </c>
      <c r="AA447" s="13" t="s">
        <v>2073</v>
      </c>
      <c r="AB447" s="13" t="s">
        <v>1924</v>
      </c>
      <c r="AC447" s="211" t="s">
        <v>2415</v>
      </c>
      <c r="AD447" s="13" t="s">
        <v>2416</v>
      </c>
      <c r="AE447" s="69" t="e">
        <f>VLOOKUP($B447,#REF!,4,FALSE)</f>
        <v>#REF!</v>
      </c>
      <c r="AF447" s="13" t="s">
        <v>2418</v>
      </c>
      <c r="AG447" s="13" t="s">
        <v>2419</v>
      </c>
      <c r="AH447" s="13" t="s">
        <v>2420</v>
      </c>
      <c r="AI447" s="13" t="s">
        <v>2421</v>
      </c>
      <c r="AJ447" s="13" t="s">
        <v>2422</v>
      </c>
      <c r="AK447" s="13" t="s">
        <v>2416</v>
      </c>
      <c r="AL447" s="13" t="s">
        <v>2077</v>
      </c>
      <c r="AM447" s="13" t="s">
        <v>2077</v>
      </c>
      <c r="AN447" s="13" t="s">
        <v>2077</v>
      </c>
      <c r="AO447" s="13" t="s">
        <v>2077</v>
      </c>
      <c r="AP447" s="13" t="s">
        <v>2077</v>
      </c>
      <c r="AQ447" s="13" t="s">
        <v>2077</v>
      </c>
      <c r="AR447" s="13" t="s">
        <v>2418</v>
      </c>
      <c r="AS447" s="13" t="s">
        <v>2419</v>
      </c>
      <c r="AT447" s="13" t="s">
        <v>2420</v>
      </c>
      <c r="AU447" s="13" t="s">
        <v>2421</v>
      </c>
      <c r="AV447" s="13" t="s">
        <v>2422</v>
      </c>
      <c r="AW447" s="13" t="s">
        <v>2416</v>
      </c>
      <c r="AX447" s="13" t="s">
        <v>2073</v>
      </c>
      <c r="AY447" s="13" t="s">
        <v>2073</v>
      </c>
      <c r="AZ447" s="13" t="s">
        <v>2073</v>
      </c>
      <c r="BA447" s="13" t="s">
        <v>2073</v>
      </c>
      <c r="BB447" s="13" t="s">
        <v>2073</v>
      </c>
      <c r="BC447" s="13" t="s">
        <v>2073</v>
      </c>
    </row>
    <row r="448" spans="1:55" ht="15.75" customHeight="1">
      <c r="A448" s="6">
        <v>2000</v>
      </c>
      <c r="B448" s="63" t="s">
        <v>1217</v>
      </c>
      <c r="C448" s="211" t="s">
        <v>2412</v>
      </c>
      <c r="D448" s="13" t="e">
        <f>VLOOKUP($B448,#REF!,2,FALSE)</f>
        <v>#REF!</v>
      </c>
      <c r="E448" s="13" t="e">
        <f>VLOOKUP($B448,#REF!,10,FALSE)</f>
        <v>#REF!</v>
      </c>
      <c r="F448" s="211" t="s">
        <v>2413</v>
      </c>
      <c r="G448" s="13" t="s">
        <v>2414</v>
      </c>
      <c r="H448" s="13" t="s">
        <v>2077</v>
      </c>
      <c r="I448" s="13" t="s">
        <v>2077</v>
      </c>
      <c r="J448" s="13" t="s">
        <v>2077</v>
      </c>
      <c r="K448" s="13" t="s">
        <v>2077</v>
      </c>
      <c r="L448" s="13" t="s">
        <v>2077</v>
      </c>
      <c r="M448" s="13" t="s">
        <v>2077</v>
      </c>
      <c r="N448" s="211" t="s">
        <v>2415</v>
      </c>
      <c r="O448" s="13" t="s">
        <v>2416</v>
      </c>
      <c r="P448" s="69" t="e">
        <f>VLOOKUP($B448,#REF!,2,FALSE)</f>
        <v>#REF!</v>
      </c>
      <c r="Q448" s="13" t="e">
        <f t="shared" si="398"/>
        <v>#REF!</v>
      </c>
      <c r="R448" s="215" t="e">
        <f>VLOOKUP($B448,#REF!,6,FALSE)</f>
        <v>#REF!</v>
      </c>
      <c r="S448" s="215" t="e">
        <f>VLOOKUP($B448,#REF!,7,FALSE)</f>
        <v>#REF!</v>
      </c>
      <c r="T448" s="13">
        <v>85</v>
      </c>
      <c r="U448" s="167" t="e">
        <f>VLOOKUP($B448,#REF!,9,FALSE)</f>
        <v>#REF!</v>
      </c>
      <c r="V448" s="13">
        <v>1</v>
      </c>
      <c r="W448" s="13" t="s">
        <v>2417</v>
      </c>
      <c r="X448" s="13" t="s">
        <v>1924</v>
      </c>
      <c r="Y448" s="13" t="s">
        <v>2073</v>
      </c>
      <c r="Z448" s="13" t="s">
        <v>2073</v>
      </c>
      <c r="AA448" s="13" t="s">
        <v>2073</v>
      </c>
      <c r="AB448" s="13" t="s">
        <v>1924</v>
      </c>
      <c r="AC448" s="211" t="s">
        <v>2415</v>
      </c>
      <c r="AD448" s="13" t="s">
        <v>2416</v>
      </c>
      <c r="AE448" s="69" t="e">
        <f>VLOOKUP($B448,#REF!,4,FALSE)</f>
        <v>#REF!</v>
      </c>
      <c r="AF448" s="13" t="s">
        <v>2418</v>
      </c>
      <c r="AG448" s="13" t="s">
        <v>2419</v>
      </c>
      <c r="AH448" s="13" t="s">
        <v>2420</v>
      </c>
      <c r="AI448" s="13" t="s">
        <v>2421</v>
      </c>
      <c r="AJ448" s="13" t="s">
        <v>2422</v>
      </c>
      <c r="AK448" s="13" t="s">
        <v>2416</v>
      </c>
      <c r="AL448" s="13" t="s">
        <v>2077</v>
      </c>
      <c r="AM448" s="13" t="s">
        <v>2077</v>
      </c>
      <c r="AN448" s="13" t="s">
        <v>2077</v>
      </c>
      <c r="AO448" s="13" t="s">
        <v>2077</v>
      </c>
      <c r="AP448" s="13" t="s">
        <v>2077</v>
      </c>
      <c r="AQ448" s="13" t="s">
        <v>2077</v>
      </c>
      <c r="AR448" s="13" t="s">
        <v>2418</v>
      </c>
      <c r="AS448" s="13" t="s">
        <v>2419</v>
      </c>
      <c r="AT448" s="13" t="s">
        <v>2420</v>
      </c>
      <c r="AU448" s="13" t="s">
        <v>2421</v>
      </c>
      <c r="AV448" s="13" t="s">
        <v>2422</v>
      </c>
      <c r="AW448" s="13" t="s">
        <v>2416</v>
      </c>
      <c r="AX448" s="13" t="s">
        <v>2073</v>
      </c>
      <c r="AY448" s="13" t="s">
        <v>2073</v>
      </c>
      <c r="AZ448" s="13" t="s">
        <v>2073</v>
      </c>
      <c r="BA448" s="13" t="s">
        <v>2073</v>
      </c>
      <c r="BB448" s="13" t="s">
        <v>2073</v>
      </c>
      <c r="BC448" s="13" t="s">
        <v>2073</v>
      </c>
    </row>
    <row r="449" spans="1:55" ht="15.75" customHeight="1">
      <c r="A449" s="6">
        <v>2000</v>
      </c>
      <c r="B449" s="63" t="s">
        <v>1220</v>
      </c>
      <c r="C449" s="211" t="s">
        <v>2412</v>
      </c>
      <c r="D449" s="13" t="e">
        <f>VLOOKUP($B449,#REF!,2,FALSE)</f>
        <v>#REF!</v>
      </c>
      <c r="E449" s="13" t="e">
        <f>VLOOKUP($B449,#REF!,10,FALSE)</f>
        <v>#REF!</v>
      </c>
      <c r="F449" s="211" t="s">
        <v>2413</v>
      </c>
      <c r="G449" s="13" t="s">
        <v>2414</v>
      </c>
      <c r="H449" s="13" t="s">
        <v>2077</v>
      </c>
      <c r="I449" s="13" t="s">
        <v>2077</v>
      </c>
      <c r="J449" s="13" t="s">
        <v>2077</v>
      </c>
      <c r="K449" s="13" t="s">
        <v>2077</v>
      </c>
      <c r="L449" s="13" t="s">
        <v>2077</v>
      </c>
      <c r="M449" s="13" t="s">
        <v>2077</v>
      </c>
      <c r="N449" s="211" t="s">
        <v>2415</v>
      </c>
      <c r="O449" s="13" t="s">
        <v>2416</v>
      </c>
      <c r="P449" s="69" t="e">
        <f>VLOOKUP($B449,#REF!,2,FALSE)</f>
        <v>#REF!</v>
      </c>
      <c r="Q449" s="13" t="e">
        <f t="shared" si="398"/>
        <v>#REF!</v>
      </c>
      <c r="R449" s="215" t="e">
        <f>VLOOKUP($B449,#REF!,6,FALSE)</f>
        <v>#REF!</v>
      </c>
      <c r="S449" s="215" t="e">
        <f>VLOOKUP($B449,#REF!,7,FALSE)</f>
        <v>#REF!</v>
      </c>
      <c r="T449" s="13">
        <v>85</v>
      </c>
      <c r="U449" s="167" t="e">
        <f>VLOOKUP($B449,#REF!,9,FALSE)</f>
        <v>#REF!</v>
      </c>
      <c r="V449" s="13">
        <v>1</v>
      </c>
      <c r="W449" s="13" t="s">
        <v>2417</v>
      </c>
      <c r="X449" s="13" t="s">
        <v>1924</v>
      </c>
      <c r="Y449" s="13" t="s">
        <v>2073</v>
      </c>
      <c r="Z449" s="13" t="s">
        <v>2073</v>
      </c>
      <c r="AA449" s="13" t="s">
        <v>2073</v>
      </c>
      <c r="AB449" s="13" t="s">
        <v>1924</v>
      </c>
      <c r="AC449" s="211" t="s">
        <v>2415</v>
      </c>
      <c r="AD449" s="13" t="s">
        <v>2416</v>
      </c>
      <c r="AE449" s="69" t="e">
        <f>VLOOKUP($B449,#REF!,4,FALSE)</f>
        <v>#REF!</v>
      </c>
      <c r="AF449" s="13" t="s">
        <v>2418</v>
      </c>
      <c r="AG449" s="13" t="s">
        <v>2419</v>
      </c>
      <c r="AH449" s="13" t="s">
        <v>2420</v>
      </c>
      <c r="AI449" s="13" t="s">
        <v>2421</v>
      </c>
      <c r="AJ449" s="13" t="s">
        <v>2422</v>
      </c>
      <c r="AK449" s="13" t="s">
        <v>2416</v>
      </c>
      <c r="AL449" s="13" t="s">
        <v>2077</v>
      </c>
      <c r="AM449" s="13" t="s">
        <v>2077</v>
      </c>
      <c r="AN449" s="13" t="s">
        <v>2077</v>
      </c>
      <c r="AO449" s="13" t="s">
        <v>2077</v>
      </c>
      <c r="AP449" s="13" t="s">
        <v>2077</v>
      </c>
      <c r="AQ449" s="13" t="s">
        <v>2077</v>
      </c>
      <c r="AR449" s="13" t="s">
        <v>2418</v>
      </c>
      <c r="AS449" s="13" t="s">
        <v>2419</v>
      </c>
      <c r="AT449" s="13" t="s">
        <v>2420</v>
      </c>
      <c r="AU449" s="13" t="s">
        <v>2421</v>
      </c>
      <c r="AV449" s="13" t="s">
        <v>2422</v>
      </c>
      <c r="AW449" s="13" t="s">
        <v>2416</v>
      </c>
      <c r="AX449" s="13" t="s">
        <v>2073</v>
      </c>
      <c r="AY449" s="13" t="s">
        <v>2073</v>
      </c>
      <c r="AZ449" s="13" t="s">
        <v>2073</v>
      </c>
      <c r="BA449" s="13" t="s">
        <v>2073</v>
      </c>
      <c r="BB449" s="13" t="s">
        <v>2073</v>
      </c>
      <c r="BC449" s="13" t="s">
        <v>2073</v>
      </c>
    </row>
    <row r="450" spans="1:55" ht="15.75" customHeight="1">
      <c r="A450" s="6">
        <v>2000</v>
      </c>
      <c r="B450" s="63" t="s">
        <v>1224</v>
      </c>
      <c r="C450" s="211" t="s">
        <v>2412</v>
      </c>
      <c r="D450" s="13" t="e">
        <f>VLOOKUP($B450,#REF!,2,FALSE)</f>
        <v>#REF!</v>
      </c>
      <c r="E450" s="13" t="e">
        <f>VLOOKUP($B450,#REF!,10,FALSE)</f>
        <v>#REF!</v>
      </c>
      <c r="F450" s="211" t="s">
        <v>2413</v>
      </c>
      <c r="G450" s="13" t="s">
        <v>2414</v>
      </c>
      <c r="H450" s="13" t="s">
        <v>2077</v>
      </c>
      <c r="I450" s="13" t="s">
        <v>2077</v>
      </c>
      <c r="J450" s="13" t="s">
        <v>2077</v>
      </c>
      <c r="K450" s="13" t="s">
        <v>2077</v>
      </c>
      <c r="L450" s="13" t="s">
        <v>2077</v>
      </c>
      <c r="M450" s="13" t="s">
        <v>2077</v>
      </c>
      <c r="N450" s="211" t="s">
        <v>2415</v>
      </c>
      <c r="O450" s="13" t="s">
        <v>2416</v>
      </c>
      <c r="P450" s="69" t="e">
        <f>VLOOKUP($B450,#REF!,2,FALSE)</f>
        <v>#REF!</v>
      </c>
      <c r="Q450" s="13" t="e">
        <f t="shared" si="398"/>
        <v>#REF!</v>
      </c>
      <c r="R450" s="215" t="e">
        <f>VLOOKUP($B450,#REF!,6,FALSE)</f>
        <v>#REF!</v>
      </c>
      <c r="S450" s="215" t="e">
        <f>VLOOKUP($B450,#REF!,7,FALSE)</f>
        <v>#REF!</v>
      </c>
      <c r="T450" s="13">
        <v>85</v>
      </c>
      <c r="U450" s="167" t="e">
        <f>VLOOKUP($B450,#REF!,9,FALSE)</f>
        <v>#REF!</v>
      </c>
      <c r="V450" s="13">
        <v>1</v>
      </c>
      <c r="W450" s="13" t="s">
        <v>2417</v>
      </c>
      <c r="X450" s="13" t="s">
        <v>1924</v>
      </c>
      <c r="Y450" s="13" t="s">
        <v>2073</v>
      </c>
      <c r="Z450" s="13" t="s">
        <v>2073</v>
      </c>
      <c r="AA450" s="13" t="s">
        <v>2073</v>
      </c>
      <c r="AB450" s="13" t="s">
        <v>1924</v>
      </c>
      <c r="AC450" s="211" t="s">
        <v>2415</v>
      </c>
      <c r="AD450" s="13" t="s">
        <v>2416</v>
      </c>
      <c r="AE450" s="69" t="e">
        <f>VLOOKUP($B450,#REF!,4,FALSE)</f>
        <v>#REF!</v>
      </c>
      <c r="AF450" s="13" t="s">
        <v>2418</v>
      </c>
      <c r="AG450" s="13" t="s">
        <v>2419</v>
      </c>
      <c r="AH450" s="13" t="s">
        <v>2420</v>
      </c>
      <c r="AI450" s="13" t="s">
        <v>2421</v>
      </c>
      <c r="AJ450" s="13" t="s">
        <v>2422</v>
      </c>
      <c r="AK450" s="13" t="s">
        <v>2416</v>
      </c>
      <c r="AL450" s="13" t="s">
        <v>2077</v>
      </c>
      <c r="AM450" s="13" t="s">
        <v>2077</v>
      </c>
      <c r="AN450" s="13" t="s">
        <v>2077</v>
      </c>
      <c r="AO450" s="13" t="s">
        <v>2077</v>
      </c>
      <c r="AP450" s="13" t="s">
        <v>2077</v>
      </c>
      <c r="AQ450" s="13" t="s">
        <v>2077</v>
      </c>
      <c r="AR450" s="13" t="s">
        <v>2418</v>
      </c>
      <c r="AS450" s="13" t="s">
        <v>2419</v>
      </c>
      <c r="AT450" s="13" t="s">
        <v>2420</v>
      </c>
      <c r="AU450" s="13" t="s">
        <v>2421</v>
      </c>
      <c r="AV450" s="13" t="s">
        <v>2422</v>
      </c>
      <c r="AW450" s="13" t="s">
        <v>2416</v>
      </c>
      <c r="AX450" s="13" t="s">
        <v>2073</v>
      </c>
      <c r="AY450" s="13" t="s">
        <v>2073</v>
      </c>
      <c r="AZ450" s="13" t="s">
        <v>2073</v>
      </c>
      <c r="BA450" s="13" t="s">
        <v>2073</v>
      </c>
      <c r="BB450" s="13" t="s">
        <v>2073</v>
      </c>
      <c r="BC450" s="13" t="s">
        <v>2073</v>
      </c>
    </row>
    <row r="451" spans="1:55" ht="15.75" customHeight="1">
      <c r="A451" s="6">
        <v>2000</v>
      </c>
      <c r="B451" s="63" t="s">
        <v>1228</v>
      </c>
      <c r="C451" s="211" t="s">
        <v>2412</v>
      </c>
      <c r="D451" s="13" t="e">
        <f>VLOOKUP($B451,#REF!,2,FALSE)</f>
        <v>#REF!</v>
      </c>
      <c r="E451" s="13" t="e">
        <f>VLOOKUP($B451,#REF!,10,FALSE)</f>
        <v>#REF!</v>
      </c>
      <c r="F451" s="211" t="s">
        <v>2413</v>
      </c>
      <c r="G451" s="13" t="s">
        <v>2414</v>
      </c>
      <c r="H451" s="13" t="s">
        <v>2077</v>
      </c>
      <c r="I451" s="13" t="s">
        <v>2077</v>
      </c>
      <c r="J451" s="13" t="s">
        <v>2077</v>
      </c>
      <c r="K451" s="13" t="s">
        <v>2077</v>
      </c>
      <c r="L451" s="13" t="s">
        <v>2077</v>
      </c>
      <c r="M451" s="13" t="s">
        <v>2077</v>
      </c>
      <c r="N451" s="211" t="s">
        <v>2415</v>
      </c>
      <c r="O451" s="13" t="s">
        <v>2416</v>
      </c>
      <c r="P451" s="69" t="e">
        <f>VLOOKUP($B451,#REF!,2,FALSE)</f>
        <v>#REF!</v>
      </c>
      <c r="Q451" s="13" t="e">
        <f t="shared" si="398"/>
        <v>#REF!</v>
      </c>
      <c r="R451" s="215" t="e">
        <f>VLOOKUP($B451,#REF!,6,FALSE)</f>
        <v>#REF!</v>
      </c>
      <c r="S451" s="215" t="e">
        <f>VLOOKUP($B451,#REF!,7,FALSE)</f>
        <v>#REF!</v>
      </c>
      <c r="T451" s="13">
        <v>85</v>
      </c>
      <c r="U451" s="167" t="e">
        <f>VLOOKUP($B451,#REF!,9,FALSE)</f>
        <v>#REF!</v>
      </c>
      <c r="V451" s="13">
        <v>1</v>
      </c>
      <c r="W451" s="13" t="s">
        <v>2417</v>
      </c>
      <c r="X451" s="13" t="s">
        <v>1924</v>
      </c>
      <c r="Y451" s="13" t="s">
        <v>2073</v>
      </c>
      <c r="Z451" s="13" t="s">
        <v>2073</v>
      </c>
      <c r="AA451" s="13" t="s">
        <v>2073</v>
      </c>
      <c r="AB451" s="13" t="s">
        <v>1924</v>
      </c>
      <c r="AC451" s="211" t="s">
        <v>2415</v>
      </c>
      <c r="AD451" s="13" t="s">
        <v>2416</v>
      </c>
      <c r="AE451" s="69" t="e">
        <f>VLOOKUP($B451,#REF!,4,FALSE)</f>
        <v>#REF!</v>
      </c>
      <c r="AF451" s="13" t="s">
        <v>2418</v>
      </c>
      <c r="AG451" s="13" t="s">
        <v>2419</v>
      </c>
      <c r="AH451" s="13" t="s">
        <v>2420</v>
      </c>
      <c r="AI451" s="13" t="s">
        <v>2421</v>
      </c>
      <c r="AJ451" s="13" t="s">
        <v>2422</v>
      </c>
      <c r="AK451" s="13" t="s">
        <v>2416</v>
      </c>
      <c r="AL451" s="13" t="s">
        <v>2077</v>
      </c>
      <c r="AM451" s="13" t="s">
        <v>2077</v>
      </c>
      <c r="AN451" s="13" t="s">
        <v>2077</v>
      </c>
      <c r="AO451" s="13" t="s">
        <v>2077</v>
      </c>
      <c r="AP451" s="13" t="s">
        <v>2077</v>
      </c>
      <c r="AQ451" s="13" t="s">
        <v>2077</v>
      </c>
      <c r="AR451" s="13" t="s">
        <v>2418</v>
      </c>
      <c r="AS451" s="13" t="s">
        <v>2419</v>
      </c>
      <c r="AT451" s="13" t="s">
        <v>2420</v>
      </c>
      <c r="AU451" s="13" t="s">
        <v>2421</v>
      </c>
      <c r="AV451" s="13" t="s">
        <v>2422</v>
      </c>
      <c r="AW451" s="13" t="s">
        <v>2416</v>
      </c>
      <c r="AX451" s="13" t="s">
        <v>2073</v>
      </c>
      <c r="AY451" s="13" t="s">
        <v>2073</v>
      </c>
      <c r="AZ451" s="13" t="s">
        <v>2073</v>
      </c>
      <c r="BA451" s="13" t="s">
        <v>2073</v>
      </c>
      <c r="BB451" s="13" t="s">
        <v>2073</v>
      </c>
      <c r="BC451" s="13" t="s">
        <v>2073</v>
      </c>
    </row>
    <row r="452" spans="1:55" ht="15.75" customHeight="1">
      <c r="A452" s="6">
        <v>2000</v>
      </c>
      <c r="B452" s="63" t="s">
        <v>1232</v>
      </c>
      <c r="C452" s="211" t="s">
        <v>2412</v>
      </c>
      <c r="D452" s="13" t="e">
        <f>VLOOKUP($B452,#REF!,2,FALSE)</f>
        <v>#REF!</v>
      </c>
      <c r="E452" s="13" t="e">
        <f>VLOOKUP($B452,#REF!,10,FALSE)</f>
        <v>#REF!</v>
      </c>
      <c r="F452" s="211" t="s">
        <v>2413</v>
      </c>
      <c r="G452" s="13" t="s">
        <v>2414</v>
      </c>
      <c r="H452" s="13" t="s">
        <v>2077</v>
      </c>
      <c r="I452" s="13" t="s">
        <v>2077</v>
      </c>
      <c r="J452" s="13" t="s">
        <v>2077</v>
      </c>
      <c r="K452" s="13" t="s">
        <v>2077</v>
      </c>
      <c r="L452" s="13" t="s">
        <v>2077</v>
      </c>
      <c r="M452" s="13" t="s">
        <v>2077</v>
      </c>
      <c r="N452" s="211" t="s">
        <v>2415</v>
      </c>
      <c r="O452" s="13" t="s">
        <v>2416</v>
      </c>
      <c r="P452" s="69" t="e">
        <f>VLOOKUP($B452,#REF!,2,FALSE)</f>
        <v>#REF!</v>
      </c>
      <c r="Q452" s="13" t="e">
        <f t="shared" si="398"/>
        <v>#REF!</v>
      </c>
      <c r="R452" s="215" t="e">
        <f>VLOOKUP($B452,#REF!,6,FALSE)</f>
        <v>#REF!</v>
      </c>
      <c r="S452" s="215" t="e">
        <f>VLOOKUP($B452,#REF!,7,FALSE)</f>
        <v>#REF!</v>
      </c>
      <c r="T452" s="13">
        <v>85</v>
      </c>
      <c r="U452" s="167" t="e">
        <f>VLOOKUP($B452,#REF!,9,FALSE)</f>
        <v>#REF!</v>
      </c>
      <c r="V452" s="13">
        <v>1</v>
      </c>
      <c r="W452" s="13" t="s">
        <v>2417</v>
      </c>
      <c r="X452" s="13" t="s">
        <v>1924</v>
      </c>
      <c r="Y452" s="13" t="s">
        <v>2073</v>
      </c>
      <c r="Z452" s="13" t="s">
        <v>2073</v>
      </c>
      <c r="AA452" s="13" t="s">
        <v>2073</v>
      </c>
      <c r="AB452" s="13" t="s">
        <v>1924</v>
      </c>
      <c r="AC452" s="211" t="s">
        <v>2415</v>
      </c>
      <c r="AD452" s="13" t="s">
        <v>2416</v>
      </c>
      <c r="AE452" s="69" t="e">
        <f>VLOOKUP($B452,#REF!,4,FALSE)</f>
        <v>#REF!</v>
      </c>
      <c r="AF452" s="13" t="s">
        <v>2418</v>
      </c>
      <c r="AG452" s="13" t="s">
        <v>2419</v>
      </c>
      <c r="AH452" s="13" t="s">
        <v>2420</v>
      </c>
      <c r="AI452" s="13" t="s">
        <v>2421</v>
      </c>
      <c r="AJ452" s="13" t="s">
        <v>2422</v>
      </c>
      <c r="AK452" s="13" t="s">
        <v>2416</v>
      </c>
      <c r="AL452" s="13" t="s">
        <v>2077</v>
      </c>
      <c r="AM452" s="13" t="s">
        <v>2077</v>
      </c>
      <c r="AN452" s="13" t="s">
        <v>2077</v>
      </c>
      <c r="AO452" s="13" t="s">
        <v>2077</v>
      </c>
      <c r="AP452" s="13" t="s">
        <v>2077</v>
      </c>
      <c r="AQ452" s="13" t="s">
        <v>2077</v>
      </c>
      <c r="AR452" s="13" t="s">
        <v>2418</v>
      </c>
      <c r="AS452" s="13" t="s">
        <v>2419</v>
      </c>
      <c r="AT452" s="13" t="s">
        <v>2420</v>
      </c>
      <c r="AU452" s="13" t="s">
        <v>2421</v>
      </c>
      <c r="AV452" s="13" t="s">
        <v>2422</v>
      </c>
      <c r="AW452" s="13" t="s">
        <v>2416</v>
      </c>
      <c r="AX452" s="13" t="s">
        <v>2073</v>
      </c>
      <c r="AY452" s="13" t="s">
        <v>2073</v>
      </c>
      <c r="AZ452" s="13" t="s">
        <v>2073</v>
      </c>
      <c r="BA452" s="13" t="s">
        <v>2073</v>
      </c>
      <c r="BB452" s="13" t="s">
        <v>2073</v>
      </c>
      <c r="BC452" s="13" t="s">
        <v>2073</v>
      </c>
    </row>
    <row r="453" spans="1:55" ht="15.75" customHeight="1">
      <c r="A453" s="6">
        <v>2000</v>
      </c>
      <c r="B453" s="63" t="s">
        <v>1236</v>
      </c>
      <c r="C453" s="211" t="s">
        <v>2412</v>
      </c>
      <c r="D453" s="13" t="e">
        <f>VLOOKUP($B453,#REF!,2,FALSE)</f>
        <v>#REF!</v>
      </c>
      <c r="E453" s="13" t="e">
        <f>VLOOKUP($B453,#REF!,10,FALSE)</f>
        <v>#REF!</v>
      </c>
      <c r="F453" s="211" t="s">
        <v>2413</v>
      </c>
      <c r="G453" s="13" t="s">
        <v>2414</v>
      </c>
      <c r="H453" s="13" t="s">
        <v>2077</v>
      </c>
      <c r="I453" s="13" t="s">
        <v>2077</v>
      </c>
      <c r="J453" s="13" t="s">
        <v>2077</v>
      </c>
      <c r="K453" s="13" t="s">
        <v>2077</v>
      </c>
      <c r="L453" s="13" t="s">
        <v>2077</v>
      </c>
      <c r="M453" s="13" t="s">
        <v>2077</v>
      </c>
      <c r="N453" s="211" t="s">
        <v>2415</v>
      </c>
      <c r="O453" s="13" t="s">
        <v>2416</v>
      </c>
      <c r="P453" s="69" t="e">
        <f>VLOOKUP($B453,#REF!,2,FALSE)</f>
        <v>#REF!</v>
      </c>
      <c r="Q453" s="13" t="e">
        <f t="shared" si="398"/>
        <v>#REF!</v>
      </c>
      <c r="R453" s="215" t="e">
        <f>VLOOKUP($B453,#REF!,6,FALSE)</f>
        <v>#REF!</v>
      </c>
      <c r="S453" s="215" t="e">
        <f>VLOOKUP($B453,#REF!,7,FALSE)</f>
        <v>#REF!</v>
      </c>
      <c r="T453" s="13">
        <v>85</v>
      </c>
      <c r="U453" s="167" t="e">
        <f>VLOOKUP($B453,#REF!,9,FALSE)</f>
        <v>#REF!</v>
      </c>
      <c r="V453" s="13">
        <v>1</v>
      </c>
      <c r="W453" s="13" t="s">
        <v>2417</v>
      </c>
      <c r="X453" s="13" t="s">
        <v>1924</v>
      </c>
      <c r="Y453" s="13" t="s">
        <v>2073</v>
      </c>
      <c r="Z453" s="13" t="s">
        <v>2073</v>
      </c>
      <c r="AA453" s="13" t="s">
        <v>2073</v>
      </c>
      <c r="AB453" s="13" t="s">
        <v>1924</v>
      </c>
      <c r="AC453" s="211" t="s">
        <v>2415</v>
      </c>
      <c r="AD453" s="13" t="s">
        <v>2416</v>
      </c>
      <c r="AE453" s="69" t="e">
        <f>VLOOKUP($B453,#REF!,4,FALSE)</f>
        <v>#REF!</v>
      </c>
      <c r="AF453" s="13" t="s">
        <v>2418</v>
      </c>
      <c r="AG453" s="13" t="s">
        <v>2419</v>
      </c>
      <c r="AH453" s="13" t="s">
        <v>2420</v>
      </c>
      <c r="AI453" s="13" t="s">
        <v>2421</v>
      </c>
      <c r="AJ453" s="13" t="s">
        <v>2422</v>
      </c>
      <c r="AK453" s="13" t="s">
        <v>2416</v>
      </c>
      <c r="AL453" s="13" t="s">
        <v>2077</v>
      </c>
      <c r="AM453" s="13" t="s">
        <v>2077</v>
      </c>
      <c r="AN453" s="13" t="s">
        <v>2077</v>
      </c>
      <c r="AO453" s="13" t="s">
        <v>2077</v>
      </c>
      <c r="AP453" s="13" t="s">
        <v>2077</v>
      </c>
      <c r="AQ453" s="13" t="s">
        <v>2077</v>
      </c>
      <c r="AR453" s="13" t="s">
        <v>2418</v>
      </c>
      <c r="AS453" s="13" t="s">
        <v>2419</v>
      </c>
      <c r="AT453" s="13" t="s">
        <v>2420</v>
      </c>
      <c r="AU453" s="13" t="s">
        <v>2421</v>
      </c>
      <c r="AV453" s="13" t="s">
        <v>2422</v>
      </c>
      <c r="AW453" s="13" t="s">
        <v>2416</v>
      </c>
      <c r="AX453" s="13" t="s">
        <v>2073</v>
      </c>
      <c r="AY453" s="13" t="s">
        <v>2073</v>
      </c>
      <c r="AZ453" s="13" t="s">
        <v>2073</v>
      </c>
      <c r="BA453" s="13" t="s">
        <v>2073</v>
      </c>
      <c r="BB453" s="13" t="s">
        <v>2073</v>
      </c>
      <c r="BC453" s="13" t="s">
        <v>2073</v>
      </c>
    </row>
    <row r="454" spans="1:55" ht="15.75" customHeight="1">
      <c r="A454" s="6">
        <v>2000</v>
      </c>
      <c r="B454" s="63" t="s">
        <v>1240</v>
      </c>
      <c r="C454" s="211" t="s">
        <v>2412</v>
      </c>
      <c r="D454" s="13" t="e">
        <f>VLOOKUP($B454,#REF!,2,FALSE)</f>
        <v>#REF!</v>
      </c>
      <c r="E454" s="13" t="e">
        <f>VLOOKUP($B454,#REF!,10,FALSE)</f>
        <v>#REF!</v>
      </c>
      <c r="F454" s="211" t="s">
        <v>2413</v>
      </c>
      <c r="G454" s="13" t="s">
        <v>2414</v>
      </c>
      <c r="H454" s="13" t="s">
        <v>2077</v>
      </c>
      <c r="I454" s="13" t="s">
        <v>2077</v>
      </c>
      <c r="J454" s="13" t="s">
        <v>2077</v>
      </c>
      <c r="K454" s="13" t="s">
        <v>2077</v>
      </c>
      <c r="L454" s="13" t="s">
        <v>2077</v>
      </c>
      <c r="M454" s="13" t="s">
        <v>2077</v>
      </c>
      <c r="N454" s="211" t="s">
        <v>2415</v>
      </c>
      <c r="O454" s="13" t="s">
        <v>2416</v>
      </c>
      <c r="P454" s="69" t="e">
        <f>VLOOKUP($B454,#REF!,2,FALSE)</f>
        <v>#REF!</v>
      </c>
      <c r="Q454" s="13" t="e">
        <f t="shared" si="398"/>
        <v>#REF!</v>
      </c>
      <c r="R454" s="215" t="e">
        <f>VLOOKUP($B454,#REF!,6,FALSE)</f>
        <v>#REF!</v>
      </c>
      <c r="S454" s="215" t="e">
        <f>VLOOKUP($B454,#REF!,7,FALSE)</f>
        <v>#REF!</v>
      </c>
      <c r="T454" s="13">
        <v>85</v>
      </c>
      <c r="U454" s="167" t="e">
        <f>VLOOKUP($B454,#REF!,9,FALSE)</f>
        <v>#REF!</v>
      </c>
      <c r="V454" s="13">
        <v>1</v>
      </c>
      <c r="W454" s="13" t="s">
        <v>2417</v>
      </c>
      <c r="X454" s="13" t="s">
        <v>1924</v>
      </c>
      <c r="Y454" s="13" t="s">
        <v>2073</v>
      </c>
      <c r="Z454" s="13" t="s">
        <v>2073</v>
      </c>
      <c r="AA454" s="13" t="s">
        <v>2073</v>
      </c>
      <c r="AB454" s="13" t="s">
        <v>1924</v>
      </c>
      <c r="AC454" s="211" t="s">
        <v>2415</v>
      </c>
      <c r="AD454" s="13" t="s">
        <v>2416</v>
      </c>
      <c r="AE454" s="69" t="e">
        <f>VLOOKUP($B454,#REF!,4,FALSE)</f>
        <v>#REF!</v>
      </c>
      <c r="AF454" s="13" t="s">
        <v>2418</v>
      </c>
      <c r="AG454" s="13" t="s">
        <v>2419</v>
      </c>
      <c r="AH454" s="13" t="s">
        <v>2420</v>
      </c>
      <c r="AI454" s="13" t="s">
        <v>2421</v>
      </c>
      <c r="AJ454" s="13" t="s">
        <v>2422</v>
      </c>
      <c r="AK454" s="13" t="s">
        <v>2416</v>
      </c>
      <c r="AL454" s="13" t="s">
        <v>2077</v>
      </c>
      <c r="AM454" s="13" t="s">
        <v>2077</v>
      </c>
      <c r="AN454" s="13" t="s">
        <v>2077</v>
      </c>
      <c r="AO454" s="13" t="s">
        <v>2077</v>
      </c>
      <c r="AP454" s="13" t="s">
        <v>2077</v>
      </c>
      <c r="AQ454" s="13" t="s">
        <v>2077</v>
      </c>
      <c r="AR454" s="13" t="s">
        <v>2418</v>
      </c>
      <c r="AS454" s="13" t="s">
        <v>2419</v>
      </c>
      <c r="AT454" s="13" t="s">
        <v>2420</v>
      </c>
      <c r="AU454" s="13" t="s">
        <v>2421</v>
      </c>
      <c r="AV454" s="13" t="s">
        <v>2422</v>
      </c>
      <c r="AW454" s="13" t="s">
        <v>2416</v>
      </c>
      <c r="AX454" s="13" t="s">
        <v>2073</v>
      </c>
      <c r="AY454" s="13" t="s">
        <v>2073</v>
      </c>
      <c r="AZ454" s="13" t="s">
        <v>2073</v>
      </c>
      <c r="BA454" s="13" t="s">
        <v>2073</v>
      </c>
      <c r="BB454" s="13" t="s">
        <v>2073</v>
      </c>
      <c r="BC454" s="13" t="s">
        <v>2073</v>
      </c>
    </row>
    <row r="455" spans="1:55" ht="15.75" customHeight="1">
      <c r="A455" s="6">
        <v>2000</v>
      </c>
      <c r="B455" s="63" t="s">
        <v>1244</v>
      </c>
      <c r="C455" s="211" t="s">
        <v>2412</v>
      </c>
      <c r="D455" s="13" t="e">
        <f>VLOOKUP($B455,#REF!,2,FALSE)</f>
        <v>#REF!</v>
      </c>
      <c r="E455" s="13" t="e">
        <f>VLOOKUP($B455,#REF!,10,FALSE)</f>
        <v>#REF!</v>
      </c>
      <c r="F455" s="211" t="s">
        <v>2413</v>
      </c>
      <c r="G455" s="13" t="s">
        <v>2414</v>
      </c>
      <c r="H455" s="13" t="s">
        <v>2077</v>
      </c>
      <c r="I455" s="13" t="s">
        <v>2077</v>
      </c>
      <c r="J455" s="13" t="s">
        <v>2077</v>
      </c>
      <c r="K455" s="13" t="s">
        <v>2077</v>
      </c>
      <c r="L455" s="13" t="s">
        <v>2077</v>
      </c>
      <c r="M455" s="13" t="s">
        <v>2077</v>
      </c>
      <c r="N455" s="211" t="s">
        <v>2415</v>
      </c>
      <c r="O455" s="13" t="s">
        <v>2416</v>
      </c>
      <c r="P455" s="69" t="e">
        <f>VLOOKUP($B455,#REF!,2,FALSE)</f>
        <v>#REF!</v>
      </c>
      <c r="Q455" s="13" t="e">
        <f t="shared" si="398"/>
        <v>#REF!</v>
      </c>
      <c r="R455" s="215" t="e">
        <f>VLOOKUP($B455,#REF!,6,FALSE)</f>
        <v>#REF!</v>
      </c>
      <c r="S455" s="215" t="e">
        <f>VLOOKUP($B455,#REF!,7,FALSE)</f>
        <v>#REF!</v>
      </c>
      <c r="T455" s="13">
        <v>85</v>
      </c>
      <c r="U455" s="167" t="e">
        <f>VLOOKUP($B455,#REF!,9,FALSE)</f>
        <v>#REF!</v>
      </c>
      <c r="V455" s="13">
        <v>1</v>
      </c>
      <c r="W455" s="13" t="s">
        <v>2417</v>
      </c>
      <c r="X455" s="13" t="s">
        <v>1924</v>
      </c>
      <c r="Y455" s="13" t="s">
        <v>2073</v>
      </c>
      <c r="Z455" s="13" t="s">
        <v>2073</v>
      </c>
      <c r="AA455" s="13" t="s">
        <v>2073</v>
      </c>
      <c r="AB455" s="13" t="s">
        <v>1924</v>
      </c>
      <c r="AC455" s="211" t="s">
        <v>2415</v>
      </c>
      <c r="AD455" s="13" t="s">
        <v>2416</v>
      </c>
      <c r="AE455" s="69" t="e">
        <f>VLOOKUP($B455,#REF!,4,FALSE)</f>
        <v>#REF!</v>
      </c>
      <c r="AF455" s="13" t="s">
        <v>2418</v>
      </c>
      <c r="AG455" s="13" t="s">
        <v>2419</v>
      </c>
      <c r="AH455" s="13" t="s">
        <v>2420</v>
      </c>
      <c r="AI455" s="13" t="s">
        <v>2421</v>
      </c>
      <c r="AJ455" s="13" t="s">
        <v>2422</v>
      </c>
      <c r="AK455" s="13" t="s">
        <v>2416</v>
      </c>
      <c r="AL455" s="13" t="s">
        <v>2077</v>
      </c>
      <c r="AM455" s="13" t="s">
        <v>2077</v>
      </c>
      <c r="AN455" s="13" t="s">
        <v>2077</v>
      </c>
      <c r="AO455" s="13" t="s">
        <v>2077</v>
      </c>
      <c r="AP455" s="13" t="s">
        <v>2077</v>
      </c>
      <c r="AQ455" s="13" t="s">
        <v>2077</v>
      </c>
      <c r="AR455" s="13" t="s">
        <v>2418</v>
      </c>
      <c r="AS455" s="13" t="s">
        <v>2419</v>
      </c>
      <c r="AT455" s="13" t="s">
        <v>2420</v>
      </c>
      <c r="AU455" s="13" t="s">
        <v>2421</v>
      </c>
      <c r="AV455" s="13" t="s">
        <v>2422</v>
      </c>
      <c r="AW455" s="13" t="s">
        <v>2416</v>
      </c>
      <c r="AX455" s="13" t="s">
        <v>2073</v>
      </c>
      <c r="AY455" s="13" t="s">
        <v>2073</v>
      </c>
      <c r="AZ455" s="13" t="s">
        <v>2073</v>
      </c>
      <c r="BA455" s="13" t="s">
        <v>2073</v>
      </c>
      <c r="BB455" s="13" t="s">
        <v>2073</v>
      </c>
      <c r="BC455" s="13" t="s">
        <v>2073</v>
      </c>
    </row>
    <row r="456" spans="1:55" ht="15.75" customHeight="1">
      <c r="A456" s="6">
        <v>2000</v>
      </c>
      <c r="B456" s="63" t="s">
        <v>1260</v>
      </c>
      <c r="C456" s="211" t="s">
        <v>2412</v>
      </c>
      <c r="D456" s="13" t="e">
        <f>VLOOKUP($B456,#REF!,2,FALSE)</f>
        <v>#REF!</v>
      </c>
      <c r="E456" s="13" t="e">
        <f>VLOOKUP($B456,#REF!,10,FALSE)</f>
        <v>#REF!</v>
      </c>
      <c r="F456" s="211" t="s">
        <v>2413</v>
      </c>
      <c r="G456" s="13" t="s">
        <v>2414</v>
      </c>
      <c r="H456" s="13" t="s">
        <v>2077</v>
      </c>
      <c r="I456" s="13" t="s">
        <v>2077</v>
      </c>
      <c r="J456" s="13" t="s">
        <v>2077</v>
      </c>
      <c r="K456" s="13" t="s">
        <v>2077</v>
      </c>
      <c r="L456" s="13" t="s">
        <v>2077</v>
      </c>
      <c r="M456" s="13" t="s">
        <v>2077</v>
      </c>
      <c r="N456" s="211" t="s">
        <v>2415</v>
      </c>
      <c r="O456" s="13" t="s">
        <v>2416</v>
      </c>
      <c r="P456" s="69" t="e">
        <f>VLOOKUP($B456,#REF!,2,FALSE)</f>
        <v>#REF!</v>
      </c>
      <c r="Q456" s="13" t="e">
        <f t="shared" si="398"/>
        <v>#REF!</v>
      </c>
      <c r="R456" s="215" t="e">
        <f>VLOOKUP($B456,#REF!,6,FALSE)</f>
        <v>#REF!</v>
      </c>
      <c r="S456" s="215" t="e">
        <f>VLOOKUP($B456,#REF!,7,FALSE)</f>
        <v>#REF!</v>
      </c>
      <c r="T456" s="13">
        <v>85</v>
      </c>
      <c r="U456" s="167" t="e">
        <f>VLOOKUP($B456,#REF!,9,FALSE)</f>
        <v>#REF!</v>
      </c>
      <c r="V456" s="13">
        <v>1</v>
      </c>
      <c r="W456" s="13" t="s">
        <v>2417</v>
      </c>
      <c r="X456" s="13" t="s">
        <v>1924</v>
      </c>
      <c r="Y456" s="13" t="s">
        <v>2073</v>
      </c>
      <c r="Z456" s="13" t="s">
        <v>2073</v>
      </c>
      <c r="AA456" s="13" t="s">
        <v>2073</v>
      </c>
      <c r="AB456" s="13" t="s">
        <v>1924</v>
      </c>
      <c r="AC456" s="211" t="s">
        <v>2415</v>
      </c>
      <c r="AD456" s="13" t="s">
        <v>2416</v>
      </c>
      <c r="AE456" s="69" t="e">
        <f>VLOOKUP($B456,#REF!,4,FALSE)</f>
        <v>#REF!</v>
      </c>
      <c r="AF456" s="13" t="s">
        <v>2418</v>
      </c>
      <c r="AG456" s="13" t="s">
        <v>2419</v>
      </c>
      <c r="AH456" s="13" t="s">
        <v>2420</v>
      </c>
      <c r="AI456" s="13" t="s">
        <v>2421</v>
      </c>
      <c r="AJ456" s="13" t="s">
        <v>2422</v>
      </c>
      <c r="AK456" s="13" t="s">
        <v>2416</v>
      </c>
      <c r="AL456" s="13" t="s">
        <v>2077</v>
      </c>
      <c r="AM456" s="13" t="s">
        <v>2077</v>
      </c>
      <c r="AN456" s="13" t="s">
        <v>2077</v>
      </c>
      <c r="AO456" s="13" t="s">
        <v>2077</v>
      </c>
      <c r="AP456" s="13" t="s">
        <v>2077</v>
      </c>
      <c r="AQ456" s="13" t="s">
        <v>2077</v>
      </c>
      <c r="AR456" s="13" t="s">
        <v>2418</v>
      </c>
      <c r="AS456" s="13" t="s">
        <v>2419</v>
      </c>
      <c r="AT456" s="13" t="s">
        <v>2420</v>
      </c>
      <c r="AU456" s="13" t="s">
        <v>2421</v>
      </c>
      <c r="AV456" s="13" t="s">
        <v>2422</v>
      </c>
      <c r="AW456" s="13" t="s">
        <v>2416</v>
      </c>
      <c r="AX456" s="13" t="s">
        <v>2073</v>
      </c>
      <c r="AY456" s="13" t="s">
        <v>2073</v>
      </c>
      <c r="AZ456" s="13" t="s">
        <v>2073</v>
      </c>
      <c r="BA456" s="13" t="s">
        <v>2073</v>
      </c>
      <c r="BB456" s="13" t="s">
        <v>2073</v>
      </c>
      <c r="BC456" s="13" t="s">
        <v>2073</v>
      </c>
    </row>
    <row r="457" spans="1:55" ht="15.75" customHeight="1">
      <c r="A457" s="6">
        <v>2000</v>
      </c>
      <c r="B457" s="63" t="s">
        <v>1264</v>
      </c>
      <c r="C457" s="211" t="s">
        <v>2412</v>
      </c>
      <c r="D457" s="13" t="e">
        <f>VLOOKUP($B457,#REF!,2,FALSE)</f>
        <v>#REF!</v>
      </c>
      <c r="E457" s="13" t="e">
        <f>VLOOKUP($B457,#REF!,10,FALSE)</f>
        <v>#REF!</v>
      </c>
      <c r="F457" s="211" t="s">
        <v>2413</v>
      </c>
      <c r="G457" s="13" t="s">
        <v>2414</v>
      </c>
      <c r="H457" s="13" t="s">
        <v>2077</v>
      </c>
      <c r="I457" s="13" t="s">
        <v>2077</v>
      </c>
      <c r="J457" s="13" t="s">
        <v>2077</v>
      </c>
      <c r="K457" s="13" t="s">
        <v>2077</v>
      </c>
      <c r="L457" s="13" t="s">
        <v>2077</v>
      </c>
      <c r="M457" s="13" t="s">
        <v>2077</v>
      </c>
      <c r="N457" s="211" t="s">
        <v>2415</v>
      </c>
      <c r="O457" s="13" t="s">
        <v>2416</v>
      </c>
      <c r="P457" s="69" t="e">
        <f>VLOOKUP($B457,#REF!,2,FALSE)</f>
        <v>#REF!</v>
      </c>
      <c r="Q457" s="13" t="e">
        <f t="shared" si="398"/>
        <v>#REF!</v>
      </c>
      <c r="R457" s="215" t="e">
        <f>VLOOKUP($B457,#REF!,6,FALSE)</f>
        <v>#REF!</v>
      </c>
      <c r="S457" s="215" t="e">
        <f>VLOOKUP($B457,#REF!,7,FALSE)</f>
        <v>#REF!</v>
      </c>
      <c r="T457" s="13">
        <v>85</v>
      </c>
      <c r="U457" s="167" t="e">
        <f>VLOOKUP($B457,#REF!,9,FALSE)</f>
        <v>#REF!</v>
      </c>
      <c r="V457" s="13">
        <v>1</v>
      </c>
      <c r="W457" s="13" t="s">
        <v>2417</v>
      </c>
      <c r="X457" s="13" t="s">
        <v>1924</v>
      </c>
      <c r="Y457" s="13" t="s">
        <v>2073</v>
      </c>
      <c r="Z457" s="13" t="s">
        <v>2073</v>
      </c>
      <c r="AA457" s="13" t="s">
        <v>2073</v>
      </c>
      <c r="AB457" s="13" t="s">
        <v>1924</v>
      </c>
      <c r="AC457" s="211" t="s">
        <v>2415</v>
      </c>
      <c r="AD457" s="13" t="s">
        <v>2416</v>
      </c>
      <c r="AE457" s="69" t="e">
        <f>VLOOKUP($B457,#REF!,4,FALSE)</f>
        <v>#REF!</v>
      </c>
      <c r="AF457" s="13" t="s">
        <v>2418</v>
      </c>
      <c r="AG457" s="13" t="s">
        <v>2419</v>
      </c>
      <c r="AH457" s="13" t="s">
        <v>2420</v>
      </c>
      <c r="AI457" s="13" t="s">
        <v>2421</v>
      </c>
      <c r="AJ457" s="13" t="s">
        <v>2422</v>
      </c>
      <c r="AK457" s="13" t="s">
        <v>2416</v>
      </c>
      <c r="AL457" s="13" t="s">
        <v>2077</v>
      </c>
      <c r="AM457" s="13" t="s">
        <v>2077</v>
      </c>
      <c r="AN457" s="13" t="s">
        <v>2077</v>
      </c>
      <c r="AO457" s="13" t="s">
        <v>2077</v>
      </c>
      <c r="AP457" s="13" t="s">
        <v>2077</v>
      </c>
      <c r="AQ457" s="13" t="s">
        <v>2077</v>
      </c>
      <c r="AR457" s="13" t="s">
        <v>2418</v>
      </c>
      <c r="AS457" s="13" t="s">
        <v>2419</v>
      </c>
      <c r="AT457" s="13" t="s">
        <v>2420</v>
      </c>
      <c r="AU457" s="13" t="s">
        <v>2421</v>
      </c>
      <c r="AV457" s="13" t="s">
        <v>2422</v>
      </c>
      <c r="AW457" s="13" t="s">
        <v>2416</v>
      </c>
      <c r="AX457" s="13" t="s">
        <v>2073</v>
      </c>
      <c r="AY457" s="13" t="s">
        <v>2073</v>
      </c>
      <c r="AZ457" s="13" t="s">
        <v>2073</v>
      </c>
      <c r="BA457" s="13" t="s">
        <v>2073</v>
      </c>
      <c r="BB457" s="13" t="s">
        <v>2073</v>
      </c>
      <c r="BC457" s="13" t="s">
        <v>2073</v>
      </c>
    </row>
    <row r="458" spans="1:55" ht="15.75" customHeight="1">
      <c r="A458" s="6">
        <v>2000</v>
      </c>
      <c r="B458" s="63" t="s">
        <v>1025</v>
      </c>
      <c r="C458" s="211" t="s">
        <v>2412</v>
      </c>
      <c r="D458" s="13" t="e">
        <f>VLOOKUP($B458,#REF!,2,FALSE)</f>
        <v>#REF!</v>
      </c>
      <c r="E458" s="13" t="e">
        <f>VLOOKUP($B458,#REF!,10,FALSE)</f>
        <v>#REF!</v>
      </c>
      <c r="F458" s="211" t="s">
        <v>2413</v>
      </c>
      <c r="G458" s="13" t="s">
        <v>2414</v>
      </c>
      <c r="H458" s="13" t="s">
        <v>2077</v>
      </c>
      <c r="I458" s="13" t="s">
        <v>2077</v>
      </c>
      <c r="J458" s="13" t="s">
        <v>2077</v>
      </c>
      <c r="K458" s="13" t="s">
        <v>2077</v>
      </c>
      <c r="L458" s="13" t="s">
        <v>2077</v>
      </c>
      <c r="M458" s="13" t="s">
        <v>2077</v>
      </c>
      <c r="N458" s="211" t="s">
        <v>2415</v>
      </c>
      <c r="O458" s="13" t="s">
        <v>2416</v>
      </c>
      <c r="P458" s="69" t="e">
        <f>VLOOKUP($B458,#REF!,2,FALSE)</f>
        <v>#REF!</v>
      </c>
      <c r="Q458" s="13" t="e">
        <f t="shared" si="398"/>
        <v>#REF!</v>
      </c>
      <c r="R458" s="215" t="e">
        <f>VLOOKUP($B458,#REF!,6,FALSE)</f>
        <v>#REF!</v>
      </c>
      <c r="S458" s="215" t="e">
        <f>VLOOKUP($B458,#REF!,7,FALSE)</f>
        <v>#REF!</v>
      </c>
      <c r="T458" s="13">
        <v>85</v>
      </c>
      <c r="U458" s="167" t="e">
        <f>VLOOKUP($B458,#REF!,9,FALSE)</f>
        <v>#REF!</v>
      </c>
      <c r="V458" s="13">
        <v>1</v>
      </c>
      <c r="W458" s="13" t="s">
        <v>2417</v>
      </c>
      <c r="X458" s="13" t="s">
        <v>1924</v>
      </c>
      <c r="Y458" s="13" t="s">
        <v>2073</v>
      </c>
      <c r="Z458" s="13" t="s">
        <v>2073</v>
      </c>
      <c r="AA458" s="13" t="s">
        <v>2073</v>
      </c>
      <c r="AB458" s="13" t="s">
        <v>1924</v>
      </c>
      <c r="AC458" s="211" t="s">
        <v>2415</v>
      </c>
      <c r="AD458" s="13" t="s">
        <v>2416</v>
      </c>
      <c r="AE458" s="69" t="e">
        <f>VLOOKUP($B458,#REF!,4,FALSE)</f>
        <v>#REF!</v>
      </c>
      <c r="AF458" s="13" t="s">
        <v>2418</v>
      </c>
      <c r="AG458" s="13" t="s">
        <v>2419</v>
      </c>
      <c r="AH458" s="13" t="s">
        <v>2420</v>
      </c>
      <c r="AI458" s="13" t="s">
        <v>2421</v>
      </c>
      <c r="AJ458" s="13" t="s">
        <v>2422</v>
      </c>
      <c r="AK458" s="13" t="s">
        <v>2416</v>
      </c>
      <c r="AL458" s="13" t="s">
        <v>2077</v>
      </c>
      <c r="AM458" s="13" t="s">
        <v>2077</v>
      </c>
      <c r="AN458" s="13" t="s">
        <v>2077</v>
      </c>
      <c r="AO458" s="13" t="s">
        <v>2077</v>
      </c>
      <c r="AP458" s="13" t="s">
        <v>2077</v>
      </c>
      <c r="AQ458" s="13" t="s">
        <v>2077</v>
      </c>
      <c r="AR458" s="13" t="s">
        <v>2418</v>
      </c>
      <c r="AS458" s="13" t="s">
        <v>2419</v>
      </c>
      <c r="AT458" s="13" t="s">
        <v>2420</v>
      </c>
      <c r="AU458" s="13" t="s">
        <v>2421</v>
      </c>
      <c r="AV458" s="13" t="s">
        <v>2422</v>
      </c>
      <c r="AW458" s="13" t="s">
        <v>2416</v>
      </c>
      <c r="AX458" s="13" t="s">
        <v>2073</v>
      </c>
      <c r="AY458" s="13" t="s">
        <v>2073</v>
      </c>
      <c r="AZ458" s="13" t="s">
        <v>2073</v>
      </c>
      <c r="BA458" s="13" t="s">
        <v>2073</v>
      </c>
      <c r="BB458" s="13" t="s">
        <v>2073</v>
      </c>
      <c r="BC458" s="13" t="s">
        <v>2073</v>
      </c>
    </row>
    <row r="459" spans="1:55" ht="15.75" customHeight="1">
      <c r="A459" s="6">
        <v>2000</v>
      </c>
      <c r="B459" s="63" t="s">
        <v>1030</v>
      </c>
      <c r="C459" s="211" t="s">
        <v>2412</v>
      </c>
      <c r="D459" s="13" t="e">
        <f>VLOOKUP($B459,#REF!,2,FALSE)</f>
        <v>#REF!</v>
      </c>
      <c r="E459" s="13" t="e">
        <f>VLOOKUP($B459,#REF!,10,FALSE)</f>
        <v>#REF!</v>
      </c>
      <c r="F459" s="211" t="s">
        <v>2413</v>
      </c>
      <c r="G459" s="13" t="s">
        <v>2414</v>
      </c>
      <c r="H459" s="13" t="s">
        <v>2077</v>
      </c>
      <c r="I459" s="13" t="s">
        <v>2077</v>
      </c>
      <c r="J459" s="13" t="s">
        <v>2077</v>
      </c>
      <c r="K459" s="13" t="s">
        <v>2077</v>
      </c>
      <c r="L459" s="13" t="s">
        <v>2077</v>
      </c>
      <c r="M459" s="13" t="s">
        <v>2077</v>
      </c>
      <c r="N459" s="211" t="s">
        <v>2415</v>
      </c>
      <c r="O459" s="13" t="s">
        <v>2416</v>
      </c>
      <c r="P459" s="69" t="e">
        <f>VLOOKUP($B459,#REF!,2,FALSE)</f>
        <v>#REF!</v>
      </c>
      <c r="Q459" s="13" t="e">
        <f t="shared" si="398"/>
        <v>#REF!</v>
      </c>
      <c r="R459" s="215" t="e">
        <f>VLOOKUP($B459,#REF!,6,FALSE)</f>
        <v>#REF!</v>
      </c>
      <c r="S459" s="215" t="e">
        <f>VLOOKUP($B459,#REF!,7,FALSE)</f>
        <v>#REF!</v>
      </c>
      <c r="T459" s="13">
        <v>85</v>
      </c>
      <c r="U459" s="167" t="e">
        <f>VLOOKUP($B459,#REF!,9,FALSE)</f>
        <v>#REF!</v>
      </c>
      <c r="V459" s="13">
        <v>1</v>
      </c>
      <c r="W459" s="13" t="s">
        <v>2417</v>
      </c>
      <c r="X459" s="13" t="s">
        <v>1924</v>
      </c>
      <c r="Y459" s="13" t="s">
        <v>2073</v>
      </c>
      <c r="Z459" s="13" t="s">
        <v>2073</v>
      </c>
      <c r="AA459" s="13" t="s">
        <v>2073</v>
      </c>
      <c r="AB459" s="13" t="s">
        <v>1924</v>
      </c>
      <c r="AC459" s="211" t="s">
        <v>2415</v>
      </c>
      <c r="AD459" s="13" t="s">
        <v>2416</v>
      </c>
      <c r="AE459" s="69" t="e">
        <f>VLOOKUP($B459,#REF!,4,FALSE)</f>
        <v>#REF!</v>
      </c>
      <c r="AF459" s="13" t="s">
        <v>2418</v>
      </c>
      <c r="AG459" s="13" t="s">
        <v>2419</v>
      </c>
      <c r="AH459" s="13" t="s">
        <v>2420</v>
      </c>
      <c r="AI459" s="13" t="s">
        <v>2421</v>
      </c>
      <c r="AJ459" s="13" t="s">
        <v>2422</v>
      </c>
      <c r="AK459" s="13" t="s">
        <v>2416</v>
      </c>
      <c r="AL459" s="13" t="s">
        <v>2077</v>
      </c>
      <c r="AM459" s="13" t="s">
        <v>2077</v>
      </c>
      <c r="AN459" s="13" t="s">
        <v>2077</v>
      </c>
      <c r="AO459" s="13" t="s">
        <v>2077</v>
      </c>
      <c r="AP459" s="13" t="s">
        <v>2077</v>
      </c>
      <c r="AQ459" s="13" t="s">
        <v>2077</v>
      </c>
      <c r="AR459" s="13" t="s">
        <v>2418</v>
      </c>
      <c r="AS459" s="13" t="s">
        <v>2419</v>
      </c>
      <c r="AT459" s="13" t="s">
        <v>2420</v>
      </c>
      <c r="AU459" s="13" t="s">
        <v>2421</v>
      </c>
      <c r="AV459" s="13" t="s">
        <v>2422</v>
      </c>
      <c r="AW459" s="13" t="s">
        <v>2416</v>
      </c>
      <c r="AX459" s="13" t="s">
        <v>2073</v>
      </c>
      <c r="AY459" s="13" t="s">
        <v>2073</v>
      </c>
      <c r="AZ459" s="13" t="s">
        <v>2073</v>
      </c>
      <c r="BA459" s="13" t="s">
        <v>2073</v>
      </c>
      <c r="BB459" s="13" t="s">
        <v>2073</v>
      </c>
      <c r="BC459" s="13" t="s">
        <v>2073</v>
      </c>
    </row>
    <row r="460" spans="1:55" ht="15.75" customHeight="1">
      <c r="A460" s="6">
        <v>2000</v>
      </c>
      <c r="B460" s="63" t="s">
        <v>1275</v>
      </c>
      <c r="C460" s="211" t="s">
        <v>2412</v>
      </c>
      <c r="D460" s="13" t="e">
        <f>VLOOKUP($B460,#REF!,2,FALSE)</f>
        <v>#REF!</v>
      </c>
      <c r="E460" s="13" t="e">
        <f>VLOOKUP($B460,#REF!,10,FALSE)</f>
        <v>#REF!</v>
      </c>
      <c r="F460" s="211" t="s">
        <v>2413</v>
      </c>
      <c r="G460" s="13" t="s">
        <v>2414</v>
      </c>
      <c r="H460" s="13" t="s">
        <v>2077</v>
      </c>
      <c r="I460" s="13" t="s">
        <v>2077</v>
      </c>
      <c r="J460" s="13" t="s">
        <v>2077</v>
      </c>
      <c r="K460" s="13" t="s">
        <v>2077</v>
      </c>
      <c r="L460" s="13" t="s">
        <v>2077</v>
      </c>
      <c r="M460" s="13" t="s">
        <v>2077</v>
      </c>
      <c r="N460" s="211" t="s">
        <v>2415</v>
      </c>
      <c r="O460" s="13" t="s">
        <v>2416</v>
      </c>
      <c r="P460" s="69" t="e">
        <f>VLOOKUP($B460,#REF!,2,FALSE)</f>
        <v>#REF!</v>
      </c>
      <c r="Q460" s="13" t="e">
        <f t="shared" si="398"/>
        <v>#REF!</v>
      </c>
      <c r="R460" s="215" t="e">
        <f>VLOOKUP($B460,#REF!,6,FALSE)</f>
        <v>#REF!</v>
      </c>
      <c r="S460" s="215" t="e">
        <f>VLOOKUP($B460,#REF!,7,FALSE)</f>
        <v>#REF!</v>
      </c>
      <c r="T460" s="13">
        <v>85</v>
      </c>
      <c r="U460" s="167" t="e">
        <f>VLOOKUP($B460,#REF!,9,FALSE)</f>
        <v>#REF!</v>
      </c>
      <c r="V460" s="13">
        <v>1</v>
      </c>
      <c r="W460" s="13" t="s">
        <v>2417</v>
      </c>
      <c r="X460" s="13" t="s">
        <v>1924</v>
      </c>
      <c r="Y460" s="13" t="s">
        <v>2073</v>
      </c>
      <c r="Z460" s="13" t="s">
        <v>2073</v>
      </c>
      <c r="AA460" s="13" t="s">
        <v>2073</v>
      </c>
      <c r="AB460" s="13" t="s">
        <v>1924</v>
      </c>
      <c r="AC460" s="211" t="s">
        <v>2415</v>
      </c>
      <c r="AD460" s="13" t="s">
        <v>2416</v>
      </c>
      <c r="AE460" s="69" t="e">
        <f>VLOOKUP($B460,#REF!,4,FALSE)</f>
        <v>#REF!</v>
      </c>
      <c r="AF460" s="13" t="s">
        <v>2418</v>
      </c>
      <c r="AG460" s="13" t="s">
        <v>2419</v>
      </c>
      <c r="AH460" s="13" t="s">
        <v>2420</v>
      </c>
      <c r="AI460" s="13" t="s">
        <v>2421</v>
      </c>
      <c r="AJ460" s="13" t="s">
        <v>2422</v>
      </c>
      <c r="AK460" s="13" t="s">
        <v>2416</v>
      </c>
      <c r="AL460" s="13" t="s">
        <v>2077</v>
      </c>
      <c r="AM460" s="13" t="s">
        <v>2077</v>
      </c>
      <c r="AN460" s="13" t="s">
        <v>2077</v>
      </c>
      <c r="AO460" s="13" t="s">
        <v>2077</v>
      </c>
      <c r="AP460" s="13" t="s">
        <v>2077</v>
      </c>
      <c r="AQ460" s="13" t="s">
        <v>2077</v>
      </c>
      <c r="AR460" s="13" t="s">
        <v>2418</v>
      </c>
      <c r="AS460" s="13" t="s">
        <v>2419</v>
      </c>
      <c r="AT460" s="13" t="s">
        <v>2420</v>
      </c>
      <c r="AU460" s="13" t="s">
        <v>2421</v>
      </c>
      <c r="AV460" s="13" t="s">
        <v>2422</v>
      </c>
      <c r="AW460" s="13" t="s">
        <v>2416</v>
      </c>
      <c r="AX460" s="13" t="s">
        <v>2073</v>
      </c>
      <c r="AY460" s="13" t="s">
        <v>2073</v>
      </c>
      <c r="AZ460" s="13" t="s">
        <v>2073</v>
      </c>
      <c r="BA460" s="13" t="s">
        <v>2073</v>
      </c>
      <c r="BB460" s="13" t="s">
        <v>2073</v>
      </c>
      <c r="BC460" s="13" t="s">
        <v>2073</v>
      </c>
    </row>
    <row r="461" spans="1:55" ht="15.75" customHeight="1">
      <c r="A461" s="6">
        <v>2000</v>
      </c>
      <c r="B461" s="63" t="s">
        <v>1279</v>
      </c>
      <c r="C461" s="211" t="s">
        <v>2412</v>
      </c>
      <c r="D461" s="13" t="e">
        <f>VLOOKUP($B461,#REF!,2,FALSE)</f>
        <v>#REF!</v>
      </c>
      <c r="E461" s="13" t="e">
        <f>VLOOKUP($B461,#REF!,10,FALSE)</f>
        <v>#REF!</v>
      </c>
      <c r="F461" s="211" t="s">
        <v>2413</v>
      </c>
      <c r="G461" s="13" t="s">
        <v>2414</v>
      </c>
      <c r="H461" s="13" t="s">
        <v>2077</v>
      </c>
      <c r="I461" s="13" t="s">
        <v>2077</v>
      </c>
      <c r="J461" s="13" t="s">
        <v>2077</v>
      </c>
      <c r="K461" s="13" t="s">
        <v>2077</v>
      </c>
      <c r="L461" s="13" t="s">
        <v>2077</v>
      </c>
      <c r="M461" s="13" t="s">
        <v>2077</v>
      </c>
      <c r="N461" s="211" t="s">
        <v>2415</v>
      </c>
      <c r="O461" s="13" t="s">
        <v>2416</v>
      </c>
      <c r="P461" s="69" t="e">
        <f>VLOOKUP($B461,#REF!,2,FALSE)</f>
        <v>#REF!</v>
      </c>
      <c r="Q461" s="13" t="e">
        <f t="shared" si="398"/>
        <v>#REF!</v>
      </c>
      <c r="R461" s="215" t="e">
        <f>VLOOKUP($B461,#REF!,6,FALSE)</f>
        <v>#REF!</v>
      </c>
      <c r="S461" s="215" t="e">
        <f>VLOOKUP($B461,#REF!,7,FALSE)</f>
        <v>#REF!</v>
      </c>
      <c r="T461" s="13">
        <v>85</v>
      </c>
      <c r="U461" s="167" t="e">
        <f>VLOOKUP($B461,#REF!,9,FALSE)</f>
        <v>#REF!</v>
      </c>
      <c r="V461" s="13">
        <v>1</v>
      </c>
      <c r="W461" s="13" t="s">
        <v>2417</v>
      </c>
      <c r="X461" s="13" t="s">
        <v>1924</v>
      </c>
      <c r="Y461" s="13" t="s">
        <v>2073</v>
      </c>
      <c r="Z461" s="13" t="s">
        <v>2073</v>
      </c>
      <c r="AA461" s="13" t="s">
        <v>2073</v>
      </c>
      <c r="AB461" s="13" t="s">
        <v>1924</v>
      </c>
      <c r="AC461" s="211" t="s">
        <v>2415</v>
      </c>
      <c r="AD461" s="13" t="s">
        <v>2416</v>
      </c>
      <c r="AE461" s="69" t="e">
        <f>VLOOKUP($B461,#REF!,4,FALSE)</f>
        <v>#REF!</v>
      </c>
      <c r="AF461" s="13" t="s">
        <v>2418</v>
      </c>
      <c r="AG461" s="13" t="s">
        <v>2419</v>
      </c>
      <c r="AH461" s="13" t="s">
        <v>2420</v>
      </c>
      <c r="AI461" s="13" t="s">
        <v>2421</v>
      </c>
      <c r="AJ461" s="13" t="s">
        <v>2422</v>
      </c>
      <c r="AK461" s="13" t="s">
        <v>2416</v>
      </c>
      <c r="AL461" s="13" t="s">
        <v>2077</v>
      </c>
      <c r="AM461" s="13" t="s">
        <v>2077</v>
      </c>
      <c r="AN461" s="13" t="s">
        <v>2077</v>
      </c>
      <c r="AO461" s="13" t="s">
        <v>2077</v>
      </c>
      <c r="AP461" s="13" t="s">
        <v>2077</v>
      </c>
      <c r="AQ461" s="13" t="s">
        <v>2077</v>
      </c>
      <c r="AR461" s="13" t="s">
        <v>2418</v>
      </c>
      <c r="AS461" s="13" t="s">
        <v>2419</v>
      </c>
      <c r="AT461" s="13" t="s">
        <v>2420</v>
      </c>
      <c r="AU461" s="13" t="s">
        <v>2421</v>
      </c>
      <c r="AV461" s="13" t="s">
        <v>2422</v>
      </c>
      <c r="AW461" s="13" t="s">
        <v>2416</v>
      </c>
      <c r="AX461" s="13" t="s">
        <v>2073</v>
      </c>
      <c r="AY461" s="13" t="s">
        <v>2073</v>
      </c>
      <c r="AZ461" s="13" t="s">
        <v>2073</v>
      </c>
      <c r="BA461" s="13" t="s">
        <v>2073</v>
      </c>
      <c r="BB461" s="13" t="s">
        <v>2073</v>
      </c>
      <c r="BC461" s="13" t="s">
        <v>2073</v>
      </c>
    </row>
    <row r="462" spans="1:55" ht="15.75" customHeight="1">
      <c r="A462" s="6">
        <v>2000</v>
      </c>
      <c r="B462" s="63" t="s">
        <v>1284</v>
      </c>
      <c r="C462" s="211" t="s">
        <v>2412</v>
      </c>
      <c r="D462" s="13" t="e">
        <f>VLOOKUP($B462,#REF!,2,FALSE)</f>
        <v>#REF!</v>
      </c>
      <c r="E462" s="13" t="e">
        <f>VLOOKUP($B462,#REF!,10,FALSE)</f>
        <v>#REF!</v>
      </c>
      <c r="F462" s="211" t="s">
        <v>2413</v>
      </c>
      <c r="G462" s="13" t="s">
        <v>2414</v>
      </c>
      <c r="H462" s="13" t="s">
        <v>2077</v>
      </c>
      <c r="I462" s="13" t="s">
        <v>2077</v>
      </c>
      <c r="J462" s="13" t="s">
        <v>2077</v>
      </c>
      <c r="K462" s="13" t="s">
        <v>2077</v>
      </c>
      <c r="L462" s="13" t="s">
        <v>2077</v>
      </c>
      <c r="M462" s="13" t="s">
        <v>2077</v>
      </c>
      <c r="N462" s="211" t="s">
        <v>2415</v>
      </c>
      <c r="O462" s="13" t="s">
        <v>2416</v>
      </c>
      <c r="P462" s="69" t="e">
        <f>VLOOKUP($B462,#REF!,2,FALSE)</f>
        <v>#REF!</v>
      </c>
      <c r="Q462" s="13" t="e">
        <f t="shared" si="398"/>
        <v>#REF!</v>
      </c>
      <c r="R462" s="215" t="e">
        <f>VLOOKUP($B462,#REF!,6,FALSE)</f>
        <v>#REF!</v>
      </c>
      <c r="S462" s="215" t="e">
        <f>VLOOKUP($B462,#REF!,7,FALSE)</f>
        <v>#REF!</v>
      </c>
      <c r="T462" s="13">
        <v>85</v>
      </c>
      <c r="U462" s="167" t="e">
        <f>VLOOKUP($B462,#REF!,9,FALSE)</f>
        <v>#REF!</v>
      </c>
      <c r="V462" s="13">
        <v>1</v>
      </c>
      <c r="W462" s="13" t="s">
        <v>2417</v>
      </c>
      <c r="X462" s="13" t="s">
        <v>1924</v>
      </c>
      <c r="Y462" s="13" t="s">
        <v>2073</v>
      </c>
      <c r="Z462" s="13" t="s">
        <v>2073</v>
      </c>
      <c r="AA462" s="13" t="s">
        <v>2073</v>
      </c>
      <c r="AB462" s="13" t="s">
        <v>1924</v>
      </c>
      <c r="AC462" s="211" t="s">
        <v>2415</v>
      </c>
      <c r="AD462" s="13" t="s">
        <v>2416</v>
      </c>
      <c r="AE462" s="69" t="e">
        <f>VLOOKUP($B462,#REF!,4,FALSE)</f>
        <v>#REF!</v>
      </c>
      <c r="AF462" s="13" t="s">
        <v>2418</v>
      </c>
      <c r="AG462" s="13" t="s">
        <v>2419</v>
      </c>
      <c r="AH462" s="13" t="s">
        <v>2420</v>
      </c>
      <c r="AI462" s="13" t="s">
        <v>2421</v>
      </c>
      <c r="AJ462" s="13" t="s">
        <v>2422</v>
      </c>
      <c r="AK462" s="13" t="s">
        <v>2416</v>
      </c>
      <c r="AL462" s="13" t="s">
        <v>2077</v>
      </c>
      <c r="AM462" s="13" t="s">
        <v>2077</v>
      </c>
      <c r="AN462" s="13" t="s">
        <v>2077</v>
      </c>
      <c r="AO462" s="13" t="s">
        <v>2077</v>
      </c>
      <c r="AP462" s="13" t="s">
        <v>2077</v>
      </c>
      <c r="AQ462" s="13" t="s">
        <v>2077</v>
      </c>
      <c r="AR462" s="13" t="s">
        <v>2418</v>
      </c>
      <c r="AS462" s="13" t="s">
        <v>2419</v>
      </c>
      <c r="AT462" s="13" t="s">
        <v>2420</v>
      </c>
      <c r="AU462" s="13" t="s">
        <v>2421</v>
      </c>
      <c r="AV462" s="13" t="s">
        <v>2422</v>
      </c>
      <c r="AW462" s="13" t="s">
        <v>2416</v>
      </c>
      <c r="AX462" s="13" t="s">
        <v>2073</v>
      </c>
      <c r="AY462" s="13" t="s">
        <v>2073</v>
      </c>
      <c r="AZ462" s="13" t="s">
        <v>2073</v>
      </c>
      <c r="BA462" s="13" t="s">
        <v>2073</v>
      </c>
      <c r="BB462" s="13" t="s">
        <v>2073</v>
      </c>
      <c r="BC462" s="13" t="s">
        <v>2073</v>
      </c>
    </row>
    <row r="463" spans="1:55" ht="15.75" customHeight="1">
      <c r="A463" s="6">
        <v>2000</v>
      </c>
      <c r="B463" s="63" t="s">
        <v>1289</v>
      </c>
      <c r="C463" s="211" t="s">
        <v>2412</v>
      </c>
      <c r="D463" s="13" t="e">
        <f>VLOOKUP($B463,#REF!,2,FALSE)</f>
        <v>#REF!</v>
      </c>
      <c r="E463" s="13" t="e">
        <f>VLOOKUP($B463,#REF!,10,FALSE)</f>
        <v>#REF!</v>
      </c>
      <c r="F463" s="211" t="s">
        <v>2413</v>
      </c>
      <c r="G463" s="13" t="s">
        <v>2414</v>
      </c>
      <c r="H463" s="13" t="s">
        <v>2077</v>
      </c>
      <c r="I463" s="13" t="s">
        <v>2077</v>
      </c>
      <c r="J463" s="13" t="s">
        <v>2077</v>
      </c>
      <c r="K463" s="13" t="s">
        <v>2077</v>
      </c>
      <c r="L463" s="13" t="s">
        <v>2077</v>
      </c>
      <c r="M463" s="13" t="s">
        <v>2077</v>
      </c>
      <c r="N463" s="211" t="s">
        <v>2415</v>
      </c>
      <c r="O463" s="13" t="s">
        <v>2416</v>
      </c>
      <c r="P463" s="69" t="e">
        <f>VLOOKUP($B463,#REF!,2,FALSE)</f>
        <v>#REF!</v>
      </c>
      <c r="Q463" s="13" t="e">
        <f t="shared" si="398"/>
        <v>#REF!</v>
      </c>
      <c r="R463" s="215" t="e">
        <f>VLOOKUP($B463,#REF!,6,FALSE)</f>
        <v>#REF!</v>
      </c>
      <c r="S463" s="215" t="e">
        <f>VLOOKUP($B463,#REF!,7,FALSE)</f>
        <v>#REF!</v>
      </c>
      <c r="T463" s="13">
        <v>85</v>
      </c>
      <c r="U463" s="167" t="e">
        <f>VLOOKUP($B463,#REF!,9,FALSE)</f>
        <v>#REF!</v>
      </c>
      <c r="V463" s="13">
        <v>1</v>
      </c>
      <c r="W463" s="13" t="s">
        <v>2417</v>
      </c>
      <c r="X463" s="13" t="s">
        <v>1924</v>
      </c>
      <c r="Y463" s="13" t="s">
        <v>2073</v>
      </c>
      <c r="Z463" s="13" t="s">
        <v>2073</v>
      </c>
      <c r="AA463" s="13" t="s">
        <v>2073</v>
      </c>
      <c r="AB463" s="13" t="s">
        <v>1924</v>
      </c>
      <c r="AC463" s="211" t="s">
        <v>2415</v>
      </c>
      <c r="AD463" s="13" t="s">
        <v>2416</v>
      </c>
      <c r="AE463" s="69" t="e">
        <f>VLOOKUP($B463,#REF!,4,FALSE)</f>
        <v>#REF!</v>
      </c>
      <c r="AF463" s="13" t="s">
        <v>2418</v>
      </c>
      <c r="AG463" s="13" t="s">
        <v>2419</v>
      </c>
      <c r="AH463" s="13" t="s">
        <v>2420</v>
      </c>
      <c r="AI463" s="13" t="s">
        <v>2421</v>
      </c>
      <c r="AJ463" s="13" t="s">
        <v>2422</v>
      </c>
      <c r="AK463" s="13" t="s">
        <v>2416</v>
      </c>
      <c r="AL463" s="13" t="s">
        <v>2077</v>
      </c>
      <c r="AM463" s="13" t="s">
        <v>2077</v>
      </c>
      <c r="AN463" s="13" t="s">
        <v>2077</v>
      </c>
      <c r="AO463" s="13" t="s">
        <v>2077</v>
      </c>
      <c r="AP463" s="13" t="s">
        <v>2077</v>
      </c>
      <c r="AQ463" s="13" t="s">
        <v>2077</v>
      </c>
      <c r="AR463" s="13" t="s">
        <v>2418</v>
      </c>
      <c r="AS463" s="13" t="s">
        <v>2419</v>
      </c>
      <c r="AT463" s="13" t="s">
        <v>2420</v>
      </c>
      <c r="AU463" s="13" t="s">
        <v>2421</v>
      </c>
      <c r="AV463" s="13" t="s">
        <v>2422</v>
      </c>
      <c r="AW463" s="13" t="s">
        <v>2416</v>
      </c>
      <c r="AX463" s="13" t="s">
        <v>2073</v>
      </c>
      <c r="AY463" s="13" t="s">
        <v>2073</v>
      </c>
      <c r="AZ463" s="13" t="s">
        <v>2073</v>
      </c>
      <c r="BA463" s="13" t="s">
        <v>2073</v>
      </c>
      <c r="BB463" s="13" t="s">
        <v>2073</v>
      </c>
      <c r="BC463" s="13" t="s">
        <v>2073</v>
      </c>
    </row>
    <row r="464" spans="1:55" ht="15.75" customHeight="1">
      <c r="A464" s="6">
        <v>2000</v>
      </c>
      <c r="B464" s="63" t="s">
        <v>1294</v>
      </c>
      <c r="C464" s="211" t="s">
        <v>2412</v>
      </c>
      <c r="D464" s="13" t="e">
        <f>VLOOKUP($B464,#REF!,2,FALSE)</f>
        <v>#REF!</v>
      </c>
      <c r="E464" s="13" t="e">
        <f>VLOOKUP($B464,#REF!,10,FALSE)</f>
        <v>#REF!</v>
      </c>
      <c r="F464" s="211" t="s">
        <v>2413</v>
      </c>
      <c r="G464" s="13" t="s">
        <v>2414</v>
      </c>
      <c r="H464" s="13" t="s">
        <v>2077</v>
      </c>
      <c r="I464" s="13" t="s">
        <v>2077</v>
      </c>
      <c r="J464" s="13" t="s">
        <v>2077</v>
      </c>
      <c r="K464" s="13" t="s">
        <v>2077</v>
      </c>
      <c r="L464" s="13" t="s">
        <v>2077</v>
      </c>
      <c r="M464" s="13" t="s">
        <v>2077</v>
      </c>
      <c r="N464" s="211" t="s">
        <v>2415</v>
      </c>
      <c r="O464" s="13" t="s">
        <v>2416</v>
      </c>
      <c r="P464" s="69" t="e">
        <f>VLOOKUP($B464,#REF!,2,FALSE)</f>
        <v>#REF!</v>
      </c>
      <c r="Q464" s="13" t="e">
        <f t="shared" si="398"/>
        <v>#REF!</v>
      </c>
      <c r="R464" s="215" t="e">
        <f>VLOOKUP($B464,#REF!,6,FALSE)</f>
        <v>#REF!</v>
      </c>
      <c r="S464" s="215" t="e">
        <f>VLOOKUP($B464,#REF!,7,FALSE)</f>
        <v>#REF!</v>
      </c>
      <c r="T464" s="13">
        <v>85</v>
      </c>
      <c r="U464" s="167" t="e">
        <f>VLOOKUP($B464,#REF!,9,FALSE)</f>
        <v>#REF!</v>
      </c>
      <c r="V464" s="13">
        <v>1</v>
      </c>
      <c r="W464" s="13" t="s">
        <v>2417</v>
      </c>
      <c r="X464" s="13" t="s">
        <v>1924</v>
      </c>
      <c r="Y464" s="13" t="s">
        <v>2073</v>
      </c>
      <c r="Z464" s="13" t="s">
        <v>2073</v>
      </c>
      <c r="AA464" s="13" t="s">
        <v>2073</v>
      </c>
      <c r="AB464" s="13" t="s">
        <v>1924</v>
      </c>
      <c r="AC464" s="211" t="s">
        <v>2415</v>
      </c>
      <c r="AD464" s="13" t="s">
        <v>2416</v>
      </c>
      <c r="AE464" s="69" t="e">
        <f>VLOOKUP($B464,#REF!,4,FALSE)</f>
        <v>#REF!</v>
      </c>
      <c r="AF464" s="13" t="s">
        <v>2418</v>
      </c>
      <c r="AG464" s="13" t="s">
        <v>2419</v>
      </c>
      <c r="AH464" s="13" t="s">
        <v>2420</v>
      </c>
      <c r="AI464" s="13" t="s">
        <v>2421</v>
      </c>
      <c r="AJ464" s="13" t="s">
        <v>2422</v>
      </c>
      <c r="AK464" s="13" t="s">
        <v>2416</v>
      </c>
      <c r="AL464" s="13" t="s">
        <v>2077</v>
      </c>
      <c r="AM464" s="13" t="s">
        <v>2077</v>
      </c>
      <c r="AN464" s="13" t="s">
        <v>2077</v>
      </c>
      <c r="AO464" s="13" t="s">
        <v>2077</v>
      </c>
      <c r="AP464" s="13" t="s">
        <v>2077</v>
      </c>
      <c r="AQ464" s="13" t="s">
        <v>2077</v>
      </c>
      <c r="AR464" s="13" t="s">
        <v>2418</v>
      </c>
      <c r="AS464" s="13" t="s">
        <v>2419</v>
      </c>
      <c r="AT464" s="13" t="s">
        <v>2420</v>
      </c>
      <c r="AU464" s="13" t="s">
        <v>2421</v>
      </c>
      <c r="AV464" s="13" t="s">
        <v>2422</v>
      </c>
      <c r="AW464" s="13" t="s">
        <v>2416</v>
      </c>
      <c r="AX464" s="13" t="s">
        <v>2073</v>
      </c>
      <c r="AY464" s="13" t="s">
        <v>2073</v>
      </c>
      <c r="AZ464" s="13" t="s">
        <v>2073</v>
      </c>
      <c r="BA464" s="13" t="s">
        <v>2073</v>
      </c>
      <c r="BB464" s="13" t="s">
        <v>2073</v>
      </c>
      <c r="BC464" s="13" t="s">
        <v>2073</v>
      </c>
    </row>
    <row r="465" spans="1:55" ht="15.75" customHeight="1">
      <c r="A465" s="6">
        <v>2000</v>
      </c>
      <c r="B465" s="63" t="s">
        <v>1299</v>
      </c>
      <c r="C465" s="211" t="s">
        <v>2412</v>
      </c>
      <c r="D465" s="13" t="e">
        <f>VLOOKUP($B465,#REF!,2,FALSE)</f>
        <v>#REF!</v>
      </c>
      <c r="E465" s="13" t="e">
        <f>VLOOKUP($B465,#REF!,10,FALSE)</f>
        <v>#REF!</v>
      </c>
      <c r="F465" s="211" t="s">
        <v>2413</v>
      </c>
      <c r="G465" s="13" t="s">
        <v>2414</v>
      </c>
      <c r="H465" s="13" t="s">
        <v>2077</v>
      </c>
      <c r="I465" s="13" t="s">
        <v>2077</v>
      </c>
      <c r="J465" s="13" t="s">
        <v>2077</v>
      </c>
      <c r="K465" s="13" t="s">
        <v>2077</v>
      </c>
      <c r="L465" s="13" t="s">
        <v>2077</v>
      </c>
      <c r="M465" s="13" t="s">
        <v>2077</v>
      </c>
      <c r="N465" s="211" t="s">
        <v>2415</v>
      </c>
      <c r="O465" s="13" t="s">
        <v>2416</v>
      </c>
      <c r="P465" s="69" t="e">
        <f>VLOOKUP($B465,#REF!,2,FALSE)</f>
        <v>#REF!</v>
      </c>
      <c r="Q465" s="13" t="e">
        <f t="shared" si="398"/>
        <v>#REF!</v>
      </c>
      <c r="R465" s="215" t="e">
        <f>VLOOKUP($B465,#REF!,6,FALSE)</f>
        <v>#REF!</v>
      </c>
      <c r="S465" s="215" t="e">
        <f>VLOOKUP($B465,#REF!,7,FALSE)</f>
        <v>#REF!</v>
      </c>
      <c r="T465" s="13">
        <v>85</v>
      </c>
      <c r="U465" s="167" t="e">
        <f>VLOOKUP($B465,#REF!,9,FALSE)</f>
        <v>#REF!</v>
      </c>
      <c r="V465" s="13">
        <v>1</v>
      </c>
      <c r="W465" s="13" t="s">
        <v>2417</v>
      </c>
      <c r="X465" s="13" t="s">
        <v>1924</v>
      </c>
      <c r="Y465" s="13" t="s">
        <v>2073</v>
      </c>
      <c r="Z465" s="13" t="s">
        <v>2073</v>
      </c>
      <c r="AA465" s="13" t="s">
        <v>2073</v>
      </c>
      <c r="AB465" s="13" t="s">
        <v>1924</v>
      </c>
      <c r="AC465" s="211" t="s">
        <v>2415</v>
      </c>
      <c r="AD465" s="13" t="s">
        <v>2416</v>
      </c>
      <c r="AE465" s="69" t="e">
        <f>VLOOKUP($B465,#REF!,4,FALSE)</f>
        <v>#REF!</v>
      </c>
      <c r="AF465" s="13" t="s">
        <v>2418</v>
      </c>
      <c r="AG465" s="13" t="s">
        <v>2419</v>
      </c>
      <c r="AH465" s="13" t="s">
        <v>2420</v>
      </c>
      <c r="AI465" s="13" t="s">
        <v>2421</v>
      </c>
      <c r="AJ465" s="13" t="s">
        <v>2422</v>
      </c>
      <c r="AK465" s="13" t="s">
        <v>2416</v>
      </c>
      <c r="AL465" s="13" t="s">
        <v>2077</v>
      </c>
      <c r="AM465" s="13" t="s">
        <v>2077</v>
      </c>
      <c r="AN465" s="13" t="s">
        <v>2077</v>
      </c>
      <c r="AO465" s="13" t="s">
        <v>2077</v>
      </c>
      <c r="AP465" s="13" t="s">
        <v>2077</v>
      </c>
      <c r="AQ465" s="13" t="s">
        <v>2077</v>
      </c>
      <c r="AR465" s="13" t="s">
        <v>2418</v>
      </c>
      <c r="AS465" s="13" t="s">
        <v>2419</v>
      </c>
      <c r="AT465" s="13" t="s">
        <v>2420</v>
      </c>
      <c r="AU465" s="13" t="s">
        <v>2421</v>
      </c>
      <c r="AV465" s="13" t="s">
        <v>2422</v>
      </c>
      <c r="AW465" s="13" t="s">
        <v>2416</v>
      </c>
      <c r="AX465" s="13" t="s">
        <v>2073</v>
      </c>
      <c r="AY465" s="13" t="s">
        <v>2073</v>
      </c>
      <c r="AZ465" s="13" t="s">
        <v>2073</v>
      </c>
      <c r="BA465" s="13" t="s">
        <v>2073</v>
      </c>
      <c r="BB465" s="13" t="s">
        <v>2073</v>
      </c>
      <c r="BC465" s="13" t="s">
        <v>2073</v>
      </c>
    </row>
    <row r="466" spans="1:55" ht="15.75" customHeight="1">
      <c r="A466" s="6">
        <v>2000</v>
      </c>
      <c r="B466" s="63" t="s">
        <v>1304</v>
      </c>
      <c r="C466" s="211" t="s">
        <v>2412</v>
      </c>
      <c r="D466" s="13" t="e">
        <f>VLOOKUP($B466,#REF!,2,FALSE)</f>
        <v>#REF!</v>
      </c>
      <c r="E466" s="13" t="e">
        <f>VLOOKUP($B466,#REF!,10,FALSE)</f>
        <v>#REF!</v>
      </c>
      <c r="F466" s="211" t="s">
        <v>2413</v>
      </c>
      <c r="G466" s="13" t="s">
        <v>2414</v>
      </c>
      <c r="H466" s="13" t="s">
        <v>2077</v>
      </c>
      <c r="I466" s="13" t="s">
        <v>2077</v>
      </c>
      <c r="J466" s="13" t="s">
        <v>2077</v>
      </c>
      <c r="K466" s="13" t="s">
        <v>2077</v>
      </c>
      <c r="L466" s="13" t="s">
        <v>2077</v>
      </c>
      <c r="M466" s="13" t="s">
        <v>2077</v>
      </c>
      <c r="N466" s="211" t="s">
        <v>2415</v>
      </c>
      <c r="O466" s="13" t="s">
        <v>2416</v>
      </c>
      <c r="P466" s="69" t="e">
        <f>VLOOKUP($B466,#REF!,2,FALSE)</f>
        <v>#REF!</v>
      </c>
      <c r="Q466" s="13" t="e">
        <f t="shared" si="398"/>
        <v>#REF!</v>
      </c>
      <c r="R466" s="215" t="e">
        <f>VLOOKUP($B466,#REF!,6,FALSE)</f>
        <v>#REF!</v>
      </c>
      <c r="S466" s="215" t="e">
        <f>VLOOKUP($B466,#REF!,7,FALSE)</f>
        <v>#REF!</v>
      </c>
      <c r="T466" s="13">
        <v>85</v>
      </c>
      <c r="U466" s="167" t="e">
        <f>VLOOKUP($B466,#REF!,9,FALSE)</f>
        <v>#REF!</v>
      </c>
      <c r="V466" s="13">
        <v>1</v>
      </c>
      <c r="W466" s="13" t="s">
        <v>2417</v>
      </c>
      <c r="X466" s="13" t="s">
        <v>1924</v>
      </c>
      <c r="Y466" s="13" t="s">
        <v>2073</v>
      </c>
      <c r="Z466" s="13" t="s">
        <v>2073</v>
      </c>
      <c r="AA466" s="13" t="s">
        <v>2073</v>
      </c>
      <c r="AB466" s="13" t="s">
        <v>1924</v>
      </c>
      <c r="AC466" s="211" t="s">
        <v>2415</v>
      </c>
      <c r="AD466" s="13" t="s">
        <v>2416</v>
      </c>
      <c r="AE466" s="69" t="e">
        <f>VLOOKUP($B466,#REF!,4,FALSE)</f>
        <v>#REF!</v>
      </c>
      <c r="AF466" s="13" t="s">
        <v>2418</v>
      </c>
      <c r="AG466" s="13" t="s">
        <v>2419</v>
      </c>
      <c r="AH466" s="13" t="s">
        <v>2420</v>
      </c>
      <c r="AI466" s="13" t="s">
        <v>2421</v>
      </c>
      <c r="AJ466" s="13" t="s">
        <v>2422</v>
      </c>
      <c r="AK466" s="13" t="s">
        <v>2416</v>
      </c>
      <c r="AL466" s="13" t="s">
        <v>2077</v>
      </c>
      <c r="AM466" s="13" t="s">
        <v>2077</v>
      </c>
      <c r="AN466" s="13" t="s">
        <v>2077</v>
      </c>
      <c r="AO466" s="13" t="s">
        <v>2077</v>
      </c>
      <c r="AP466" s="13" t="s">
        <v>2077</v>
      </c>
      <c r="AQ466" s="13" t="s">
        <v>2077</v>
      </c>
      <c r="AR466" s="13" t="s">
        <v>2418</v>
      </c>
      <c r="AS466" s="13" t="s">
        <v>2419</v>
      </c>
      <c r="AT466" s="13" t="s">
        <v>2420</v>
      </c>
      <c r="AU466" s="13" t="s">
        <v>2421</v>
      </c>
      <c r="AV466" s="13" t="s">
        <v>2422</v>
      </c>
      <c r="AW466" s="13" t="s">
        <v>2416</v>
      </c>
      <c r="AX466" s="13" t="s">
        <v>2073</v>
      </c>
      <c r="AY466" s="13" t="s">
        <v>2073</v>
      </c>
      <c r="AZ466" s="13" t="s">
        <v>2073</v>
      </c>
      <c r="BA466" s="13" t="s">
        <v>2073</v>
      </c>
      <c r="BB466" s="13" t="s">
        <v>2073</v>
      </c>
      <c r="BC466" s="13" t="s">
        <v>2073</v>
      </c>
    </row>
    <row r="467" spans="1:55" ht="15.75" customHeight="1">
      <c r="A467" s="6">
        <v>2000</v>
      </c>
      <c r="B467" s="63" t="s">
        <v>1308</v>
      </c>
      <c r="C467" s="211" t="s">
        <v>2412</v>
      </c>
      <c r="D467" s="13" t="e">
        <f>VLOOKUP($B467,#REF!,2,FALSE)</f>
        <v>#REF!</v>
      </c>
      <c r="E467" s="13" t="e">
        <f>VLOOKUP($B467,#REF!,10,FALSE)</f>
        <v>#REF!</v>
      </c>
      <c r="F467" s="211" t="s">
        <v>2413</v>
      </c>
      <c r="G467" s="13" t="s">
        <v>2414</v>
      </c>
      <c r="H467" s="13" t="s">
        <v>2077</v>
      </c>
      <c r="I467" s="13" t="s">
        <v>2077</v>
      </c>
      <c r="J467" s="13" t="s">
        <v>2077</v>
      </c>
      <c r="K467" s="13" t="s">
        <v>2077</v>
      </c>
      <c r="L467" s="13" t="s">
        <v>2077</v>
      </c>
      <c r="M467" s="13" t="s">
        <v>2077</v>
      </c>
      <c r="N467" s="211" t="s">
        <v>2415</v>
      </c>
      <c r="O467" s="13" t="s">
        <v>2416</v>
      </c>
      <c r="P467" s="69" t="e">
        <f>VLOOKUP($B467,#REF!,2,FALSE)</f>
        <v>#REF!</v>
      </c>
      <c r="Q467" s="13" t="e">
        <f t="shared" si="398"/>
        <v>#REF!</v>
      </c>
      <c r="R467" s="215" t="e">
        <f>VLOOKUP($B467,#REF!,6,FALSE)</f>
        <v>#REF!</v>
      </c>
      <c r="S467" s="215" t="e">
        <f>VLOOKUP($B467,#REF!,7,FALSE)</f>
        <v>#REF!</v>
      </c>
      <c r="T467" s="13">
        <v>85</v>
      </c>
      <c r="U467" s="167" t="e">
        <f>VLOOKUP($B467,#REF!,9,FALSE)</f>
        <v>#REF!</v>
      </c>
      <c r="V467" s="13">
        <v>1</v>
      </c>
      <c r="W467" s="13" t="s">
        <v>2417</v>
      </c>
      <c r="X467" s="13" t="s">
        <v>1924</v>
      </c>
      <c r="Y467" s="13" t="s">
        <v>2073</v>
      </c>
      <c r="Z467" s="13" t="s">
        <v>2073</v>
      </c>
      <c r="AA467" s="13" t="s">
        <v>2073</v>
      </c>
      <c r="AB467" s="13" t="s">
        <v>1924</v>
      </c>
      <c r="AC467" s="211" t="s">
        <v>2415</v>
      </c>
      <c r="AD467" s="13" t="s">
        <v>2416</v>
      </c>
      <c r="AE467" s="69" t="e">
        <f>VLOOKUP($B467,#REF!,4,FALSE)</f>
        <v>#REF!</v>
      </c>
      <c r="AF467" s="13" t="s">
        <v>2418</v>
      </c>
      <c r="AG467" s="13" t="s">
        <v>2419</v>
      </c>
      <c r="AH467" s="13" t="s">
        <v>2420</v>
      </c>
      <c r="AI467" s="13" t="s">
        <v>2421</v>
      </c>
      <c r="AJ467" s="13" t="s">
        <v>2422</v>
      </c>
      <c r="AK467" s="13" t="s">
        <v>2416</v>
      </c>
      <c r="AL467" s="13" t="s">
        <v>2077</v>
      </c>
      <c r="AM467" s="13" t="s">
        <v>2077</v>
      </c>
      <c r="AN467" s="13" t="s">
        <v>2077</v>
      </c>
      <c r="AO467" s="13" t="s">
        <v>2077</v>
      </c>
      <c r="AP467" s="13" t="s">
        <v>2077</v>
      </c>
      <c r="AQ467" s="13" t="s">
        <v>2077</v>
      </c>
      <c r="AR467" s="13" t="s">
        <v>2418</v>
      </c>
      <c r="AS467" s="13" t="s">
        <v>2419</v>
      </c>
      <c r="AT467" s="13" t="s">
        <v>2420</v>
      </c>
      <c r="AU467" s="13" t="s">
        <v>2421</v>
      </c>
      <c r="AV467" s="13" t="s">
        <v>2422</v>
      </c>
      <c r="AW467" s="13" t="s">
        <v>2416</v>
      </c>
      <c r="AX467" s="13" t="s">
        <v>2073</v>
      </c>
      <c r="AY467" s="13" t="s">
        <v>2073</v>
      </c>
      <c r="AZ467" s="13" t="s">
        <v>2073</v>
      </c>
      <c r="BA467" s="13" t="s">
        <v>2073</v>
      </c>
      <c r="BB467" s="13" t="s">
        <v>2073</v>
      </c>
      <c r="BC467" s="13" t="s">
        <v>2073</v>
      </c>
    </row>
    <row r="468" spans="1:55" ht="15.75" customHeight="1">
      <c r="A468" s="6">
        <v>2000</v>
      </c>
      <c r="B468" s="63" t="s">
        <v>1312</v>
      </c>
      <c r="C468" s="211" t="s">
        <v>2412</v>
      </c>
      <c r="D468" s="13" t="e">
        <f>VLOOKUP($B468,#REF!,2,FALSE)</f>
        <v>#REF!</v>
      </c>
      <c r="E468" s="13" t="e">
        <f>VLOOKUP($B468,#REF!,10,FALSE)</f>
        <v>#REF!</v>
      </c>
      <c r="F468" s="211" t="s">
        <v>2413</v>
      </c>
      <c r="G468" s="13" t="s">
        <v>2414</v>
      </c>
      <c r="H468" s="13" t="s">
        <v>2077</v>
      </c>
      <c r="I468" s="13" t="s">
        <v>2077</v>
      </c>
      <c r="J468" s="13" t="s">
        <v>2077</v>
      </c>
      <c r="K468" s="13" t="s">
        <v>2077</v>
      </c>
      <c r="L468" s="13" t="s">
        <v>2077</v>
      </c>
      <c r="M468" s="13" t="s">
        <v>2077</v>
      </c>
      <c r="N468" s="211" t="s">
        <v>2415</v>
      </c>
      <c r="O468" s="13" t="s">
        <v>2416</v>
      </c>
      <c r="P468" s="69" t="e">
        <f>VLOOKUP($B468,#REF!,2,FALSE)</f>
        <v>#REF!</v>
      </c>
      <c r="Q468" s="13" t="e">
        <f t="shared" si="398"/>
        <v>#REF!</v>
      </c>
      <c r="R468" s="215" t="e">
        <f>VLOOKUP($B468,#REF!,6,FALSE)</f>
        <v>#REF!</v>
      </c>
      <c r="S468" s="215" t="e">
        <f>VLOOKUP($B468,#REF!,7,FALSE)</f>
        <v>#REF!</v>
      </c>
      <c r="T468" s="13">
        <v>85</v>
      </c>
      <c r="U468" s="167" t="e">
        <f>VLOOKUP($B468,#REF!,9,FALSE)</f>
        <v>#REF!</v>
      </c>
      <c r="V468" s="13">
        <v>1</v>
      </c>
      <c r="W468" s="13" t="s">
        <v>2417</v>
      </c>
      <c r="X468" s="13" t="s">
        <v>1924</v>
      </c>
      <c r="Y468" s="13" t="s">
        <v>2073</v>
      </c>
      <c r="Z468" s="13" t="s">
        <v>2073</v>
      </c>
      <c r="AA468" s="13" t="s">
        <v>2073</v>
      </c>
      <c r="AB468" s="13" t="s">
        <v>1924</v>
      </c>
      <c r="AC468" s="211" t="s">
        <v>2415</v>
      </c>
      <c r="AD468" s="13" t="s">
        <v>2416</v>
      </c>
      <c r="AE468" s="69" t="e">
        <f>VLOOKUP($B468,#REF!,4,FALSE)</f>
        <v>#REF!</v>
      </c>
      <c r="AF468" s="13" t="s">
        <v>2418</v>
      </c>
      <c r="AG468" s="13" t="s">
        <v>2419</v>
      </c>
      <c r="AH468" s="13" t="s">
        <v>2420</v>
      </c>
      <c r="AI468" s="13" t="s">
        <v>2421</v>
      </c>
      <c r="AJ468" s="13" t="s">
        <v>2422</v>
      </c>
      <c r="AK468" s="13" t="s">
        <v>2416</v>
      </c>
      <c r="AL468" s="13" t="s">
        <v>2077</v>
      </c>
      <c r="AM468" s="13" t="s">
        <v>2077</v>
      </c>
      <c r="AN468" s="13" t="s">
        <v>2077</v>
      </c>
      <c r="AO468" s="13" t="s">
        <v>2077</v>
      </c>
      <c r="AP468" s="13" t="s">
        <v>2077</v>
      </c>
      <c r="AQ468" s="13" t="s">
        <v>2077</v>
      </c>
      <c r="AR468" s="13" t="s">
        <v>2418</v>
      </c>
      <c r="AS468" s="13" t="s">
        <v>2419</v>
      </c>
      <c r="AT468" s="13" t="s">
        <v>2420</v>
      </c>
      <c r="AU468" s="13" t="s">
        <v>2421</v>
      </c>
      <c r="AV468" s="13" t="s">
        <v>2422</v>
      </c>
      <c r="AW468" s="13" t="s">
        <v>2416</v>
      </c>
      <c r="AX468" s="13" t="s">
        <v>2073</v>
      </c>
      <c r="AY468" s="13" t="s">
        <v>2073</v>
      </c>
      <c r="AZ468" s="13" t="s">
        <v>2073</v>
      </c>
      <c r="BA468" s="13" t="s">
        <v>2073</v>
      </c>
      <c r="BB468" s="13" t="s">
        <v>2073</v>
      </c>
      <c r="BC468" s="13" t="s">
        <v>2073</v>
      </c>
    </row>
    <row r="469" spans="1:55" ht="15.75" customHeight="1">
      <c r="A469" s="6">
        <v>2000</v>
      </c>
      <c r="B469" s="63" t="s">
        <v>1316</v>
      </c>
      <c r="C469" s="211" t="s">
        <v>2412</v>
      </c>
      <c r="D469" s="13" t="e">
        <f>VLOOKUP($B469,#REF!,2,FALSE)</f>
        <v>#REF!</v>
      </c>
      <c r="E469" s="13" t="e">
        <f>VLOOKUP($B469,#REF!,10,FALSE)</f>
        <v>#REF!</v>
      </c>
      <c r="F469" s="211" t="s">
        <v>2413</v>
      </c>
      <c r="G469" s="13" t="s">
        <v>2414</v>
      </c>
      <c r="H469" s="13" t="s">
        <v>2077</v>
      </c>
      <c r="I469" s="13" t="s">
        <v>2077</v>
      </c>
      <c r="J469" s="13" t="s">
        <v>2077</v>
      </c>
      <c r="K469" s="13" t="s">
        <v>2077</v>
      </c>
      <c r="L469" s="13" t="s">
        <v>2077</v>
      </c>
      <c r="M469" s="13" t="s">
        <v>2077</v>
      </c>
      <c r="N469" s="211" t="s">
        <v>2415</v>
      </c>
      <c r="O469" s="13" t="s">
        <v>2416</v>
      </c>
      <c r="P469" s="69" t="e">
        <f>VLOOKUP($B469,#REF!,2,FALSE)</f>
        <v>#REF!</v>
      </c>
      <c r="Q469" s="13" t="e">
        <f t="shared" si="398"/>
        <v>#REF!</v>
      </c>
      <c r="R469" s="215" t="e">
        <f>VLOOKUP($B469,#REF!,6,FALSE)</f>
        <v>#REF!</v>
      </c>
      <c r="S469" s="215" t="e">
        <f>VLOOKUP($B469,#REF!,7,FALSE)</f>
        <v>#REF!</v>
      </c>
      <c r="T469" s="13">
        <v>85</v>
      </c>
      <c r="U469" s="167" t="e">
        <f>VLOOKUP($B469,#REF!,9,FALSE)</f>
        <v>#REF!</v>
      </c>
      <c r="V469" s="13">
        <v>1</v>
      </c>
      <c r="W469" s="13" t="s">
        <v>2417</v>
      </c>
      <c r="X469" s="13" t="s">
        <v>1924</v>
      </c>
      <c r="Y469" s="13" t="s">
        <v>2073</v>
      </c>
      <c r="Z469" s="13" t="s">
        <v>2073</v>
      </c>
      <c r="AA469" s="13" t="s">
        <v>2073</v>
      </c>
      <c r="AB469" s="13" t="s">
        <v>1924</v>
      </c>
      <c r="AC469" s="211" t="s">
        <v>2415</v>
      </c>
      <c r="AD469" s="13" t="s">
        <v>2416</v>
      </c>
      <c r="AE469" s="69" t="e">
        <f>VLOOKUP($B469,#REF!,4,FALSE)</f>
        <v>#REF!</v>
      </c>
      <c r="AF469" s="13" t="s">
        <v>2418</v>
      </c>
      <c r="AG469" s="13" t="s">
        <v>2419</v>
      </c>
      <c r="AH469" s="13" t="s">
        <v>2420</v>
      </c>
      <c r="AI469" s="13" t="s">
        <v>2421</v>
      </c>
      <c r="AJ469" s="13" t="s">
        <v>2422</v>
      </c>
      <c r="AK469" s="13" t="s">
        <v>2416</v>
      </c>
      <c r="AL469" s="13" t="s">
        <v>2077</v>
      </c>
      <c r="AM469" s="13" t="s">
        <v>2077</v>
      </c>
      <c r="AN469" s="13" t="s">
        <v>2077</v>
      </c>
      <c r="AO469" s="13" t="s">
        <v>2077</v>
      </c>
      <c r="AP469" s="13" t="s">
        <v>2077</v>
      </c>
      <c r="AQ469" s="13" t="s">
        <v>2077</v>
      </c>
      <c r="AR469" s="13" t="s">
        <v>2418</v>
      </c>
      <c r="AS469" s="13" t="s">
        <v>2419</v>
      </c>
      <c r="AT469" s="13" t="s">
        <v>2420</v>
      </c>
      <c r="AU469" s="13" t="s">
        <v>2421</v>
      </c>
      <c r="AV469" s="13" t="s">
        <v>2422</v>
      </c>
      <c r="AW469" s="13" t="s">
        <v>2416</v>
      </c>
      <c r="AX469" s="13" t="s">
        <v>2073</v>
      </c>
      <c r="AY469" s="13" t="s">
        <v>2073</v>
      </c>
      <c r="AZ469" s="13" t="s">
        <v>2073</v>
      </c>
      <c r="BA469" s="13" t="s">
        <v>2073</v>
      </c>
      <c r="BB469" s="13" t="s">
        <v>2073</v>
      </c>
      <c r="BC469" s="13" t="s">
        <v>2073</v>
      </c>
    </row>
    <row r="470" spans="1:55" ht="15.75" customHeight="1">
      <c r="A470" s="6">
        <v>2000</v>
      </c>
      <c r="B470" s="63" t="s">
        <v>1320</v>
      </c>
      <c r="C470" s="211" t="s">
        <v>2412</v>
      </c>
      <c r="D470" s="13" t="e">
        <f>VLOOKUP($B470,#REF!,2,FALSE)</f>
        <v>#REF!</v>
      </c>
      <c r="E470" s="13" t="e">
        <f>VLOOKUP($B470,#REF!,10,FALSE)</f>
        <v>#REF!</v>
      </c>
      <c r="F470" s="211" t="s">
        <v>2413</v>
      </c>
      <c r="G470" s="13" t="s">
        <v>2414</v>
      </c>
      <c r="H470" s="13" t="s">
        <v>2077</v>
      </c>
      <c r="I470" s="13" t="s">
        <v>2077</v>
      </c>
      <c r="J470" s="13" t="s">
        <v>2077</v>
      </c>
      <c r="K470" s="13" t="s">
        <v>2077</v>
      </c>
      <c r="L470" s="13" t="s">
        <v>2077</v>
      </c>
      <c r="M470" s="13" t="s">
        <v>2077</v>
      </c>
      <c r="N470" s="211" t="s">
        <v>2415</v>
      </c>
      <c r="O470" s="13" t="s">
        <v>2416</v>
      </c>
      <c r="P470" s="69" t="e">
        <f>VLOOKUP($B470,#REF!,2,FALSE)</f>
        <v>#REF!</v>
      </c>
      <c r="Q470" s="13" t="e">
        <f t="shared" si="398"/>
        <v>#REF!</v>
      </c>
      <c r="R470" s="215" t="e">
        <f>VLOOKUP($B470,#REF!,6,FALSE)</f>
        <v>#REF!</v>
      </c>
      <c r="S470" s="215" t="e">
        <f>VLOOKUP($B470,#REF!,7,FALSE)</f>
        <v>#REF!</v>
      </c>
      <c r="T470" s="13">
        <v>85</v>
      </c>
      <c r="U470" s="167" t="e">
        <f>VLOOKUP($B470,#REF!,9,FALSE)</f>
        <v>#REF!</v>
      </c>
      <c r="V470" s="13">
        <v>1</v>
      </c>
      <c r="W470" s="13" t="s">
        <v>2417</v>
      </c>
      <c r="X470" s="13" t="s">
        <v>1924</v>
      </c>
      <c r="Y470" s="13" t="s">
        <v>2073</v>
      </c>
      <c r="Z470" s="13" t="s">
        <v>2073</v>
      </c>
      <c r="AA470" s="13" t="s">
        <v>2073</v>
      </c>
      <c r="AB470" s="13" t="s">
        <v>1924</v>
      </c>
      <c r="AC470" s="211" t="s">
        <v>2415</v>
      </c>
      <c r="AD470" s="13" t="s">
        <v>2416</v>
      </c>
      <c r="AE470" s="69" t="e">
        <f>VLOOKUP($B470,#REF!,4,FALSE)</f>
        <v>#REF!</v>
      </c>
      <c r="AF470" s="13" t="s">
        <v>2418</v>
      </c>
      <c r="AG470" s="13" t="s">
        <v>2419</v>
      </c>
      <c r="AH470" s="13" t="s">
        <v>2420</v>
      </c>
      <c r="AI470" s="13" t="s">
        <v>2421</v>
      </c>
      <c r="AJ470" s="13" t="s">
        <v>2422</v>
      </c>
      <c r="AK470" s="13" t="s">
        <v>2416</v>
      </c>
      <c r="AL470" s="13" t="s">
        <v>2077</v>
      </c>
      <c r="AM470" s="13" t="s">
        <v>2077</v>
      </c>
      <c r="AN470" s="13" t="s">
        <v>2077</v>
      </c>
      <c r="AO470" s="13" t="s">
        <v>2077</v>
      </c>
      <c r="AP470" s="13" t="s">
        <v>2077</v>
      </c>
      <c r="AQ470" s="13" t="s">
        <v>2077</v>
      </c>
      <c r="AR470" s="13" t="s">
        <v>2418</v>
      </c>
      <c r="AS470" s="13" t="s">
        <v>2419</v>
      </c>
      <c r="AT470" s="13" t="s">
        <v>2420</v>
      </c>
      <c r="AU470" s="13" t="s">
        <v>2421</v>
      </c>
      <c r="AV470" s="13" t="s">
        <v>2422</v>
      </c>
      <c r="AW470" s="13" t="s">
        <v>2416</v>
      </c>
      <c r="AX470" s="13" t="s">
        <v>2073</v>
      </c>
      <c r="AY470" s="13" t="s">
        <v>2073</v>
      </c>
      <c r="AZ470" s="13" t="s">
        <v>2073</v>
      </c>
      <c r="BA470" s="13" t="s">
        <v>2073</v>
      </c>
      <c r="BB470" s="13" t="s">
        <v>2073</v>
      </c>
      <c r="BC470" s="13" t="s">
        <v>2073</v>
      </c>
    </row>
    <row r="471" spans="1:55" ht="15.75" customHeight="1">
      <c r="A471" s="6">
        <v>2000</v>
      </c>
      <c r="B471" s="63" t="s">
        <v>1324</v>
      </c>
      <c r="C471" s="211" t="s">
        <v>2412</v>
      </c>
      <c r="D471" s="13" t="e">
        <f>VLOOKUP($B471,#REF!,2,FALSE)</f>
        <v>#REF!</v>
      </c>
      <c r="E471" s="13" t="e">
        <f>VLOOKUP($B471,#REF!,10,FALSE)</f>
        <v>#REF!</v>
      </c>
      <c r="F471" s="211" t="s">
        <v>2413</v>
      </c>
      <c r="G471" s="13" t="s">
        <v>2414</v>
      </c>
      <c r="H471" s="13" t="s">
        <v>2077</v>
      </c>
      <c r="I471" s="13" t="s">
        <v>2077</v>
      </c>
      <c r="J471" s="13" t="s">
        <v>2077</v>
      </c>
      <c r="K471" s="13" t="s">
        <v>2077</v>
      </c>
      <c r="L471" s="13" t="s">
        <v>2077</v>
      </c>
      <c r="M471" s="13" t="s">
        <v>2077</v>
      </c>
      <c r="N471" s="211" t="s">
        <v>2415</v>
      </c>
      <c r="O471" s="13" t="s">
        <v>2416</v>
      </c>
      <c r="P471" s="69" t="e">
        <f>VLOOKUP($B471,#REF!,2,FALSE)</f>
        <v>#REF!</v>
      </c>
      <c r="Q471" s="13" t="e">
        <f t="shared" si="398"/>
        <v>#REF!</v>
      </c>
      <c r="R471" s="215" t="e">
        <f>VLOOKUP($B471,#REF!,6,FALSE)</f>
        <v>#REF!</v>
      </c>
      <c r="S471" s="215" t="e">
        <f>VLOOKUP($B471,#REF!,7,FALSE)</f>
        <v>#REF!</v>
      </c>
      <c r="T471" s="13">
        <v>85</v>
      </c>
      <c r="U471" s="167" t="e">
        <f>VLOOKUP($B471,#REF!,9,FALSE)</f>
        <v>#REF!</v>
      </c>
      <c r="V471" s="13">
        <v>1</v>
      </c>
      <c r="W471" s="13" t="s">
        <v>2417</v>
      </c>
      <c r="X471" s="13" t="s">
        <v>1924</v>
      </c>
      <c r="Y471" s="13" t="s">
        <v>2073</v>
      </c>
      <c r="Z471" s="13" t="s">
        <v>2073</v>
      </c>
      <c r="AA471" s="13" t="s">
        <v>2073</v>
      </c>
      <c r="AB471" s="13" t="s">
        <v>1924</v>
      </c>
      <c r="AC471" s="211" t="s">
        <v>2415</v>
      </c>
      <c r="AD471" s="13" t="s">
        <v>2416</v>
      </c>
      <c r="AE471" s="69" t="e">
        <f>VLOOKUP($B471,#REF!,4,FALSE)</f>
        <v>#REF!</v>
      </c>
      <c r="AF471" s="13" t="s">
        <v>2418</v>
      </c>
      <c r="AG471" s="13" t="s">
        <v>2419</v>
      </c>
      <c r="AH471" s="13" t="s">
        <v>2420</v>
      </c>
      <c r="AI471" s="13" t="s">
        <v>2421</v>
      </c>
      <c r="AJ471" s="13" t="s">
        <v>2422</v>
      </c>
      <c r="AK471" s="13" t="s">
        <v>2416</v>
      </c>
      <c r="AL471" s="13" t="s">
        <v>2077</v>
      </c>
      <c r="AM471" s="13" t="s">
        <v>2077</v>
      </c>
      <c r="AN471" s="13" t="s">
        <v>2077</v>
      </c>
      <c r="AO471" s="13" t="s">
        <v>2077</v>
      </c>
      <c r="AP471" s="13" t="s">
        <v>2077</v>
      </c>
      <c r="AQ471" s="13" t="s">
        <v>2077</v>
      </c>
      <c r="AR471" s="13" t="s">
        <v>2418</v>
      </c>
      <c r="AS471" s="13" t="s">
        <v>2419</v>
      </c>
      <c r="AT471" s="13" t="s">
        <v>2420</v>
      </c>
      <c r="AU471" s="13" t="s">
        <v>2421</v>
      </c>
      <c r="AV471" s="13" t="s">
        <v>2422</v>
      </c>
      <c r="AW471" s="13" t="s">
        <v>2416</v>
      </c>
      <c r="AX471" s="13" t="s">
        <v>2073</v>
      </c>
      <c r="AY471" s="13" t="s">
        <v>2073</v>
      </c>
      <c r="AZ471" s="13" t="s">
        <v>2073</v>
      </c>
      <c r="BA471" s="13" t="s">
        <v>2073</v>
      </c>
      <c r="BB471" s="13" t="s">
        <v>2073</v>
      </c>
      <c r="BC471" s="13" t="s">
        <v>2073</v>
      </c>
    </row>
    <row r="472" spans="1:55" ht="15.75" customHeight="1">
      <c r="A472" s="6">
        <v>2000</v>
      </c>
      <c r="B472" s="63" t="s">
        <v>1328</v>
      </c>
      <c r="C472" s="211" t="s">
        <v>2412</v>
      </c>
      <c r="D472" s="13" t="e">
        <f>VLOOKUP($B472,#REF!,2,FALSE)</f>
        <v>#REF!</v>
      </c>
      <c r="E472" s="13" t="e">
        <f>VLOOKUP($B472,#REF!,10,FALSE)</f>
        <v>#REF!</v>
      </c>
      <c r="F472" s="211" t="s">
        <v>2413</v>
      </c>
      <c r="G472" s="13" t="s">
        <v>2414</v>
      </c>
      <c r="H472" s="13" t="s">
        <v>2077</v>
      </c>
      <c r="I472" s="13" t="s">
        <v>2077</v>
      </c>
      <c r="J472" s="13" t="s">
        <v>2077</v>
      </c>
      <c r="K472" s="13" t="s">
        <v>2077</v>
      </c>
      <c r="L472" s="13" t="s">
        <v>2077</v>
      </c>
      <c r="M472" s="13" t="s">
        <v>2077</v>
      </c>
      <c r="N472" s="211" t="s">
        <v>2415</v>
      </c>
      <c r="O472" s="13" t="s">
        <v>2416</v>
      </c>
      <c r="P472" s="69" t="e">
        <f>VLOOKUP($B472,#REF!,2,FALSE)</f>
        <v>#REF!</v>
      </c>
      <c r="Q472" s="13" t="e">
        <f t="shared" si="398"/>
        <v>#REF!</v>
      </c>
      <c r="R472" s="215" t="e">
        <f>VLOOKUP($B472,#REF!,6,FALSE)</f>
        <v>#REF!</v>
      </c>
      <c r="S472" s="215" t="e">
        <f>VLOOKUP($B472,#REF!,7,FALSE)</f>
        <v>#REF!</v>
      </c>
      <c r="T472" s="13">
        <v>85</v>
      </c>
      <c r="U472" s="167" t="e">
        <f>VLOOKUP($B472,#REF!,9,FALSE)</f>
        <v>#REF!</v>
      </c>
      <c r="V472" s="13">
        <v>1</v>
      </c>
      <c r="W472" s="13" t="s">
        <v>2417</v>
      </c>
      <c r="X472" s="13" t="s">
        <v>1924</v>
      </c>
      <c r="Y472" s="13" t="s">
        <v>2073</v>
      </c>
      <c r="Z472" s="13" t="s">
        <v>2073</v>
      </c>
      <c r="AA472" s="13" t="s">
        <v>2073</v>
      </c>
      <c r="AB472" s="13" t="s">
        <v>1924</v>
      </c>
      <c r="AC472" s="211" t="s">
        <v>2415</v>
      </c>
      <c r="AD472" s="13" t="s">
        <v>2416</v>
      </c>
      <c r="AE472" s="69" t="e">
        <f>VLOOKUP($B472,#REF!,4,FALSE)</f>
        <v>#REF!</v>
      </c>
      <c r="AF472" s="13" t="s">
        <v>2418</v>
      </c>
      <c r="AG472" s="13" t="s">
        <v>2419</v>
      </c>
      <c r="AH472" s="13" t="s">
        <v>2420</v>
      </c>
      <c r="AI472" s="13" t="s">
        <v>2421</v>
      </c>
      <c r="AJ472" s="13" t="s">
        <v>2422</v>
      </c>
      <c r="AK472" s="13" t="s">
        <v>2416</v>
      </c>
      <c r="AL472" s="13" t="s">
        <v>2077</v>
      </c>
      <c r="AM472" s="13" t="s">
        <v>2077</v>
      </c>
      <c r="AN472" s="13" t="s">
        <v>2077</v>
      </c>
      <c r="AO472" s="13" t="s">
        <v>2077</v>
      </c>
      <c r="AP472" s="13" t="s">
        <v>2077</v>
      </c>
      <c r="AQ472" s="13" t="s">
        <v>2077</v>
      </c>
      <c r="AR472" s="13" t="s">
        <v>2418</v>
      </c>
      <c r="AS472" s="13" t="s">
        <v>2419</v>
      </c>
      <c r="AT472" s="13" t="s">
        <v>2420</v>
      </c>
      <c r="AU472" s="13" t="s">
        <v>2421</v>
      </c>
      <c r="AV472" s="13" t="s">
        <v>2422</v>
      </c>
      <c r="AW472" s="13" t="s">
        <v>2416</v>
      </c>
      <c r="AX472" s="13" t="s">
        <v>2073</v>
      </c>
      <c r="AY472" s="13" t="s">
        <v>2073</v>
      </c>
      <c r="AZ472" s="13" t="s">
        <v>2073</v>
      </c>
      <c r="BA472" s="13" t="s">
        <v>2073</v>
      </c>
      <c r="BB472" s="13" t="s">
        <v>2073</v>
      </c>
      <c r="BC472" s="13" t="s">
        <v>2073</v>
      </c>
    </row>
    <row r="473" spans="1:55" ht="15.75" customHeight="1">
      <c r="A473" s="6">
        <v>2000</v>
      </c>
      <c r="B473" s="63" t="s">
        <v>1332</v>
      </c>
      <c r="C473" s="211" t="s">
        <v>2412</v>
      </c>
      <c r="D473" s="13" t="e">
        <f>VLOOKUP($B473,#REF!,2,FALSE)</f>
        <v>#REF!</v>
      </c>
      <c r="E473" s="13" t="e">
        <f>VLOOKUP($B473,#REF!,10,FALSE)</f>
        <v>#REF!</v>
      </c>
      <c r="F473" s="211" t="s">
        <v>2413</v>
      </c>
      <c r="G473" s="13" t="s">
        <v>2414</v>
      </c>
      <c r="H473" s="13" t="s">
        <v>2077</v>
      </c>
      <c r="I473" s="13" t="s">
        <v>2077</v>
      </c>
      <c r="J473" s="13" t="s">
        <v>2077</v>
      </c>
      <c r="K473" s="13" t="s">
        <v>2077</v>
      </c>
      <c r="L473" s="13" t="s">
        <v>2077</v>
      </c>
      <c r="M473" s="13" t="s">
        <v>2077</v>
      </c>
      <c r="N473" s="211" t="s">
        <v>2415</v>
      </c>
      <c r="O473" s="13" t="s">
        <v>2416</v>
      </c>
      <c r="P473" s="69" t="e">
        <f>VLOOKUP($B473,#REF!,2,FALSE)</f>
        <v>#REF!</v>
      </c>
      <c r="Q473" s="13" t="e">
        <f t="shared" si="398"/>
        <v>#REF!</v>
      </c>
      <c r="R473" s="215" t="e">
        <f>VLOOKUP($B473,#REF!,6,FALSE)</f>
        <v>#REF!</v>
      </c>
      <c r="S473" s="215" t="e">
        <f>VLOOKUP($B473,#REF!,7,FALSE)</f>
        <v>#REF!</v>
      </c>
      <c r="T473" s="13">
        <v>85</v>
      </c>
      <c r="U473" s="167" t="e">
        <f>VLOOKUP($B473,#REF!,9,FALSE)</f>
        <v>#REF!</v>
      </c>
      <c r="V473" s="13">
        <v>1</v>
      </c>
      <c r="W473" s="13" t="s">
        <v>2417</v>
      </c>
      <c r="X473" s="13" t="s">
        <v>1924</v>
      </c>
      <c r="Y473" s="13" t="s">
        <v>2073</v>
      </c>
      <c r="Z473" s="13" t="s">
        <v>2073</v>
      </c>
      <c r="AA473" s="13" t="s">
        <v>2073</v>
      </c>
      <c r="AB473" s="13" t="s">
        <v>1924</v>
      </c>
      <c r="AC473" s="211" t="s">
        <v>2415</v>
      </c>
      <c r="AD473" s="13" t="s">
        <v>2416</v>
      </c>
      <c r="AE473" s="69" t="e">
        <f>VLOOKUP($B473,#REF!,4,FALSE)</f>
        <v>#REF!</v>
      </c>
      <c r="AF473" s="13" t="s">
        <v>2418</v>
      </c>
      <c r="AG473" s="13" t="s">
        <v>2419</v>
      </c>
      <c r="AH473" s="13" t="s">
        <v>2420</v>
      </c>
      <c r="AI473" s="13" t="s">
        <v>2421</v>
      </c>
      <c r="AJ473" s="13" t="s">
        <v>2422</v>
      </c>
      <c r="AK473" s="13" t="s">
        <v>2416</v>
      </c>
      <c r="AL473" s="13" t="s">
        <v>2077</v>
      </c>
      <c r="AM473" s="13" t="s">
        <v>2077</v>
      </c>
      <c r="AN473" s="13" t="s">
        <v>2077</v>
      </c>
      <c r="AO473" s="13" t="s">
        <v>2077</v>
      </c>
      <c r="AP473" s="13" t="s">
        <v>2077</v>
      </c>
      <c r="AQ473" s="13" t="s">
        <v>2077</v>
      </c>
      <c r="AR473" s="13" t="s">
        <v>2418</v>
      </c>
      <c r="AS473" s="13" t="s">
        <v>2419</v>
      </c>
      <c r="AT473" s="13" t="s">
        <v>2420</v>
      </c>
      <c r="AU473" s="13" t="s">
        <v>2421</v>
      </c>
      <c r="AV473" s="13" t="s">
        <v>2422</v>
      </c>
      <c r="AW473" s="13" t="s">
        <v>2416</v>
      </c>
      <c r="AX473" s="13" t="s">
        <v>2073</v>
      </c>
      <c r="AY473" s="13" t="s">
        <v>2073</v>
      </c>
      <c r="AZ473" s="13" t="s">
        <v>2073</v>
      </c>
      <c r="BA473" s="13" t="s">
        <v>2073</v>
      </c>
      <c r="BB473" s="13" t="s">
        <v>2073</v>
      </c>
      <c r="BC473" s="13" t="s">
        <v>2073</v>
      </c>
    </row>
    <row r="474" spans="1:55" ht="15.75" customHeight="1">
      <c r="A474" s="6">
        <v>2000</v>
      </c>
      <c r="B474" s="63" t="s">
        <v>1336</v>
      </c>
      <c r="C474" s="211" t="s">
        <v>2412</v>
      </c>
      <c r="D474" s="13" t="e">
        <f>VLOOKUP($B474,#REF!,2,FALSE)</f>
        <v>#REF!</v>
      </c>
      <c r="E474" s="13" t="e">
        <f>VLOOKUP($B474,#REF!,10,FALSE)</f>
        <v>#REF!</v>
      </c>
      <c r="F474" s="211" t="s">
        <v>2413</v>
      </c>
      <c r="G474" s="13" t="s">
        <v>2414</v>
      </c>
      <c r="H474" s="13" t="s">
        <v>2077</v>
      </c>
      <c r="I474" s="13" t="s">
        <v>2077</v>
      </c>
      <c r="J474" s="13" t="s">
        <v>2077</v>
      </c>
      <c r="K474" s="13" t="s">
        <v>2077</v>
      </c>
      <c r="L474" s="13" t="s">
        <v>2077</v>
      </c>
      <c r="M474" s="13" t="s">
        <v>2077</v>
      </c>
      <c r="N474" s="211" t="s">
        <v>2415</v>
      </c>
      <c r="O474" s="13" t="s">
        <v>2416</v>
      </c>
      <c r="P474" s="69" t="e">
        <f>VLOOKUP($B474,#REF!,2,FALSE)</f>
        <v>#REF!</v>
      </c>
      <c r="Q474" s="13" t="e">
        <f t="shared" si="398"/>
        <v>#REF!</v>
      </c>
      <c r="R474" s="215" t="e">
        <f>VLOOKUP($B474,#REF!,6,FALSE)</f>
        <v>#REF!</v>
      </c>
      <c r="S474" s="215" t="e">
        <f>VLOOKUP($B474,#REF!,7,FALSE)</f>
        <v>#REF!</v>
      </c>
      <c r="T474" s="13">
        <v>85</v>
      </c>
      <c r="U474" s="167" t="e">
        <f>VLOOKUP($B474,#REF!,9,FALSE)</f>
        <v>#REF!</v>
      </c>
      <c r="V474" s="13">
        <v>1</v>
      </c>
      <c r="W474" s="13" t="s">
        <v>2417</v>
      </c>
      <c r="X474" s="13" t="s">
        <v>1924</v>
      </c>
      <c r="Y474" s="13" t="s">
        <v>2073</v>
      </c>
      <c r="Z474" s="13" t="s">
        <v>2073</v>
      </c>
      <c r="AA474" s="13" t="s">
        <v>2073</v>
      </c>
      <c r="AB474" s="13" t="s">
        <v>1924</v>
      </c>
      <c r="AC474" s="211" t="s">
        <v>2415</v>
      </c>
      <c r="AD474" s="13" t="s">
        <v>2416</v>
      </c>
      <c r="AE474" s="69" t="e">
        <f>VLOOKUP($B474,#REF!,4,FALSE)</f>
        <v>#REF!</v>
      </c>
      <c r="AF474" s="13" t="s">
        <v>2418</v>
      </c>
      <c r="AG474" s="13" t="s">
        <v>2419</v>
      </c>
      <c r="AH474" s="13" t="s">
        <v>2420</v>
      </c>
      <c r="AI474" s="13" t="s">
        <v>2421</v>
      </c>
      <c r="AJ474" s="13" t="s">
        <v>2422</v>
      </c>
      <c r="AK474" s="13" t="s">
        <v>2416</v>
      </c>
      <c r="AL474" s="13" t="s">
        <v>2077</v>
      </c>
      <c r="AM474" s="13" t="s">
        <v>2077</v>
      </c>
      <c r="AN474" s="13" t="s">
        <v>2077</v>
      </c>
      <c r="AO474" s="13" t="s">
        <v>2077</v>
      </c>
      <c r="AP474" s="13" t="s">
        <v>2077</v>
      </c>
      <c r="AQ474" s="13" t="s">
        <v>2077</v>
      </c>
      <c r="AR474" s="13" t="s">
        <v>2418</v>
      </c>
      <c r="AS474" s="13" t="s">
        <v>2419</v>
      </c>
      <c r="AT474" s="13" t="s">
        <v>2420</v>
      </c>
      <c r="AU474" s="13" t="s">
        <v>2421</v>
      </c>
      <c r="AV474" s="13" t="s">
        <v>2422</v>
      </c>
      <c r="AW474" s="13" t="s">
        <v>2416</v>
      </c>
      <c r="AX474" s="13" t="s">
        <v>2073</v>
      </c>
      <c r="AY474" s="13" t="s">
        <v>2073</v>
      </c>
      <c r="AZ474" s="13" t="s">
        <v>2073</v>
      </c>
      <c r="BA474" s="13" t="s">
        <v>2073</v>
      </c>
      <c r="BB474" s="13" t="s">
        <v>2073</v>
      </c>
      <c r="BC474" s="13" t="s">
        <v>2073</v>
      </c>
    </row>
    <row r="475" spans="1:55" ht="15.75" customHeight="1">
      <c r="A475" s="6">
        <v>2000</v>
      </c>
      <c r="B475" s="63" t="s">
        <v>1340</v>
      </c>
      <c r="C475" s="211" t="s">
        <v>2412</v>
      </c>
      <c r="D475" s="13" t="e">
        <f>VLOOKUP($B475,#REF!,2,FALSE)</f>
        <v>#REF!</v>
      </c>
      <c r="E475" s="13" t="e">
        <f>VLOOKUP($B475,#REF!,10,FALSE)</f>
        <v>#REF!</v>
      </c>
      <c r="F475" s="211" t="s">
        <v>2413</v>
      </c>
      <c r="G475" s="13" t="s">
        <v>2414</v>
      </c>
      <c r="H475" s="13" t="s">
        <v>2077</v>
      </c>
      <c r="I475" s="13" t="s">
        <v>2077</v>
      </c>
      <c r="J475" s="13" t="s">
        <v>2077</v>
      </c>
      <c r="K475" s="13" t="s">
        <v>2077</v>
      </c>
      <c r="L475" s="13" t="s">
        <v>2077</v>
      </c>
      <c r="M475" s="13" t="s">
        <v>2077</v>
      </c>
      <c r="N475" s="211" t="s">
        <v>2415</v>
      </c>
      <c r="O475" s="13" t="s">
        <v>2416</v>
      </c>
      <c r="P475" s="69" t="e">
        <f>VLOOKUP($B475,#REF!,2,FALSE)</f>
        <v>#REF!</v>
      </c>
      <c r="Q475" s="13" t="e">
        <f t="shared" si="398"/>
        <v>#REF!</v>
      </c>
      <c r="R475" s="215" t="e">
        <f>VLOOKUP($B475,#REF!,6,FALSE)</f>
        <v>#REF!</v>
      </c>
      <c r="S475" s="215" t="e">
        <f>VLOOKUP($B475,#REF!,7,FALSE)</f>
        <v>#REF!</v>
      </c>
      <c r="T475" s="13">
        <v>85</v>
      </c>
      <c r="U475" s="167" t="e">
        <f>VLOOKUP($B475,#REF!,9,FALSE)</f>
        <v>#REF!</v>
      </c>
      <c r="V475" s="13">
        <v>1</v>
      </c>
      <c r="W475" s="13" t="s">
        <v>2417</v>
      </c>
      <c r="X475" s="13" t="s">
        <v>1924</v>
      </c>
      <c r="Y475" s="13" t="s">
        <v>2073</v>
      </c>
      <c r="Z475" s="13" t="s">
        <v>2073</v>
      </c>
      <c r="AA475" s="13" t="s">
        <v>2073</v>
      </c>
      <c r="AB475" s="13" t="s">
        <v>1924</v>
      </c>
      <c r="AC475" s="211" t="s">
        <v>2415</v>
      </c>
      <c r="AD475" s="13" t="s">
        <v>2416</v>
      </c>
      <c r="AE475" s="69" t="e">
        <f>VLOOKUP($B475,#REF!,4,FALSE)</f>
        <v>#REF!</v>
      </c>
      <c r="AF475" s="13" t="s">
        <v>2418</v>
      </c>
      <c r="AG475" s="13" t="s">
        <v>2419</v>
      </c>
      <c r="AH475" s="13" t="s">
        <v>2420</v>
      </c>
      <c r="AI475" s="13" t="s">
        <v>2421</v>
      </c>
      <c r="AJ475" s="13" t="s">
        <v>2422</v>
      </c>
      <c r="AK475" s="13" t="s">
        <v>2416</v>
      </c>
      <c r="AL475" s="13" t="s">
        <v>2077</v>
      </c>
      <c r="AM475" s="13" t="s">
        <v>2077</v>
      </c>
      <c r="AN475" s="13" t="s">
        <v>2077</v>
      </c>
      <c r="AO475" s="13" t="s">
        <v>2077</v>
      </c>
      <c r="AP475" s="13" t="s">
        <v>2077</v>
      </c>
      <c r="AQ475" s="13" t="s">
        <v>2077</v>
      </c>
      <c r="AR475" s="13" t="s">
        <v>2418</v>
      </c>
      <c r="AS475" s="13" t="s">
        <v>2419</v>
      </c>
      <c r="AT475" s="13" t="s">
        <v>2420</v>
      </c>
      <c r="AU475" s="13" t="s">
        <v>2421</v>
      </c>
      <c r="AV475" s="13" t="s">
        <v>2422</v>
      </c>
      <c r="AW475" s="13" t="s">
        <v>2416</v>
      </c>
      <c r="AX475" s="13" t="s">
        <v>2073</v>
      </c>
      <c r="AY475" s="13" t="s">
        <v>2073</v>
      </c>
      <c r="AZ475" s="13" t="s">
        <v>2073</v>
      </c>
      <c r="BA475" s="13" t="s">
        <v>2073</v>
      </c>
      <c r="BB475" s="13" t="s">
        <v>2073</v>
      </c>
      <c r="BC475" s="13" t="s">
        <v>2073</v>
      </c>
    </row>
    <row r="476" spans="1:55" ht="15.75" customHeight="1">
      <c r="A476" s="6">
        <v>2000</v>
      </c>
      <c r="B476" s="63" t="s">
        <v>1344</v>
      </c>
      <c r="C476" s="211" t="s">
        <v>2412</v>
      </c>
      <c r="D476" s="13" t="e">
        <f>VLOOKUP($B476,#REF!,2,FALSE)</f>
        <v>#REF!</v>
      </c>
      <c r="E476" s="13" t="e">
        <f>VLOOKUP($B476,#REF!,10,FALSE)</f>
        <v>#REF!</v>
      </c>
      <c r="F476" s="211" t="s">
        <v>2413</v>
      </c>
      <c r="G476" s="13" t="s">
        <v>2414</v>
      </c>
      <c r="H476" s="13" t="s">
        <v>2077</v>
      </c>
      <c r="I476" s="13" t="s">
        <v>2077</v>
      </c>
      <c r="J476" s="13" t="s">
        <v>2077</v>
      </c>
      <c r="K476" s="13" t="s">
        <v>2077</v>
      </c>
      <c r="L476" s="13" t="s">
        <v>2077</v>
      </c>
      <c r="M476" s="13" t="s">
        <v>2077</v>
      </c>
      <c r="N476" s="211" t="s">
        <v>2415</v>
      </c>
      <c r="O476" s="13" t="s">
        <v>2416</v>
      </c>
      <c r="P476" s="69" t="e">
        <f>VLOOKUP($B476,#REF!,2,FALSE)</f>
        <v>#REF!</v>
      </c>
      <c r="Q476" s="13" t="e">
        <f t="shared" si="398"/>
        <v>#REF!</v>
      </c>
      <c r="R476" s="215" t="e">
        <f>VLOOKUP($B476,#REF!,6,FALSE)</f>
        <v>#REF!</v>
      </c>
      <c r="S476" s="215" t="e">
        <f>VLOOKUP($B476,#REF!,7,FALSE)</f>
        <v>#REF!</v>
      </c>
      <c r="T476" s="13">
        <v>85</v>
      </c>
      <c r="U476" s="167" t="e">
        <f>VLOOKUP($B476,#REF!,9,FALSE)</f>
        <v>#REF!</v>
      </c>
      <c r="V476" s="13">
        <v>1</v>
      </c>
      <c r="W476" s="13" t="s">
        <v>2417</v>
      </c>
      <c r="X476" s="13" t="s">
        <v>1924</v>
      </c>
      <c r="Y476" s="13" t="s">
        <v>2073</v>
      </c>
      <c r="Z476" s="13" t="s">
        <v>2073</v>
      </c>
      <c r="AA476" s="13" t="s">
        <v>2073</v>
      </c>
      <c r="AB476" s="13" t="s">
        <v>1924</v>
      </c>
      <c r="AC476" s="211" t="s">
        <v>2415</v>
      </c>
      <c r="AD476" s="13" t="s">
        <v>2416</v>
      </c>
      <c r="AE476" s="69" t="e">
        <f>VLOOKUP($B476,#REF!,4,FALSE)</f>
        <v>#REF!</v>
      </c>
      <c r="AF476" s="13" t="s">
        <v>2418</v>
      </c>
      <c r="AG476" s="13" t="s">
        <v>2419</v>
      </c>
      <c r="AH476" s="13" t="s">
        <v>2420</v>
      </c>
      <c r="AI476" s="13" t="s">
        <v>2421</v>
      </c>
      <c r="AJ476" s="13" t="s">
        <v>2422</v>
      </c>
      <c r="AK476" s="13" t="s">
        <v>2416</v>
      </c>
      <c r="AL476" s="13" t="s">
        <v>2077</v>
      </c>
      <c r="AM476" s="13" t="s">
        <v>2077</v>
      </c>
      <c r="AN476" s="13" t="s">
        <v>2077</v>
      </c>
      <c r="AO476" s="13" t="s">
        <v>2077</v>
      </c>
      <c r="AP476" s="13" t="s">
        <v>2077</v>
      </c>
      <c r="AQ476" s="13" t="s">
        <v>2077</v>
      </c>
      <c r="AR476" s="13" t="s">
        <v>2418</v>
      </c>
      <c r="AS476" s="13" t="s">
        <v>2419</v>
      </c>
      <c r="AT476" s="13" t="s">
        <v>2420</v>
      </c>
      <c r="AU476" s="13" t="s">
        <v>2421</v>
      </c>
      <c r="AV476" s="13" t="s">
        <v>2422</v>
      </c>
      <c r="AW476" s="13" t="s">
        <v>2416</v>
      </c>
      <c r="AX476" s="13" t="s">
        <v>2073</v>
      </c>
      <c r="AY476" s="13" t="s">
        <v>2073</v>
      </c>
      <c r="AZ476" s="13" t="s">
        <v>2073</v>
      </c>
      <c r="BA476" s="13" t="s">
        <v>2073</v>
      </c>
      <c r="BB476" s="13" t="s">
        <v>2073</v>
      </c>
      <c r="BC476" s="13" t="s">
        <v>2073</v>
      </c>
    </row>
    <row r="477" spans="1:55" ht="15.75" customHeight="1">
      <c r="A477" s="6">
        <v>2000</v>
      </c>
      <c r="B477" s="63" t="s">
        <v>1348</v>
      </c>
      <c r="C477" s="211" t="s">
        <v>2412</v>
      </c>
      <c r="D477" s="13" t="e">
        <f>VLOOKUP($B477,#REF!,2,FALSE)</f>
        <v>#REF!</v>
      </c>
      <c r="E477" s="13" t="e">
        <f>VLOOKUP($B477,#REF!,10,FALSE)</f>
        <v>#REF!</v>
      </c>
      <c r="F477" s="211" t="s">
        <v>2413</v>
      </c>
      <c r="G477" s="13" t="s">
        <v>2414</v>
      </c>
      <c r="H477" s="13" t="s">
        <v>2077</v>
      </c>
      <c r="I477" s="13" t="s">
        <v>2077</v>
      </c>
      <c r="J477" s="13" t="s">
        <v>2077</v>
      </c>
      <c r="K477" s="13" t="s">
        <v>2077</v>
      </c>
      <c r="L477" s="13" t="s">
        <v>2077</v>
      </c>
      <c r="M477" s="13" t="s">
        <v>2077</v>
      </c>
      <c r="N477" s="211" t="s">
        <v>2415</v>
      </c>
      <c r="O477" s="13" t="s">
        <v>2416</v>
      </c>
      <c r="P477" s="69" t="e">
        <f>VLOOKUP($B477,#REF!,2,FALSE)</f>
        <v>#REF!</v>
      </c>
      <c r="Q477" s="13" t="e">
        <f t="shared" si="398"/>
        <v>#REF!</v>
      </c>
      <c r="R477" s="215" t="e">
        <f>VLOOKUP($B477,#REF!,6,FALSE)</f>
        <v>#REF!</v>
      </c>
      <c r="S477" s="215" t="e">
        <f>VLOOKUP($B477,#REF!,7,FALSE)</f>
        <v>#REF!</v>
      </c>
      <c r="T477" s="13">
        <v>85</v>
      </c>
      <c r="U477" s="167" t="e">
        <f>VLOOKUP($B477,#REF!,9,FALSE)</f>
        <v>#REF!</v>
      </c>
      <c r="V477" s="13">
        <v>1</v>
      </c>
      <c r="W477" s="13" t="s">
        <v>2417</v>
      </c>
      <c r="X477" s="13" t="s">
        <v>1924</v>
      </c>
      <c r="Y477" s="13" t="s">
        <v>2073</v>
      </c>
      <c r="Z477" s="13" t="s">
        <v>2073</v>
      </c>
      <c r="AA477" s="13" t="s">
        <v>2073</v>
      </c>
      <c r="AB477" s="13" t="s">
        <v>1924</v>
      </c>
      <c r="AC477" s="211" t="s">
        <v>2415</v>
      </c>
      <c r="AD477" s="13" t="s">
        <v>2416</v>
      </c>
      <c r="AE477" s="69" t="e">
        <f>VLOOKUP($B477,#REF!,4,FALSE)</f>
        <v>#REF!</v>
      </c>
      <c r="AF477" s="13" t="s">
        <v>2418</v>
      </c>
      <c r="AG477" s="13" t="s">
        <v>2419</v>
      </c>
      <c r="AH477" s="13" t="s">
        <v>2420</v>
      </c>
      <c r="AI477" s="13" t="s">
        <v>2421</v>
      </c>
      <c r="AJ477" s="13" t="s">
        <v>2422</v>
      </c>
      <c r="AK477" s="13" t="s">
        <v>2416</v>
      </c>
      <c r="AL477" s="13" t="s">
        <v>2077</v>
      </c>
      <c r="AM477" s="13" t="s">
        <v>2077</v>
      </c>
      <c r="AN477" s="13" t="s">
        <v>2077</v>
      </c>
      <c r="AO477" s="13" t="s">
        <v>2077</v>
      </c>
      <c r="AP477" s="13" t="s">
        <v>2077</v>
      </c>
      <c r="AQ477" s="13" t="s">
        <v>2077</v>
      </c>
      <c r="AR477" s="13" t="s">
        <v>2418</v>
      </c>
      <c r="AS477" s="13" t="s">
        <v>2419</v>
      </c>
      <c r="AT477" s="13" t="s">
        <v>2420</v>
      </c>
      <c r="AU477" s="13" t="s">
        <v>2421</v>
      </c>
      <c r="AV477" s="13" t="s">
        <v>2422</v>
      </c>
      <c r="AW477" s="13" t="s">
        <v>2416</v>
      </c>
      <c r="AX477" s="13" t="s">
        <v>2073</v>
      </c>
      <c r="AY477" s="13" t="s">
        <v>2073</v>
      </c>
      <c r="AZ477" s="13" t="s">
        <v>2073</v>
      </c>
      <c r="BA477" s="13" t="s">
        <v>2073</v>
      </c>
      <c r="BB477" s="13" t="s">
        <v>2073</v>
      </c>
      <c r="BC477" s="13" t="s">
        <v>2073</v>
      </c>
    </row>
    <row r="478" spans="1:55" ht="15.75" customHeight="1">
      <c r="A478" s="6">
        <v>2000</v>
      </c>
      <c r="B478" s="63" t="s">
        <v>1353</v>
      </c>
      <c r="C478" s="211" t="s">
        <v>2412</v>
      </c>
      <c r="D478" s="13" t="e">
        <f>VLOOKUP($B478,#REF!,2,FALSE)</f>
        <v>#REF!</v>
      </c>
      <c r="E478" s="13" t="e">
        <f>VLOOKUP($B478,#REF!,10,FALSE)</f>
        <v>#REF!</v>
      </c>
      <c r="F478" s="211" t="s">
        <v>2413</v>
      </c>
      <c r="G478" s="13" t="s">
        <v>2414</v>
      </c>
      <c r="H478" s="13" t="s">
        <v>2077</v>
      </c>
      <c r="I478" s="13" t="s">
        <v>2077</v>
      </c>
      <c r="J478" s="13" t="s">
        <v>2077</v>
      </c>
      <c r="K478" s="13" t="s">
        <v>2077</v>
      </c>
      <c r="L478" s="13" t="s">
        <v>2077</v>
      </c>
      <c r="M478" s="13" t="s">
        <v>2077</v>
      </c>
      <c r="N478" s="211" t="s">
        <v>2415</v>
      </c>
      <c r="O478" s="13" t="s">
        <v>2416</v>
      </c>
      <c r="P478" s="69" t="e">
        <f>VLOOKUP($B478,#REF!,2,FALSE)</f>
        <v>#REF!</v>
      </c>
      <c r="Q478" s="13" t="e">
        <f t="shared" si="398"/>
        <v>#REF!</v>
      </c>
      <c r="R478" s="215" t="e">
        <f>VLOOKUP($B478,#REF!,6,FALSE)</f>
        <v>#REF!</v>
      </c>
      <c r="S478" s="215" t="e">
        <f>VLOOKUP($B478,#REF!,7,FALSE)</f>
        <v>#REF!</v>
      </c>
      <c r="T478" s="13">
        <v>85</v>
      </c>
      <c r="U478" s="167" t="e">
        <f>VLOOKUP($B478,#REF!,9,FALSE)</f>
        <v>#REF!</v>
      </c>
      <c r="V478" s="13">
        <v>1</v>
      </c>
      <c r="W478" s="13" t="s">
        <v>2417</v>
      </c>
      <c r="X478" s="13" t="s">
        <v>1924</v>
      </c>
      <c r="Y478" s="13" t="s">
        <v>2073</v>
      </c>
      <c r="Z478" s="13" t="s">
        <v>2073</v>
      </c>
      <c r="AA478" s="13" t="s">
        <v>2073</v>
      </c>
      <c r="AB478" s="13" t="s">
        <v>1924</v>
      </c>
      <c r="AC478" s="211" t="s">
        <v>2415</v>
      </c>
      <c r="AD478" s="13" t="s">
        <v>2416</v>
      </c>
      <c r="AE478" s="69" t="e">
        <f>VLOOKUP($B478,#REF!,4,FALSE)</f>
        <v>#REF!</v>
      </c>
      <c r="AF478" s="13" t="s">
        <v>2418</v>
      </c>
      <c r="AG478" s="13" t="s">
        <v>2419</v>
      </c>
      <c r="AH478" s="13" t="s">
        <v>2420</v>
      </c>
      <c r="AI478" s="13" t="s">
        <v>2421</v>
      </c>
      <c r="AJ478" s="13" t="s">
        <v>2422</v>
      </c>
      <c r="AK478" s="13" t="s">
        <v>2416</v>
      </c>
      <c r="AL478" s="13" t="s">
        <v>2077</v>
      </c>
      <c r="AM478" s="13" t="s">
        <v>2077</v>
      </c>
      <c r="AN478" s="13" t="s">
        <v>2077</v>
      </c>
      <c r="AO478" s="13" t="s">
        <v>2077</v>
      </c>
      <c r="AP478" s="13" t="s">
        <v>2077</v>
      </c>
      <c r="AQ478" s="13" t="s">
        <v>2077</v>
      </c>
      <c r="AR478" s="13" t="s">
        <v>2418</v>
      </c>
      <c r="AS478" s="13" t="s">
        <v>2419</v>
      </c>
      <c r="AT478" s="13" t="s">
        <v>2420</v>
      </c>
      <c r="AU478" s="13" t="s">
        <v>2421</v>
      </c>
      <c r="AV478" s="13" t="s">
        <v>2422</v>
      </c>
      <c r="AW478" s="13" t="s">
        <v>2416</v>
      </c>
      <c r="AX478" s="13" t="s">
        <v>2073</v>
      </c>
      <c r="AY478" s="13" t="s">
        <v>2073</v>
      </c>
      <c r="AZ478" s="13" t="s">
        <v>2073</v>
      </c>
      <c r="BA478" s="13" t="s">
        <v>2073</v>
      </c>
      <c r="BB478" s="13" t="s">
        <v>2073</v>
      </c>
      <c r="BC478" s="13" t="s">
        <v>2073</v>
      </c>
    </row>
    <row r="479" spans="1:55" ht="15.75" customHeight="1">
      <c r="A479" s="6">
        <v>2000</v>
      </c>
      <c r="B479" s="63" t="s">
        <v>1358</v>
      </c>
      <c r="C479" s="211" t="s">
        <v>2412</v>
      </c>
      <c r="D479" s="13" t="e">
        <f>VLOOKUP($B479,#REF!,2,FALSE)</f>
        <v>#REF!</v>
      </c>
      <c r="E479" s="13" t="e">
        <f>VLOOKUP($B479,#REF!,10,FALSE)</f>
        <v>#REF!</v>
      </c>
      <c r="F479" s="211" t="s">
        <v>2413</v>
      </c>
      <c r="G479" s="13" t="s">
        <v>2414</v>
      </c>
      <c r="H479" s="13" t="s">
        <v>2077</v>
      </c>
      <c r="I479" s="13" t="s">
        <v>2077</v>
      </c>
      <c r="J479" s="13" t="s">
        <v>2077</v>
      </c>
      <c r="K479" s="13" t="s">
        <v>2077</v>
      </c>
      <c r="L479" s="13" t="s">
        <v>2077</v>
      </c>
      <c r="M479" s="13" t="s">
        <v>2077</v>
      </c>
      <c r="N479" s="211" t="s">
        <v>2415</v>
      </c>
      <c r="O479" s="13" t="s">
        <v>2416</v>
      </c>
      <c r="P479" s="69" t="e">
        <f>VLOOKUP($B479,#REF!,2,FALSE)</f>
        <v>#REF!</v>
      </c>
      <c r="Q479" s="13" t="e">
        <f t="shared" si="398"/>
        <v>#REF!</v>
      </c>
      <c r="R479" s="215" t="e">
        <f>VLOOKUP($B479,#REF!,6,FALSE)</f>
        <v>#REF!</v>
      </c>
      <c r="S479" s="215" t="e">
        <f>VLOOKUP($B479,#REF!,7,FALSE)</f>
        <v>#REF!</v>
      </c>
      <c r="T479" s="13">
        <v>85</v>
      </c>
      <c r="U479" s="167" t="e">
        <f>VLOOKUP($B479,#REF!,9,FALSE)</f>
        <v>#REF!</v>
      </c>
      <c r="V479" s="13">
        <v>1</v>
      </c>
      <c r="W479" s="13" t="s">
        <v>2417</v>
      </c>
      <c r="X479" s="13" t="s">
        <v>1924</v>
      </c>
      <c r="Y479" s="13" t="s">
        <v>2073</v>
      </c>
      <c r="Z479" s="13" t="s">
        <v>2073</v>
      </c>
      <c r="AA479" s="13" t="s">
        <v>2073</v>
      </c>
      <c r="AB479" s="13" t="s">
        <v>1924</v>
      </c>
      <c r="AC479" s="211" t="s">
        <v>2415</v>
      </c>
      <c r="AD479" s="13" t="s">
        <v>2416</v>
      </c>
      <c r="AE479" s="69" t="e">
        <f>VLOOKUP($B479,#REF!,4,FALSE)</f>
        <v>#REF!</v>
      </c>
      <c r="AF479" s="13" t="s">
        <v>2418</v>
      </c>
      <c r="AG479" s="13" t="s">
        <v>2419</v>
      </c>
      <c r="AH479" s="13" t="s">
        <v>2420</v>
      </c>
      <c r="AI479" s="13" t="s">
        <v>2421</v>
      </c>
      <c r="AJ479" s="13" t="s">
        <v>2422</v>
      </c>
      <c r="AK479" s="13" t="s">
        <v>2416</v>
      </c>
      <c r="AL479" s="13" t="s">
        <v>2077</v>
      </c>
      <c r="AM479" s="13" t="s">
        <v>2077</v>
      </c>
      <c r="AN479" s="13" t="s">
        <v>2077</v>
      </c>
      <c r="AO479" s="13" t="s">
        <v>2077</v>
      </c>
      <c r="AP479" s="13" t="s">
        <v>2077</v>
      </c>
      <c r="AQ479" s="13" t="s">
        <v>2077</v>
      </c>
      <c r="AR479" s="13" t="s">
        <v>2418</v>
      </c>
      <c r="AS479" s="13" t="s">
        <v>2419</v>
      </c>
      <c r="AT479" s="13" t="s">
        <v>2420</v>
      </c>
      <c r="AU479" s="13" t="s">
        <v>2421</v>
      </c>
      <c r="AV479" s="13" t="s">
        <v>2422</v>
      </c>
      <c r="AW479" s="13" t="s">
        <v>2416</v>
      </c>
      <c r="AX479" s="13" t="s">
        <v>2073</v>
      </c>
      <c r="AY479" s="13" t="s">
        <v>2073</v>
      </c>
      <c r="AZ479" s="13" t="s">
        <v>2073</v>
      </c>
      <c r="BA479" s="13" t="s">
        <v>2073</v>
      </c>
      <c r="BB479" s="13" t="s">
        <v>2073</v>
      </c>
      <c r="BC479" s="13" t="s">
        <v>2073</v>
      </c>
    </row>
    <row r="480" spans="1:55" ht="15.75" customHeight="1">
      <c r="A480" s="6">
        <v>2000</v>
      </c>
      <c r="B480" s="63" t="s">
        <v>1364</v>
      </c>
      <c r="C480" s="211" t="s">
        <v>2412</v>
      </c>
      <c r="D480" s="13" t="e">
        <f>VLOOKUP($B480,#REF!,2,FALSE)</f>
        <v>#REF!</v>
      </c>
      <c r="E480" s="13" t="e">
        <f>VLOOKUP($B480,#REF!,10,FALSE)</f>
        <v>#REF!</v>
      </c>
      <c r="F480" s="211" t="s">
        <v>2413</v>
      </c>
      <c r="G480" s="13" t="s">
        <v>2414</v>
      </c>
      <c r="H480" s="13" t="s">
        <v>2077</v>
      </c>
      <c r="I480" s="13" t="s">
        <v>2077</v>
      </c>
      <c r="J480" s="13" t="s">
        <v>2077</v>
      </c>
      <c r="K480" s="13" t="s">
        <v>2077</v>
      </c>
      <c r="L480" s="13" t="s">
        <v>2077</v>
      </c>
      <c r="M480" s="13" t="s">
        <v>2077</v>
      </c>
      <c r="N480" s="211" t="s">
        <v>2415</v>
      </c>
      <c r="O480" s="13" t="s">
        <v>2416</v>
      </c>
      <c r="P480" s="69" t="e">
        <f>VLOOKUP($B480,#REF!,2,FALSE)</f>
        <v>#REF!</v>
      </c>
      <c r="Q480" s="13" t="e">
        <f t="shared" si="398"/>
        <v>#REF!</v>
      </c>
      <c r="R480" s="215" t="e">
        <f>VLOOKUP($B480,#REF!,6,FALSE)</f>
        <v>#REF!</v>
      </c>
      <c r="S480" s="215" t="e">
        <f>VLOOKUP($B480,#REF!,7,FALSE)</f>
        <v>#REF!</v>
      </c>
      <c r="T480" s="13">
        <v>85</v>
      </c>
      <c r="U480" s="167" t="e">
        <f>VLOOKUP($B480,#REF!,9,FALSE)</f>
        <v>#REF!</v>
      </c>
      <c r="V480" s="13">
        <v>1</v>
      </c>
      <c r="W480" s="13" t="s">
        <v>2417</v>
      </c>
      <c r="X480" s="13" t="s">
        <v>1924</v>
      </c>
      <c r="Y480" s="13" t="s">
        <v>2073</v>
      </c>
      <c r="Z480" s="13" t="s">
        <v>2073</v>
      </c>
      <c r="AA480" s="13" t="s">
        <v>2073</v>
      </c>
      <c r="AB480" s="13" t="s">
        <v>1924</v>
      </c>
      <c r="AC480" s="211" t="s">
        <v>2415</v>
      </c>
      <c r="AD480" s="13" t="s">
        <v>2416</v>
      </c>
      <c r="AE480" s="69" t="e">
        <f>VLOOKUP($B480,#REF!,4,FALSE)</f>
        <v>#REF!</v>
      </c>
      <c r="AF480" s="13" t="s">
        <v>2418</v>
      </c>
      <c r="AG480" s="13" t="s">
        <v>2419</v>
      </c>
      <c r="AH480" s="13" t="s">
        <v>2420</v>
      </c>
      <c r="AI480" s="13" t="s">
        <v>2421</v>
      </c>
      <c r="AJ480" s="13" t="s">
        <v>2422</v>
      </c>
      <c r="AK480" s="13" t="s">
        <v>2416</v>
      </c>
      <c r="AL480" s="13" t="s">
        <v>2077</v>
      </c>
      <c r="AM480" s="13" t="s">
        <v>2077</v>
      </c>
      <c r="AN480" s="13" t="s">
        <v>2077</v>
      </c>
      <c r="AO480" s="13" t="s">
        <v>2077</v>
      </c>
      <c r="AP480" s="13" t="s">
        <v>2077</v>
      </c>
      <c r="AQ480" s="13" t="s">
        <v>2077</v>
      </c>
      <c r="AR480" s="13" t="s">
        <v>2418</v>
      </c>
      <c r="AS480" s="13" t="s">
        <v>2419</v>
      </c>
      <c r="AT480" s="13" t="s">
        <v>2420</v>
      </c>
      <c r="AU480" s="13" t="s">
        <v>2421</v>
      </c>
      <c r="AV480" s="13" t="s">
        <v>2422</v>
      </c>
      <c r="AW480" s="13" t="s">
        <v>2416</v>
      </c>
      <c r="AX480" s="13" t="s">
        <v>2073</v>
      </c>
      <c r="AY480" s="13" t="s">
        <v>2073</v>
      </c>
      <c r="AZ480" s="13" t="s">
        <v>2073</v>
      </c>
      <c r="BA480" s="13" t="s">
        <v>2073</v>
      </c>
      <c r="BB480" s="13" t="s">
        <v>2073</v>
      </c>
      <c r="BC480" s="13" t="s">
        <v>2073</v>
      </c>
    </row>
    <row r="481" spans="1:55" ht="15.75" customHeight="1">
      <c r="A481" s="6">
        <v>2000</v>
      </c>
      <c r="B481" s="63" t="s">
        <v>1368</v>
      </c>
      <c r="C481" s="211" t="s">
        <v>2412</v>
      </c>
      <c r="D481" s="13" t="e">
        <f>VLOOKUP($B481,#REF!,2,FALSE)</f>
        <v>#REF!</v>
      </c>
      <c r="E481" s="13" t="e">
        <f>VLOOKUP($B481,#REF!,10,FALSE)</f>
        <v>#REF!</v>
      </c>
      <c r="F481" s="211" t="s">
        <v>2413</v>
      </c>
      <c r="G481" s="13" t="s">
        <v>2414</v>
      </c>
      <c r="H481" s="13" t="s">
        <v>2077</v>
      </c>
      <c r="I481" s="13" t="s">
        <v>2077</v>
      </c>
      <c r="J481" s="13" t="s">
        <v>2077</v>
      </c>
      <c r="K481" s="13" t="s">
        <v>2077</v>
      </c>
      <c r="L481" s="13" t="s">
        <v>2077</v>
      </c>
      <c r="M481" s="13" t="s">
        <v>2077</v>
      </c>
      <c r="N481" s="211" t="s">
        <v>2415</v>
      </c>
      <c r="O481" s="13" t="s">
        <v>2416</v>
      </c>
      <c r="P481" s="69" t="e">
        <f>VLOOKUP($B481,#REF!,2,FALSE)</f>
        <v>#REF!</v>
      </c>
      <c r="Q481" s="13" t="e">
        <f t="shared" si="398"/>
        <v>#REF!</v>
      </c>
      <c r="R481" s="215" t="e">
        <f>VLOOKUP($B481,#REF!,6,FALSE)</f>
        <v>#REF!</v>
      </c>
      <c r="S481" s="215" t="e">
        <f>VLOOKUP($B481,#REF!,7,FALSE)</f>
        <v>#REF!</v>
      </c>
      <c r="T481" s="13">
        <v>85</v>
      </c>
      <c r="U481" s="167" t="e">
        <f>VLOOKUP($B481,#REF!,9,FALSE)</f>
        <v>#REF!</v>
      </c>
      <c r="V481" s="13">
        <v>1</v>
      </c>
      <c r="W481" s="13" t="s">
        <v>2417</v>
      </c>
      <c r="X481" s="13" t="s">
        <v>1924</v>
      </c>
      <c r="Y481" s="13" t="s">
        <v>2073</v>
      </c>
      <c r="Z481" s="13" t="s">
        <v>2073</v>
      </c>
      <c r="AA481" s="13" t="s">
        <v>2073</v>
      </c>
      <c r="AB481" s="13" t="s">
        <v>1924</v>
      </c>
      <c r="AC481" s="211" t="s">
        <v>2415</v>
      </c>
      <c r="AD481" s="13" t="s">
        <v>2416</v>
      </c>
      <c r="AE481" s="69" t="e">
        <f>VLOOKUP($B481,#REF!,4,FALSE)</f>
        <v>#REF!</v>
      </c>
      <c r="AF481" s="13" t="s">
        <v>2418</v>
      </c>
      <c r="AG481" s="13" t="s">
        <v>2419</v>
      </c>
      <c r="AH481" s="13" t="s">
        <v>2420</v>
      </c>
      <c r="AI481" s="13" t="s">
        <v>2421</v>
      </c>
      <c r="AJ481" s="13" t="s">
        <v>2422</v>
      </c>
      <c r="AK481" s="13" t="s">
        <v>2416</v>
      </c>
      <c r="AL481" s="13" t="s">
        <v>2077</v>
      </c>
      <c r="AM481" s="13" t="s">
        <v>2077</v>
      </c>
      <c r="AN481" s="13" t="s">
        <v>2077</v>
      </c>
      <c r="AO481" s="13" t="s">
        <v>2077</v>
      </c>
      <c r="AP481" s="13" t="s">
        <v>2077</v>
      </c>
      <c r="AQ481" s="13" t="s">
        <v>2077</v>
      </c>
      <c r="AR481" s="13" t="s">
        <v>2418</v>
      </c>
      <c r="AS481" s="13" t="s">
        <v>2419</v>
      </c>
      <c r="AT481" s="13" t="s">
        <v>2420</v>
      </c>
      <c r="AU481" s="13" t="s">
        <v>2421</v>
      </c>
      <c r="AV481" s="13" t="s">
        <v>2422</v>
      </c>
      <c r="AW481" s="13" t="s">
        <v>2416</v>
      </c>
      <c r="AX481" s="13" t="s">
        <v>2073</v>
      </c>
      <c r="AY481" s="13" t="s">
        <v>2073</v>
      </c>
      <c r="AZ481" s="13" t="s">
        <v>2073</v>
      </c>
      <c r="BA481" s="13" t="s">
        <v>2073</v>
      </c>
      <c r="BB481" s="13" t="s">
        <v>2073</v>
      </c>
      <c r="BC481" s="13" t="s">
        <v>2073</v>
      </c>
    </row>
    <row r="482" spans="1:55" ht="15.75" customHeight="1">
      <c r="A482" s="6">
        <v>2000</v>
      </c>
      <c r="B482" s="63" t="s">
        <v>1372</v>
      </c>
      <c r="C482" s="211" t="s">
        <v>2412</v>
      </c>
      <c r="D482" s="13" t="e">
        <f>VLOOKUP($B482,#REF!,2,FALSE)</f>
        <v>#REF!</v>
      </c>
      <c r="E482" s="13" t="e">
        <f>VLOOKUP($B482,#REF!,10,FALSE)</f>
        <v>#REF!</v>
      </c>
      <c r="F482" s="211" t="s">
        <v>2413</v>
      </c>
      <c r="G482" s="13" t="s">
        <v>2414</v>
      </c>
      <c r="H482" s="13" t="s">
        <v>2077</v>
      </c>
      <c r="I482" s="13" t="s">
        <v>2077</v>
      </c>
      <c r="J482" s="13" t="s">
        <v>2077</v>
      </c>
      <c r="K482" s="13" t="s">
        <v>2077</v>
      </c>
      <c r="L482" s="13" t="s">
        <v>2077</v>
      </c>
      <c r="M482" s="13" t="s">
        <v>2077</v>
      </c>
      <c r="N482" s="211" t="s">
        <v>2415</v>
      </c>
      <c r="O482" s="13" t="s">
        <v>2416</v>
      </c>
      <c r="P482" s="69" t="e">
        <f>VLOOKUP($B482,#REF!,2,FALSE)</f>
        <v>#REF!</v>
      </c>
      <c r="Q482" s="13" t="e">
        <f t="shared" si="398"/>
        <v>#REF!</v>
      </c>
      <c r="R482" s="215" t="e">
        <f>VLOOKUP($B482,#REF!,6,FALSE)</f>
        <v>#REF!</v>
      </c>
      <c r="S482" s="215" t="e">
        <f>VLOOKUP($B482,#REF!,7,FALSE)</f>
        <v>#REF!</v>
      </c>
      <c r="T482" s="13">
        <v>85</v>
      </c>
      <c r="U482" s="167" t="e">
        <f>VLOOKUP($B482,#REF!,9,FALSE)</f>
        <v>#REF!</v>
      </c>
      <c r="V482" s="13">
        <v>1</v>
      </c>
      <c r="W482" s="13" t="s">
        <v>2417</v>
      </c>
      <c r="X482" s="13" t="s">
        <v>1924</v>
      </c>
      <c r="Y482" s="13" t="s">
        <v>2073</v>
      </c>
      <c r="Z482" s="13" t="s">
        <v>2073</v>
      </c>
      <c r="AA482" s="13" t="s">
        <v>2073</v>
      </c>
      <c r="AB482" s="13" t="s">
        <v>1924</v>
      </c>
      <c r="AC482" s="211" t="s">
        <v>2415</v>
      </c>
      <c r="AD482" s="13" t="s">
        <v>2416</v>
      </c>
      <c r="AE482" s="69" t="e">
        <f>VLOOKUP($B482,#REF!,4,FALSE)</f>
        <v>#REF!</v>
      </c>
      <c r="AF482" s="13" t="s">
        <v>2418</v>
      </c>
      <c r="AG482" s="13" t="s">
        <v>2419</v>
      </c>
      <c r="AH482" s="13" t="s">
        <v>2420</v>
      </c>
      <c r="AI482" s="13" t="s">
        <v>2421</v>
      </c>
      <c r="AJ482" s="13" t="s">
        <v>2422</v>
      </c>
      <c r="AK482" s="13" t="s">
        <v>2416</v>
      </c>
      <c r="AL482" s="13" t="s">
        <v>2077</v>
      </c>
      <c r="AM482" s="13" t="s">
        <v>2077</v>
      </c>
      <c r="AN482" s="13" t="s">
        <v>2077</v>
      </c>
      <c r="AO482" s="13" t="s">
        <v>2077</v>
      </c>
      <c r="AP482" s="13" t="s">
        <v>2077</v>
      </c>
      <c r="AQ482" s="13" t="s">
        <v>2077</v>
      </c>
      <c r="AR482" s="13" t="s">
        <v>2418</v>
      </c>
      <c r="AS482" s="13" t="s">
        <v>2419</v>
      </c>
      <c r="AT482" s="13" t="s">
        <v>2420</v>
      </c>
      <c r="AU482" s="13" t="s">
        <v>2421</v>
      </c>
      <c r="AV482" s="13" t="s">
        <v>2422</v>
      </c>
      <c r="AW482" s="13" t="s">
        <v>2416</v>
      </c>
      <c r="AX482" s="13" t="s">
        <v>2073</v>
      </c>
      <c r="AY482" s="13" t="s">
        <v>2073</v>
      </c>
      <c r="AZ482" s="13" t="s">
        <v>2073</v>
      </c>
      <c r="BA482" s="13" t="s">
        <v>2073</v>
      </c>
      <c r="BB482" s="13" t="s">
        <v>2073</v>
      </c>
      <c r="BC482" s="13" t="s">
        <v>2073</v>
      </c>
    </row>
    <row r="483" spans="1:55" ht="15.75" customHeight="1">
      <c r="A483" s="6">
        <v>2000</v>
      </c>
      <c r="B483" s="63" t="s">
        <v>1376</v>
      </c>
      <c r="C483" s="211" t="s">
        <v>2412</v>
      </c>
      <c r="D483" s="13" t="e">
        <f>VLOOKUP($B483,#REF!,2,FALSE)</f>
        <v>#REF!</v>
      </c>
      <c r="E483" s="13" t="e">
        <f>VLOOKUP($B483,#REF!,10,FALSE)</f>
        <v>#REF!</v>
      </c>
      <c r="F483" s="211" t="s">
        <v>2413</v>
      </c>
      <c r="G483" s="13" t="s">
        <v>2414</v>
      </c>
      <c r="H483" s="13" t="s">
        <v>2077</v>
      </c>
      <c r="I483" s="13" t="s">
        <v>2077</v>
      </c>
      <c r="J483" s="13" t="s">
        <v>2077</v>
      </c>
      <c r="K483" s="13" t="s">
        <v>2077</v>
      </c>
      <c r="L483" s="13" t="s">
        <v>2077</v>
      </c>
      <c r="M483" s="13" t="s">
        <v>2077</v>
      </c>
      <c r="N483" s="211" t="s">
        <v>2415</v>
      </c>
      <c r="O483" s="13" t="s">
        <v>2416</v>
      </c>
      <c r="P483" s="69" t="e">
        <f>VLOOKUP($B483,#REF!,2,FALSE)</f>
        <v>#REF!</v>
      </c>
      <c r="Q483" s="13" t="e">
        <f t="shared" si="398"/>
        <v>#REF!</v>
      </c>
      <c r="R483" s="215" t="e">
        <f>VLOOKUP($B483,#REF!,6,FALSE)</f>
        <v>#REF!</v>
      </c>
      <c r="S483" s="215" t="e">
        <f>VLOOKUP($B483,#REF!,7,FALSE)</f>
        <v>#REF!</v>
      </c>
      <c r="T483" s="13">
        <v>85</v>
      </c>
      <c r="U483" s="167" t="e">
        <f>VLOOKUP($B483,#REF!,9,FALSE)</f>
        <v>#REF!</v>
      </c>
      <c r="V483" s="13">
        <v>1</v>
      </c>
      <c r="W483" s="13" t="s">
        <v>2417</v>
      </c>
      <c r="X483" s="13" t="s">
        <v>1924</v>
      </c>
      <c r="Y483" s="13" t="s">
        <v>2073</v>
      </c>
      <c r="Z483" s="13" t="s">
        <v>2073</v>
      </c>
      <c r="AA483" s="13" t="s">
        <v>2073</v>
      </c>
      <c r="AB483" s="13" t="s">
        <v>1924</v>
      </c>
      <c r="AC483" s="211" t="s">
        <v>2415</v>
      </c>
      <c r="AD483" s="13" t="s">
        <v>2416</v>
      </c>
      <c r="AE483" s="69" t="e">
        <f>VLOOKUP($B483,#REF!,4,FALSE)</f>
        <v>#REF!</v>
      </c>
      <c r="AF483" s="13" t="s">
        <v>2418</v>
      </c>
      <c r="AG483" s="13" t="s">
        <v>2419</v>
      </c>
      <c r="AH483" s="13" t="s">
        <v>2420</v>
      </c>
      <c r="AI483" s="13" t="s">
        <v>2421</v>
      </c>
      <c r="AJ483" s="13" t="s">
        <v>2422</v>
      </c>
      <c r="AK483" s="13" t="s">
        <v>2416</v>
      </c>
      <c r="AL483" s="13" t="s">
        <v>2077</v>
      </c>
      <c r="AM483" s="13" t="s">
        <v>2077</v>
      </c>
      <c r="AN483" s="13" t="s">
        <v>2077</v>
      </c>
      <c r="AO483" s="13" t="s">
        <v>2077</v>
      </c>
      <c r="AP483" s="13" t="s">
        <v>2077</v>
      </c>
      <c r="AQ483" s="13" t="s">
        <v>2077</v>
      </c>
      <c r="AR483" s="13" t="s">
        <v>2418</v>
      </c>
      <c r="AS483" s="13" t="s">
        <v>2419</v>
      </c>
      <c r="AT483" s="13" t="s">
        <v>2420</v>
      </c>
      <c r="AU483" s="13" t="s">
        <v>2421</v>
      </c>
      <c r="AV483" s="13" t="s">
        <v>2422</v>
      </c>
      <c r="AW483" s="13" t="s">
        <v>2416</v>
      </c>
      <c r="AX483" s="13" t="s">
        <v>2073</v>
      </c>
      <c r="AY483" s="13" t="s">
        <v>2073</v>
      </c>
      <c r="AZ483" s="13" t="s">
        <v>2073</v>
      </c>
      <c r="BA483" s="13" t="s">
        <v>2073</v>
      </c>
      <c r="BB483" s="13" t="s">
        <v>2073</v>
      </c>
      <c r="BC483" s="13" t="s">
        <v>2073</v>
      </c>
    </row>
    <row r="484" spans="1:55" ht="15.75" customHeight="1">
      <c r="A484" s="6">
        <v>2000</v>
      </c>
      <c r="B484" s="63" t="s">
        <v>1380</v>
      </c>
      <c r="C484" s="211" t="s">
        <v>2412</v>
      </c>
      <c r="D484" s="13" t="e">
        <f>VLOOKUP($B484,#REF!,2,FALSE)</f>
        <v>#REF!</v>
      </c>
      <c r="E484" s="13" t="e">
        <f>VLOOKUP($B484,#REF!,10,FALSE)</f>
        <v>#REF!</v>
      </c>
      <c r="F484" s="211" t="s">
        <v>2413</v>
      </c>
      <c r="G484" s="13" t="s">
        <v>2414</v>
      </c>
      <c r="H484" s="13" t="s">
        <v>2077</v>
      </c>
      <c r="I484" s="13" t="s">
        <v>2077</v>
      </c>
      <c r="J484" s="13" t="s">
        <v>2077</v>
      </c>
      <c r="K484" s="13" t="s">
        <v>2077</v>
      </c>
      <c r="L484" s="13" t="s">
        <v>2077</v>
      </c>
      <c r="M484" s="13" t="s">
        <v>2077</v>
      </c>
      <c r="N484" s="211" t="s">
        <v>2415</v>
      </c>
      <c r="O484" s="13" t="s">
        <v>2416</v>
      </c>
      <c r="P484" s="69" t="e">
        <f>VLOOKUP($B484,#REF!,2,FALSE)</f>
        <v>#REF!</v>
      </c>
      <c r="Q484" s="13" t="e">
        <f t="shared" si="398"/>
        <v>#REF!</v>
      </c>
      <c r="R484" s="215" t="e">
        <f>VLOOKUP($B484,#REF!,6,FALSE)</f>
        <v>#REF!</v>
      </c>
      <c r="S484" s="215" t="e">
        <f>VLOOKUP($B484,#REF!,7,FALSE)</f>
        <v>#REF!</v>
      </c>
      <c r="T484" s="13">
        <v>85</v>
      </c>
      <c r="U484" s="167" t="e">
        <f>VLOOKUP($B484,#REF!,9,FALSE)</f>
        <v>#REF!</v>
      </c>
      <c r="V484" s="13">
        <v>1</v>
      </c>
      <c r="W484" s="13" t="s">
        <v>2417</v>
      </c>
      <c r="X484" s="13" t="s">
        <v>1924</v>
      </c>
      <c r="Y484" s="13" t="s">
        <v>2073</v>
      </c>
      <c r="Z484" s="13" t="s">
        <v>2073</v>
      </c>
      <c r="AA484" s="13" t="s">
        <v>2073</v>
      </c>
      <c r="AB484" s="13" t="s">
        <v>1924</v>
      </c>
      <c r="AC484" s="211" t="s">
        <v>2415</v>
      </c>
      <c r="AD484" s="13" t="s">
        <v>2416</v>
      </c>
      <c r="AE484" s="69" t="e">
        <f>VLOOKUP($B484,#REF!,4,FALSE)</f>
        <v>#REF!</v>
      </c>
      <c r="AF484" s="13" t="s">
        <v>2418</v>
      </c>
      <c r="AG484" s="13" t="s">
        <v>2419</v>
      </c>
      <c r="AH484" s="13" t="s">
        <v>2420</v>
      </c>
      <c r="AI484" s="13" t="s">
        <v>2421</v>
      </c>
      <c r="AJ484" s="13" t="s">
        <v>2422</v>
      </c>
      <c r="AK484" s="13" t="s">
        <v>2416</v>
      </c>
      <c r="AL484" s="13" t="s">
        <v>2077</v>
      </c>
      <c r="AM484" s="13" t="s">
        <v>2077</v>
      </c>
      <c r="AN484" s="13" t="s">
        <v>2077</v>
      </c>
      <c r="AO484" s="13" t="s">
        <v>2077</v>
      </c>
      <c r="AP484" s="13" t="s">
        <v>2077</v>
      </c>
      <c r="AQ484" s="13" t="s">
        <v>2077</v>
      </c>
      <c r="AR484" s="13" t="s">
        <v>2418</v>
      </c>
      <c r="AS484" s="13" t="s">
        <v>2419</v>
      </c>
      <c r="AT484" s="13" t="s">
        <v>2420</v>
      </c>
      <c r="AU484" s="13" t="s">
        <v>2421</v>
      </c>
      <c r="AV484" s="13" t="s">
        <v>2422</v>
      </c>
      <c r="AW484" s="13" t="s">
        <v>2416</v>
      </c>
      <c r="AX484" s="13" t="s">
        <v>2073</v>
      </c>
      <c r="AY484" s="13" t="s">
        <v>2073</v>
      </c>
      <c r="AZ484" s="13" t="s">
        <v>2073</v>
      </c>
      <c r="BA484" s="13" t="s">
        <v>2073</v>
      </c>
      <c r="BB484" s="13" t="s">
        <v>2073</v>
      </c>
      <c r="BC484" s="13" t="s">
        <v>2073</v>
      </c>
    </row>
    <row r="485" spans="1:55" ht="15.75" customHeight="1">
      <c r="A485" s="6">
        <v>2000</v>
      </c>
      <c r="B485" s="63" t="s">
        <v>1384</v>
      </c>
      <c r="C485" s="211" t="s">
        <v>2412</v>
      </c>
      <c r="D485" s="13" t="e">
        <f>VLOOKUP($B485,#REF!,2,FALSE)</f>
        <v>#REF!</v>
      </c>
      <c r="E485" s="13" t="e">
        <f>VLOOKUP($B485,#REF!,10,FALSE)</f>
        <v>#REF!</v>
      </c>
      <c r="F485" s="211" t="s">
        <v>2413</v>
      </c>
      <c r="G485" s="13" t="s">
        <v>2414</v>
      </c>
      <c r="H485" s="13" t="s">
        <v>2077</v>
      </c>
      <c r="I485" s="13" t="s">
        <v>2077</v>
      </c>
      <c r="J485" s="13" t="s">
        <v>2077</v>
      </c>
      <c r="K485" s="13" t="s">
        <v>2077</v>
      </c>
      <c r="L485" s="13" t="s">
        <v>2077</v>
      </c>
      <c r="M485" s="13" t="s">
        <v>2077</v>
      </c>
      <c r="N485" s="211" t="s">
        <v>2415</v>
      </c>
      <c r="O485" s="13" t="s">
        <v>2416</v>
      </c>
      <c r="P485" s="69" t="e">
        <f>VLOOKUP($B485,#REF!,2,FALSE)</f>
        <v>#REF!</v>
      </c>
      <c r="Q485" s="13" t="e">
        <f t="shared" si="398"/>
        <v>#REF!</v>
      </c>
      <c r="R485" s="215" t="e">
        <f>VLOOKUP($B485,#REF!,6,FALSE)</f>
        <v>#REF!</v>
      </c>
      <c r="S485" s="215" t="e">
        <f>VLOOKUP($B485,#REF!,7,FALSE)</f>
        <v>#REF!</v>
      </c>
      <c r="T485" s="13">
        <v>85</v>
      </c>
      <c r="U485" s="167" t="e">
        <f>VLOOKUP($B485,#REF!,9,FALSE)</f>
        <v>#REF!</v>
      </c>
      <c r="V485" s="13">
        <v>1</v>
      </c>
      <c r="W485" s="13" t="s">
        <v>2417</v>
      </c>
      <c r="X485" s="13" t="s">
        <v>1924</v>
      </c>
      <c r="Y485" s="13" t="s">
        <v>2073</v>
      </c>
      <c r="Z485" s="13" t="s">
        <v>2073</v>
      </c>
      <c r="AA485" s="13" t="s">
        <v>2073</v>
      </c>
      <c r="AB485" s="13" t="s">
        <v>1924</v>
      </c>
      <c r="AC485" s="211" t="s">
        <v>2415</v>
      </c>
      <c r="AD485" s="13" t="s">
        <v>2416</v>
      </c>
      <c r="AE485" s="69" t="e">
        <f>VLOOKUP($B485,#REF!,4,FALSE)</f>
        <v>#REF!</v>
      </c>
      <c r="AF485" s="13" t="s">
        <v>2418</v>
      </c>
      <c r="AG485" s="13" t="s">
        <v>2419</v>
      </c>
      <c r="AH485" s="13" t="s">
        <v>2420</v>
      </c>
      <c r="AI485" s="13" t="s">
        <v>2421</v>
      </c>
      <c r="AJ485" s="13" t="s">
        <v>2422</v>
      </c>
      <c r="AK485" s="13" t="s">
        <v>2416</v>
      </c>
      <c r="AL485" s="13" t="s">
        <v>2077</v>
      </c>
      <c r="AM485" s="13" t="s">
        <v>2077</v>
      </c>
      <c r="AN485" s="13" t="s">
        <v>2077</v>
      </c>
      <c r="AO485" s="13" t="s">
        <v>2077</v>
      </c>
      <c r="AP485" s="13" t="s">
        <v>2077</v>
      </c>
      <c r="AQ485" s="13" t="s">
        <v>2077</v>
      </c>
      <c r="AR485" s="13" t="s">
        <v>2418</v>
      </c>
      <c r="AS485" s="13" t="s">
        <v>2419</v>
      </c>
      <c r="AT485" s="13" t="s">
        <v>2420</v>
      </c>
      <c r="AU485" s="13" t="s">
        <v>2421</v>
      </c>
      <c r="AV485" s="13" t="s">
        <v>2422</v>
      </c>
      <c r="AW485" s="13" t="s">
        <v>2416</v>
      </c>
      <c r="AX485" s="13" t="s">
        <v>2073</v>
      </c>
      <c r="AY485" s="13" t="s">
        <v>2073</v>
      </c>
      <c r="AZ485" s="13" t="s">
        <v>2073</v>
      </c>
      <c r="BA485" s="13" t="s">
        <v>2073</v>
      </c>
      <c r="BB485" s="13" t="s">
        <v>2073</v>
      </c>
      <c r="BC485" s="13" t="s">
        <v>2073</v>
      </c>
    </row>
    <row r="486" spans="1:55" ht="15.75" customHeight="1">
      <c r="A486" s="6">
        <v>2000</v>
      </c>
      <c r="B486" s="63" t="s">
        <v>1388</v>
      </c>
      <c r="C486" s="211" t="s">
        <v>2412</v>
      </c>
      <c r="D486" s="13" t="e">
        <f>VLOOKUP($B486,#REF!,2,FALSE)</f>
        <v>#REF!</v>
      </c>
      <c r="E486" s="13" t="e">
        <f>VLOOKUP($B486,#REF!,10,FALSE)</f>
        <v>#REF!</v>
      </c>
      <c r="F486" s="211" t="s">
        <v>2413</v>
      </c>
      <c r="G486" s="13" t="s">
        <v>2414</v>
      </c>
      <c r="H486" s="13" t="s">
        <v>2077</v>
      </c>
      <c r="I486" s="13" t="s">
        <v>2077</v>
      </c>
      <c r="J486" s="13" t="s">
        <v>2077</v>
      </c>
      <c r="K486" s="13" t="s">
        <v>2077</v>
      </c>
      <c r="L486" s="13" t="s">
        <v>2077</v>
      </c>
      <c r="M486" s="13" t="s">
        <v>2077</v>
      </c>
      <c r="N486" s="211" t="s">
        <v>2415</v>
      </c>
      <c r="O486" s="13" t="s">
        <v>2416</v>
      </c>
      <c r="P486" s="69" t="e">
        <f>VLOOKUP($B486,#REF!,2,FALSE)</f>
        <v>#REF!</v>
      </c>
      <c r="Q486" s="13" t="e">
        <f t="shared" si="398"/>
        <v>#REF!</v>
      </c>
      <c r="R486" s="215" t="e">
        <f>VLOOKUP($B486,#REF!,6,FALSE)</f>
        <v>#REF!</v>
      </c>
      <c r="S486" s="215" t="e">
        <f>VLOOKUP($B486,#REF!,7,FALSE)</f>
        <v>#REF!</v>
      </c>
      <c r="T486" s="13">
        <v>85</v>
      </c>
      <c r="U486" s="167" t="e">
        <f>VLOOKUP($B486,#REF!,9,FALSE)</f>
        <v>#REF!</v>
      </c>
      <c r="V486" s="13">
        <v>1</v>
      </c>
      <c r="W486" s="13" t="s">
        <v>2417</v>
      </c>
      <c r="X486" s="13" t="s">
        <v>1924</v>
      </c>
      <c r="Y486" s="13" t="s">
        <v>2073</v>
      </c>
      <c r="Z486" s="13" t="s">
        <v>2073</v>
      </c>
      <c r="AA486" s="13" t="s">
        <v>2073</v>
      </c>
      <c r="AB486" s="13" t="s">
        <v>1924</v>
      </c>
      <c r="AC486" s="211" t="s">
        <v>2415</v>
      </c>
      <c r="AD486" s="13" t="s">
        <v>2416</v>
      </c>
      <c r="AE486" s="69" t="e">
        <f>VLOOKUP($B486,#REF!,4,FALSE)</f>
        <v>#REF!</v>
      </c>
      <c r="AF486" s="13" t="s">
        <v>2418</v>
      </c>
      <c r="AG486" s="13" t="s">
        <v>2419</v>
      </c>
      <c r="AH486" s="13" t="s">
        <v>2420</v>
      </c>
      <c r="AI486" s="13" t="s">
        <v>2421</v>
      </c>
      <c r="AJ486" s="13" t="s">
        <v>2422</v>
      </c>
      <c r="AK486" s="13" t="s">
        <v>2416</v>
      </c>
      <c r="AL486" s="13" t="s">
        <v>2077</v>
      </c>
      <c r="AM486" s="13" t="s">
        <v>2077</v>
      </c>
      <c r="AN486" s="13" t="s">
        <v>2077</v>
      </c>
      <c r="AO486" s="13" t="s">
        <v>2077</v>
      </c>
      <c r="AP486" s="13" t="s">
        <v>2077</v>
      </c>
      <c r="AQ486" s="13" t="s">
        <v>2077</v>
      </c>
      <c r="AR486" s="13" t="s">
        <v>2418</v>
      </c>
      <c r="AS486" s="13" t="s">
        <v>2419</v>
      </c>
      <c r="AT486" s="13" t="s">
        <v>2420</v>
      </c>
      <c r="AU486" s="13" t="s">
        <v>2421</v>
      </c>
      <c r="AV486" s="13" t="s">
        <v>2422</v>
      </c>
      <c r="AW486" s="13" t="s">
        <v>2416</v>
      </c>
      <c r="AX486" s="13" t="s">
        <v>2073</v>
      </c>
      <c r="AY486" s="13" t="s">
        <v>2073</v>
      </c>
      <c r="AZ486" s="13" t="s">
        <v>2073</v>
      </c>
      <c r="BA486" s="13" t="s">
        <v>2073</v>
      </c>
      <c r="BB486" s="13" t="s">
        <v>2073</v>
      </c>
      <c r="BC486" s="13" t="s">
        <v>2073</v>
      </c>
    </row>
    <row r="487" spans="1:55" ht="15.75" customHeight="1">
      <c r="A487" s="6">
        <v>2000</v>
      </c>
      <c r="B487" s="63" t="s">
        <v>1392</v>
      </c>
      <c r="C487" s="211" t="s">
        <v>2412</v>
      </c>
      <c r="D487" s="13" t="e">
        <f>VLOOKUP($B487,#REF!,2,FALSE)</f>
        <v>#REF!</v>
      </c>
      <c r="E487" s="13" t="e">
        <f>VLOOKUP($B487,#REF!,10,FALSE)</f>
        <v>#REF!</v>
      </c>
      <c r="F487" s="211" t="s">
        <v>2413</v>
      </c>
      <c r="G487" s="13" t="s">
        <v>2414</v>
      </c>
      <c r="H487" s="13" t="s">
        <v>2077</v>
      </c>
      <c r="I487" s="13" t="s">
        <v>2077</v>
      </c>
      <c r="J487" s="13" t="s">
        <v>2077</v>
      </c>
      <c r="K487" s="13" t="s">
        <v>2077</v>
      </c>
      <c r="L487" s="13" t="s">
        <v>2077</v>
      </c>
      <c r="M487" s="13" t="s">
        <v>2077</v>
      </c>
      <c r="N487" s="211" t="s">
        <v>2415</v>
      </c>
      <c r="O487" s="13" t="s">
        <v>2416</v>
      </c>
      <c r="P487" s="69" t="e">
        <f>VLOOKUP($B487,#REF!,2,FALSE)</f>
        <v>#REF!</v>
      </c>
      <c r="Q487" s="13" t="e">
        <f t="shared" si="398"/>
        <v>#REF!</v>
      </c>
      <c r="R487" s="215" t="e">
        <f>VLOOKUP($B487,#REF!,6,FALSE)</f>
        <v>#REF!</v>
      </c>
      <c r="S487" s="215" t="e">
        <f>VLOOKUP($B487,#REF!,7,FALSE)</f>
        <v>#REF!</v>
      </c>
      <c r="T487" s="13">
        <v>85</v>
      </c>
      <c r="U487" s="167" t="e">
        <f>VLOOKUP($B487,#REF!,9,FALSE)</f>
        <v>#REF!</v>
      </c>
      <c r="V487" s="13">
        <v>1</v>
      </c>
      <c r="W487" s="13" t="s">
        <v>2417</v>
      </c>
      <c r="X487" s="13" t="s">
        <v>1924</v>
      </c>
      <c r="Y487" s="13" t="s">
        <v>2073</v>
      </c>
      <c r="Z487" s="13" t="s">
        <v>2073</v>
      </c>
      <c r="AA487" s="13" t="s">
        <v>2073</v>
      </c>
      <c r="AB487" s="13" t="s">
        <v>1924</v>
      </c>
      <c r="AC487" s="211" t="s">
        <v>2415</v>
      </c>
      <c r="AD487" s="13" t="s">
        <v>2416</v>
      </c>
      <c r="AE487" s="69" t="e">
        <f>VLOOKUP($B487,#REF!,4,FALSE)</f>
        <v>#REF!</v>
      </c>
      <c r="AF487" s="13" t="s">
        <v>2418</v>
      </c>
      <c r="AG487" s="13" t="s">
        <v>2419</v>
      </c>
      <c r="AH487" s="13" t="s">
        <v>2420</v>
      </c>
      <c r="AI487" s="13" t="s">
        <v>2421</v>
      </c>
      <c r="AJ487" s="13" t="s">
        <v>2422</v>
      </c>
      <c r="AK487" s="13" t="s">
        <v>2416</v>
      </c>
      <c r="AL487" s="13" t="s">
        <v>2077</v>
      </c>
      <c r="AM487" s="13" t="s">
        <v>2077</v>
      </c>
      <c r="AN487" s="13" t="s">
        <v>2077</v>
      </c>
      <c r="AO487" s="13" t="s">
        <v>2077</v>
      </c>
      <c r="AP487" s="13" t="s">
        <v>2077</v>
      </c>
      <c r="AQ487" s="13" t="s">
        <v>2077</v>
      </c>
      <c r="AR487" s="13" t="s">
        <v>2418</v>
      </c>
      <c r="AS487" s="13" t="s">
        <v>2419</v>
      </c>
      <c r="AT487" s="13" t="s">
        <v>2420</v>
      </c>
      <c r="AU487" s="13" t="s">
        <v>2421</v>
      </c>
      <c r="AV487" s="13" t="s">
        <v>2422</v>
      </c>
      <c r="AW487" s="13" t="s">
        <v>2416</v>
      </c>
      <c r="AX487" s="13" t="s">
        <v>2073</v>
      </c>
      <c r="AY487" s="13" t="s">
        <v>2073</v>
      </c>
      <c r="AZ487" s="13" t="s">
        <v>2073</v>
      </c>
      <c r="BA487" s="13" t="s">
        <v>2073</v>
      </c>
      <c r="BB487" s="13" t="s">
        <v>2073</v>
      </c>
      <c r="BC487" s="13" t="s">
        <v>2073</v>
      </c>
    </row>
    <row r="488" spans="1:55" ht="15.75" customHeight="1">
      <c r="A488" s="6">
        <v>2000</v>
      </c>
      <c r="B488" s="63" t="s">
        <v>1396</v>
      </c>
      <c r="C488" s="211" t="s">
        <v>2412</v>
      </c>
      <c r="D488" s="13" t="e">
        <f>VLOOKUP($B488,#REF!,2,FALSE)</f>
        <v>#REF!</v>
      </c>
      <c r="E488" s="13" t="e">
        <f>VLOOKUP($B488,#REF!,10,FALSE)</f>
        <v>#REF!</v>
      </c>
      <c r="F488" s="211" t="s">
        <v>2413</v>
      </c>
      <c r="G488" s="13" t="s">
        <v>2414</v>
      </c>
      <c r="H488" s="13" t="s">
        <v>2077</v>
      </c>
      <c r="I488" s="13" t="s">
        <v>2077</v>
      </c>
      <c r="J488" s="13" t="s">
        <v>2077</v>
      </c>
      <c r="K488" s="13" t="s">
        <v>2077</v>
      </c>
      <c r="L488" s="13" t="s">
        <v>2077</v>
      </c>
      <c r="M488" s="13" t="s">
        <v>2077</v>
      </c>
      <c r="N488" s="211" t="s">
        <v>2415</v>
      </c>
      <c r="O488" s="13" t="s">
        <v>2416</v>
      </c>
      <c r="P488" s="69" t="e">
        <f>VLOOKUP($B488,#REF!,2,FALSE)</f>
        <v>#REF!</v>
      </c>
      <c r="Q488" s="13" t="e">
        <f t="shared" si="398"/>
        <v>#REF!</v>
      </c>
      <c r="R488" s="215" t="e">
        <f>VLOOKUP($B488,#REF!,6,FALSE)</f>
        <v>#REF!</v>
      </c>
      <c r="S488" s="215" t="e">
        <f>VLOOKUP($B488,#REF!,7,FALSE)</f>
        <v>#REF!</v>
      </c>
      <c r="T488" s="13">
        <v>85</v>
      </c>
      <c r="U488" s="167" t="e">
        <f>VLOOKUP($B488,#REF!,9,FALSE)</f>
        <v>#REF!</v>
      </c>
      <c r="V488" s="13">
        <v>1</v>
      </c>
      <c r="W488" s="13" t="s">
        <v>2417</v>
      </c>
      <c r="X488" s="13" t="s">
        <v>1924</v>
      </c>
      <c r="Y488" s="13" t="s">
        <v>2073</v>
      </c>
      <c r="Z488" s="13" t="s">
        <v>2073</v>
      </c>
      <c r="AA488" s="13" t="s">
        <v>2073</v>
      </c>
      <c r="AB488" s="13" t="s">
        <v>1924</v>
      </c>
      <c r="AC488" s="211" t="s">
        <v>2415</v>
      </c>
      <c r="AD488" s="13" t="s">
        <v>2416</v>
      </c>
      <c r="AE488" s="69" t="e">
        <f>VLOOKUP($B488,#REF!,4,FALSE)</f>
        <v>#REF!</v>
      </c>
      <c r="AF488" s="13" t="s">
        <v>2418</v>
      </c>
      <c r="AG488" s="13" t="s">
        <v>2419</v>
      </c>
      <c r="AH488" s="13" t="s">
        <v>2420</v>
      </c>
      <c r="AI488" s="13" t="s">
        <v>2421</v>
      </c>
      <c r="AJ488" s="13" t="s">
        <v>2422</v>
      </c>
      <c r="AK488" s="13" t="s">
        <v>2416</v>
      </c>
      <c r="AL488" s="13" t="s">
        <v>2077</v>
      </c>
      <c r="AM488" s="13" t="s">
        <v>2077</v>
      </c>
      <c r="AN488" s="13" t="s">
        <v>2077</v>
      </c>
      <c r="AO488" s="13" t="s">
        <v>2077</v>
      </c>
      <c r="AP488" s="13" t="s">
        <v>2077</v>
      </c>
      <c r="AQ488" s="13" t="s">
        <v>2077</v>
      </c>
      <c r="AR488" s="13" t="s">
        <v>2418</v>
      </c>
      <c r="AS488" s="13" t="s">
        <v>2419</v>
      </c>
      <c r="AT488" s="13" t="s">
        <v>2420</v>
      </c>
      <c r="AU488" s="13" t="s">
        <v>2421</v>
      </c>
      <c r="AV488" s="13" t="s">
        <v>2422</v>
      </c>
      <c r="AW488" s="13" t="s">
        <v>2416</v>
      </c>
      <c r="AX488" s="13" t="s">
        <v>2073</v>
      </c>
      <c r="AY488" s="13" t="s">
        <v>2073</v>
      </c>
      <c r="AZ488" s="13" t="s">
        <v>2073</v>
      </c>
      <c r="BA488" s="13" t="s">
        <v>2073</v>
      </c>
      <c r="BB488" s="13" t="s">
        <v>2073</v>
      </c>
      <c r="BC488" s="13" t="s">
        <v>2073</v>
      </c>
    </row>
    <row r="489" spans="1:55" ht="15.75" customHeight="1">
      <c r="A489" s="6">
        <v>2000</v>
      </c>
      <c r="B489" s="63" t="s">
        <v>1400</v>
      </c>
      <c r="C489" s="211" t="s">
        <v>2412</v>
      </c>
      <c r="D489" s="13" t="e">
        <f>VLOOKUP($B489,#REF!,2,FALSE)</f>
        <v>#REF!</v>
      </c>
      <c r="E489" s="13" t="e">
        <f>VLOOKUP($B489,#REF!,10,FALSE)</f>
        <v>#REF!</v>
      </c>
      <c r="F489" s="211" t="s">
        <v>2413</v>
      </c>
      <c r="G489" s="13" t="s">
        <v>2414</v>
      </c>
      <c r="H489" s="13" t="s">
        <v>2077</v>
      </c>
      <c r="I489" s="13" t="s">
        <v>2077</v>
      </c>
      <c r="J489" s="13" t="s">
        <v>2077</v>
      </c>
      <c r="K489" s="13" t="s">
        <v>2077</v>
      </c>
      <c r="L489" s="13" t="s">
        <v>2077</v>
      </c>
      <c r="M489" s="13" t="s">
        <v>2077</v>
      </c>
      <c r="N489" s="211" t="s">
        <v>2415</v>
      </c>
      <c r="O489" s="13" t="s">
        <v>2416</v>
      </c>
      <c r="P489" s="69" t="e">
        <f>VLOOKUP($B489,#REF!,2,FALSE)</f>
        <v>#REF!</v>
      </c>
      <c r="Q489" s="13" t="e">
        <f t="shared" si="398"/>
        <v>#REF!</v>
      </c>
      <c r="R489" s="215" t="e">
        <f>VLOOKUP($B489,#REF!,6,FALSE)</f>
        <v>#REF!</v>
      </c>
      <c r="S489" s="215" t="e">
        <f>VLOOKUP($B489,#REF!,7,FALSE)</f>
        <v>#REF!</v>
      </c>
      <c r="T489" s="13">
        <v>85</v>
      </c>
      <c r="U489" s="167" t="e">
        <f>VLOOKUP($B489,#REF!,9,FALSE)</f>
        <v>#REF!</v>
      </c>
      <c r="V489" s="13">
        <v>1</v>
      </c>
      <c r="W489" s="13" t="s">
        <v>2417</v>
      </c>
      <c r="X489" s="13" t="s">
        <v>1924</v>
      </c>
      <c r="Y489" s="13" t="s">
        <v>2073</v>
      </c>
      <c r="Z489" s="13" t="s">
        <v>2073</v>
      </c>
      <c r="AA489" s="13" t="s">
        <v>2073</v>
      </c>
      <c r="AB489" s="13" t="s">
        <v>1924</v>
      </c>
      <c r="AC489" s="211" t="s">
        <v>2415</v>
      </c>
      <c r="AD489" s="13" t="s">
        <v>2416</v>
      </c>
      <c r="AE489" s="69" t="e">
        <f>VLOOKUP($B489,#REF!,4,FALSE)</f>
        <v>#REF!</v>
      </c>
      <c r="AF489" s="13" t="s">
        <v>2418</v>
      </c>
      <c r="AG489" s="13" t="s">
        <v>2419</v>
      </c>
      <c r="AH489" s="13" t="s">
        <v>2420</v>
      </c>
      <c r="AI489" s="13" t="s">
        <v>2421</v>
      </c>
      <c r="AJ489" s="13" t="s">
        <v>2422</v>
      </c>
      <c r="AK489" s="13" t="s">
        <v>2416</v>
      </c>
      <c r="AL489" s="13" t="s">
        <v>2077</v>
      </c>
      <c r="AM489" s="13" t="s">
        <v>2077</v>
      </c>
      <c r="AN489" s="13" t="s">
        <v>2077</v>
      </c>
      <c r="AO489" s="13" t="s">
        <v>2077</v>
      </c>
      <c r="AP489" s="13" t="s">
        <v>2077</v>
      </c>
      <c r="AQ489" s="13" t="s">
        <v>2077</v>
      </c>
      <c r="AR489" s="13" t="s">
        <v>2418</v>
      </c>
      <c r="AS489" s="13" t="s">
        <v>2419</v>
      </c>
      <c r="AT489" s="13" t="s">
        <v>2420</v>
      </c>
      <c r="AU489" s="13" t="s">
        <v>2421</v>
      </c>
      <c r="AV489" s="13" t="s">
        <v>2422</v>
      </c>
      <c r="AW489" s="13" t="s">
        <v>2416</v>
      </c>
      <c r="AX489" s="13" t="s">
        <v>2073</v>
      </c>
      <c r="AY489" s="13" t="s">
        <v>2073</v>
      </c>
      <c r="AZ489" s="13" t="s">
        <v>2073</v>
      </c>
      <c r="BA489" s="13" t="s">
        <v>2073</v>
      </c>
      <c r="BB489" s="13" t="s">
        <v>2073</v>
      </c>
      <c r="BC489" s="13" t="s">
        <v>2073</v>
      </c>
    </row>
    <row r="490" spans="1:55" ht="15.75" customHeight="1">
      <c r="A490" s="6">
        <v>2000</v>
      </c>
      <c r="B490" s="63" t="s">
        <v>1404</v>
      </c>
      <c r="C490" s="211" t="s">
        <v>2412</v>
      </c>
      <c r="D490" s="13" t="e">
        <f>VLOOKUP($B490,#REF!,2,FALSE)</f>
        <v>#REF!</v>
      </c>
      <c r="E490" s="13" t="e">
        <f>VLOOKUP($B490,#REF!,10,FALSE)</f>
        <v>#REF!</v>
      </c>
      <c r="F490" s="211" t="s">
        <v>2413</v>
      </c>
      <c r="G490" s="13" t="s">
        <v>2414</v>
      </c>
      <c r="H490" s="13" t="s">
        <v>2077</v>
      </c>
      <c r="I490" s="13" t="s">
        <v>2077</v>
      </c>
      <c r="J490" s="13" t="s">
        <v>2077</v>
      </c>
      <c r="K490" s="13" t="s">
        <v>2077</v>
      </c>
      <c r="L490" s="13" t="s">
        <v>2077</v>
      </c>
      <c r="M490" s="13" t="s">
        <v>2077</v>
      </c>
      <c r="N490" s="211" t="s">
        <v>2415</v>
      </c>
      <c r="O490" s="13" t="s">
        <v>2416</v>
      </c>
      <c r="P490" s="69" t="e">
        <f>VLOOKUP($B490,#REF!,2,FALSE)</f>
        <v>#REF!</v>
      </c>
      <c r="Q490" s="13" t="e">
        <f t="shared" si="398"/>
        <v>#REF!</v>
      </c>
      <c r="R490" s="215" t="e">
        <f>VLOOKUP($B490,#REF!,6,FALSE)</f>
        <v>#REF!</v>
      </c>
      <c r="S490" s="215" t="e">
        <f>VLOOKUP($B490,#REF!,7,FALSE)</f>
        <v>#REF!</v>
      </c>
      <c r="T490" s="13">
        <v>85</v>
      </c>
      <c r="U490" s="167" t="e">
        <f>VLOOKUP($B490,#REF!,9,FALSE)</f>
        <v>#REF!</v>
      </c>
      <c r="V490" s="13">
        <v>1</v>
      </c>
      <c r="W490" s="13" t="s">
        <v>2417</v>
      </c>
      <c r="X490" s="13" t="s">
        <v>1924</v>
      </c>
      <c r="Y490" s="13" t="s">
        <v>2073</v>
      </c>
      <c r="Z490" s="13" t="s">
        <v>2073</v>
      </c>
      <c r="AA490" s="13" t="s">
        <v>2073</v>
      </c>
      <c r="AB490" s="13" t="s">
        <v>1924</v>
      </c>
      <c r="AC490" s="211" t="s">
        <v>2415</v>
      </c>
      <c r="AD490" s="13" t="s">
        <v>2416</v>
      </c>
      <c r="AE490" s="69" t="e">
        <f>VLOOKUP($B490,#REF!,4,FALSE)</f>
        <v>#REF!</v>
      </c>
      <c r="AF490" s="13" t="s">
        <v>2418</v>
      </c>
      <c r="AG490" s="13" t="s">
        <v>2419</v>
      </c>
      <c r="AH490" s="13" t="s">
        <v>2420</v>
      </c>
      <c r="AI490" s="13" t="s">
        <v>2421</v>
      </c>
      <c r="AJ490" s="13" t="s">
        <v>2422</v>
      </c>
      <c r="AK490" s="13" t="s">
        <v>2416</v>
      </c>
      <c r="AL490" s="13" t="s">
        <v>2077</v>
      </c>
      <c r="AM490" s="13" t="s">
        <v>2077</v>
      </c>
      <c r="AN490" s="13" t="s">
        <v>2077</v>
      </c>
      <c r="AO490" s="13" t="s">
        <v>2077</v>
      </c>
      <c r="AP490" s="13" t="s">
        <v>2077</v>
      </c>
      <c r="AQ490" s="13" t="s">
        <v>2077</v>
      </c>
      <c r="AR490" s="13" t="s">
        <v>2418</v>
      </c>
      <c r="AS490" s="13" t="s">
        <v>2419</v>
      </c>
      <c r="AT490" s="13" t="s">
        <v>2420</v>
      </c>
      <c r="AU490" s="13" t="s">
        <v>2421</v>
      </c>
      <c r="AV490" s="13" t="s">
        <v>2422</v>
      </c>
      <c r="AW490" s="13" t="s">
        <v>2416</v>
      </c>
      <c r="AX490" s="13" t="s">
        <v>2073</v>
      </c>
      <c r="AY490" s="13" t="s">
        <v>2073</v>
      </c>
      <c r="AZ490" s="13" t="s">
        <v>2073</v>
      </c>
      <c r="BA490" s="13" t="s">
        <v>2073</v>
      </c>
      <c r="BB490" s="13" t="s">
        <v>2073</v>
      </c>
      <c r="BC490" s="13" t="s">
        <v>2073</v>
      </c>
    </row>
    <row r="491" spans="1:55" ht="15.75" customHeight="1">
      <c r="A491" s="6">
        <v>2000</v>
      </c>
      <c r="B491" s="63" t="s">
        <v>1408</v>
      </c>
      <c r="C491" s="211" t="s">
        <v>2412</v>
      </c>
      <c r="D491" s="13" t="e">
        <f>VLOOKUP($B491,#REF!,2,FALSE)</f>
        <v>#REF!</v>
      </c>
      <c r="E491" s="13" t="e">
        <f>VLOOKUP($B491,#REF!,10,FALSE)</f>
        <v>#REF!</v>
      </c>
      <c r="F491" s="211" t="s">
        <v>2413</v>
      </c>
      <c r="G491" s="13" t="s">
        <v>2414</v>
      </c>
      <c r="H491" s="13" t="s">
        <v>2077</v>
      </c>
      <c r="I491" s="13" t="s">
        <v>2077</v>
      </c>
      <c r="J491" s="13" t="s">
        <v>2077</v>
      </c>
      <c r="K491" s="13" t="s">
        <v>2077</v>
      </c>
      <c r="L491" s="13" t="s">
        <v>2077</v>
      </c>
      <c r="M491" s="13" t="s">
        <v>2077</v>
      </c>
      <c r="N491" s="211" t="s">
        <v>2415</v>
      </c>
      <c r="O491" s="13" t="s">
        <v>2416</v>
      </c>
      <c r="P491" s="69" t="e">
        <f>VLOOKUP($B491,#REF!,2,FALSE)</f>
        <v>#REF!</v>
      </c>
      <c r="Q491" s="13" t="e">
        <f t="shared" si="398"/>
        <v>#REF!</v>
      </c>
      <c r="R491" s="215" t="e">
        <f>VLOOKUP($B491,#REF!,6,FALSE)</f>
        <v>#REF!</v>
      </c>
      <c r="S491" s="215" t="e">
        <f>VLOOKUP($B491,#REF!,7,FALSE)</f>
        <v>#REF!</v>
      </c>
      <c r="T491" s="13">
        <v>85</v>
      </c>
      <c r="U491" s="167" t="e">
        <f>VLOOKUP($B491,#REF!,9,FALSE)</f>
        <v>#REF!</v>
      </c>
      <c r="V491" s="13">
        <v>1</v>
      </c>
      <c r="W491" s="13" t="s">
        <v>2417</v>
      </c>
      <c r="X491" s="13" t="s">
        <v>1924</v>
      </c>
      <c r="Y491" s="13" t="s">
        <v>2073</v>
      </c>
      <c r="Z491" s="13" t="s">
        <v>2073</v>
      </c>
      <c r="AA491" s="13" t="s">
        <v>2073</v>
      </c>
      <c r="AB491" s="13" t="s">
        <v>1924</v>
      </c>
      <c r="AC491" s="211" t="s">
        <v>2415</v>
      </c>
      <c r="AD491" s="13" t="s">
        <v>2416</v>
      </c>
      <c r="AE491" s="69" t="e">
        <f>VLOOKUP($B491,#REF!,4,FALSE)</f>
        <v>#REF!</v>
      </c>
      <c r="AF491" s="13" t="s">
        <v>2418</v>
      </c>
      <c r="AG491" s="13" t="s">
        <v>2419</v>
      </c>
      <c r="AH491" s="13" t="s">
        <v>2420</v>
      </c>
      <c r="AI491" s="13" t="s">
        <v>2421</v>
      </c>
      <c r="AJ491" s="13" t="s">
        <v>2422</v>
      </c>
      <c r="AK491" s="13" t="s">
        <v>2416</v>
      </c>
      <c r="AL491" s="13" t="s">
        <v>2077</v>
      </c>
      <c r="AM491" s="13" t="s">
        <v>2077</v>
      </c>
      <c r="AN491" s="13" t="s">
        <v>2077</v>
      </c>
      <c r="AO491" s="13" t="s">
        <v>2077</v>
      </c>
      <c r="AP491" s="13" t="s">
        <v>2077</v>
      </c>
      <c r="AQ491" s="13" t="s">
        <v>2077</v>
      </c>
      <c r="AR491" s="13" t="s">
        <v>2418</v>
      </c>
      <c r="AS491" s="13" t="s">
        <v>2419</v>
      </c>
      <c r="AT491" s="13" t="s">
        <v>2420</v>
      </c>
      <c r="AU491" s="13" t="s">
        <v>2421</v>
      </c>
      <c r="AV491" s="13" t="s">
        <v>2422</v>
      </c>
      <c r="AW491" s="13" t="s">
        <v>2416</v>
      </c>
      <c r="AX491" s="13" t="s">
        <v>2073</v>
      </c>
      <c r="AY491" s="13" t="s">
        <v>2073</v>
      </c>
      <c r="AZ491" s="13" t="s">
        <v>2073</v>
      </c>
      <c r="BA491" s="13" t="s">
        <v>2073</v>
      </c>
      <c r="BB491" s="13" t="s">
        <v>2073</v>
      </c>
      <c r="BC491" s="13" t="s">
        <v>2073</v>
      </c>
    </row>
    <row r="492" spans="1:55" ht="15.75" customHeight="1">
      <c r="A492" s="6">
        <v>2000</v>
      </c>
      <c r="B492" s="63" t="s">
        <v>1412</v>
      </c>
      <c r="C492" s="211" t="s">
        <v>2412</v>
      </c>
      <c r="D492" s="13" t="e">
        <f>VLOOKUP($B492,#REF!,2,FALSE)</f>
        <v>#REF!</v>
      </c>
      <c r="E492" s="13" t="e">
        <f>VLOOKUP($B492,#REF!,10,FALSE)</f>
        <v>#REF!</v>
      </c>
      <c r="F492" s="211" t="s">
        <v>2413</v>
      </c>
      <c r="G492" s="13" t="s">
        <v>2414</v>
      </c>
      <c r="H492" s="13" t="s">
        <v>2077</v>
      </c>
      <c r="I492" s="13" t="s">
        <v>2077</v>
      </c>
      <c r="J492" s="13" t="s">
        <v>2077</v>
      </c>
      <c r="K492" s="13" t="s">
        <v>2077</v>
      </c>
      <c r="L492" s="13" t="s">
        <v>2077</v>
      </c>
      <c r="M492" s="13" t="s">
        <v>2077</v>
      </c>
      <c r="N492" s="211" t="s">
        <v>2415</v>
      </c>
      <c r="O492" s="13" t="s">
        <v>2416</v>
      </c>
      <c r="P492" s="69" t="e">
        <f>VLOOKUP($B492,#REF!,2,FALSE)</f>
        <v>#REF!</v>
      </c>
      <c r="Q492" s="13" t="e">
        <f t="shared" si="398"/>
        <v>#REF!</v>
      </c>
      <c r="R492" s="215" t="e">
        <f>VLOOKUP($B492,#REF!,6,FALSE)</f>
        <v>#REF!</v>
      </c>
      <c r="S492" s="215" t="e">
        <f>VLOOKUP($B492,#REF!,7,FALSE)</f>
        <v>#REF!</v>
      </c>
      <c r="T492" s="13">
        <v>85</v>
      </c>
      <c r="U492" s="167" t="e">
        <f>VLOOKUP($B492,#REF!,9,FALSE)</f>
        <v>#REF!</v>
      </c>
      <c r="V492" s="13">
        <v>1</v>
      </c>
      <c r="W492" s="13" t="s">
        <v>2417</v>
      </c>
      <c r="X492" s="13" t="s">
        <v>1924</v>
      </c>
      <c r="Y492" s="13" t="s">
        <v>2073</v>
      </c>
      <c r="Z492" s="13" t="s">
        <v>2073</v>
      </c>
      <c r="AA492" s="13" t="s">
        <v>2073</v>
      </c>
      <c r="AB492" s="13" t="s">
        <v>1924</v>
      </c>
      <c r="AC492" s="211" t="s">
        <v>2415</v>
      </c>
      <c r="AD492" s="13" t="s">
        <v>2416</v>
      </c>
      <c r="AE492" s="69" t="e">
        <f>VLOOKUP($B492,#REF!,4,FALSE)</f>
        <v>#REF!</v>
      </c>
      <c r="AF492" s="13" t="s">
        <v>2418</v>
      </c>
      <c r="AG492" s="13" t="s">
        <v>2419</v>
      </c>
      <c r="AH492" s="13" t="s">
        <v>2420</v>
      </c>
      <c r="AI492" s="13" t="s">
        <v>2421</v>
      </c>
      <c r="AJ492" s="13" t="s">
        <v>2422</v>
      </c>
      <c r="AK492" s="13" t="s">
        <v>2416</v>
      </c>
      <c r="AL492" s="13" t="s">
        <v>2077</v>
      </c>
      <c r="AM492" s="13" t="s">
        <v>2077</v>
      </c>
      <c r="AN492" s="13" t="s">
        <v>2077</v>
      </c>
      <c r="AO492" s="13" t="s">
        <v>2077</v>
      </c>
      <c r="AP492" s="13" t="s">
        <v>2077</v>
      </c>
      <c r="AQ492" s="13" t="s">
        <v>2077</v>
      </c>
      <c r="AR492" s="13" t="s">
        <v>2418</v>
      </c>
      <c r="AS492" s="13" t="s">
        <v>2419</v>
      </c>
      <c r="AT492" s="13" t="s">
        <v>2420</v>
      </c>
      <c r="AU492" s="13" t="s">
        <v>2421</v>
      </c>
      <c r="AV492" s="13" t="s">
        <v>2422</v>
      </c>
      <c r="AW492" s="13" t="s">
        <v>2416</v>
      </c>
      <c r="AX492" s="13" t="s">
        <v>2073</v>
      </c>
      <c r="AY492" s="13" t="s">
        <v>2073</v>
      </c>
      <c r="AZ492" s="13" t="s">
        <v>2073</v>
      </c>
      <c r="BA492" s="13" t="s">
        <v>2073</v>
      </c>
      <c r="BB492" s="13" t="s">
        <v>2073</v>
      </c>
      <c r="BC492" s="13" t="s">
        <v>2073</v>
      </c>
    </row>
    <row r="493" spans="1:55" ht="15.75" customHeight="1">
      <c r="A493" s="6">
        <v>2000</v>
      </c>
      <c r="B493" s="63" t="s">
        <v>1416</v>
      </c>
      <c r="C493" s="211" t="s">
        <v>2412</v>
      </c>
      <c r="D493" s="13" t="e">
        <f>VLOOKUP($B493,#REF!,2,FALSE)</f>
        <v>#REF!</v>
      </c>
      <c r="E493" s="13" t="e">
        <f>VLOOKUP($B493,#REF!,10,FALSE)</f>
        <v>#REF!</v>
      </c>
      <c r="F493" s="211" t="s">
        <v>2413</v>
      </c>
      <c r="G493" s="13" t="s">
        <v>2414</v>
      </c>
      <c r="H493" s="13" t="s">
        <v>2077</v>
      </c>
      <c r="I493" s="13" t="s">
        <v>2077</v>
      </c>
      <c r="J493" s="13" t="s">
        <v>2077</v>
      </c>
      <c r="K493" s="13" t="s">
        <v>2077</v>
      </c>
      <c r="L493" s="13" t="s">
        <v>2077</v>
      </c>
      <c r="M493" s="13" t="s">
        <v>2077</v>
      </c>
      <c r="N493" s="211" t="s">
        <v>2415</v>
      </c>
      <c r="O493" s="13" t="s">
        <v>2416</v>
      </c>
      <c r="P493" s="69" t="e">
        <f>VLOOKUP($B493,#REF!,2,FALSE)</f>
        <v>#REF!</v>
      </c>
      <c r="Q493" s="13" t="e">
        <f t="shared" si="398"/>
        <v>#REF!</v>
      </c>
      <c r="R493" s="215" t="e">
        <f>VLOOKUP($B493,#REF!,6,FALSE)</f>
        <v>#REF!</v>
      </c>
      <c r="S493" s="215" t="e">
        <f>VLOOKUP($B493,#REF!,7,FALSE)</f>
        <v>#REF!</v>
      </c>
      <c r="T493" s="13">
        <v>85</v>
      </c>
      <c r="U493" s="167" t="e">
        <f>VLOOKUP($B493,#REF!,9,FALSE)</f>
        <v>#REF!</v>
      </c>
      <c r="V493" s="13">
        <v>1</v>
      </c>
      <c r="W493" s="13" t="s">
        <v>2417</v>
      </c>
      <c r="X493" s="13" t="s">
        <v>1924</v>
      </c>
      <c r="Y493" s="13" t="s">
        <v>2073</v>
      </c>
      <c r="Z493" s="13" t="s">
        <v>2073</v>
      </c>
      <c r="AA493" s="13" t="s">
        <v>2073</v>
      </c>
      <c r="AB493" s="13" t="s">
        <v>1924</v>
      </c>
      <c r="AC493" s="211" t="s">
        <v>2415</v>
      </c>
      <c r="AD493" s="13" t="s">
        <v>2416</v>
      </c>
      <c r="AE493" s="69" t="e">
        <f>VLOOKUP($B493,#REF!,4,FALSE)</f>
        <v>#REF!</v>
      </c>
      <c r="AF493" s="13" t="s">
        <v>2418</v>
      </c>
      <c r="AG493" s="13" t="s">
        <v>2419</v>
      </c>
      <c r="AH493" s="13" t="s">
        <v>2420</v>
      </c>
      <c r="AI493" s="13" t="s">
        <v>2421</v>
      </c>
      <c r="AJ493" s="13" t="s">
        <v>2422</v>
      </c>
      <c r="AK493" s="13" t="s">
        <v>2416</v>
      </c>
      <c r="AL493" s="13" t="s">
        <v>2077</v>
      </c>
      <c r="AM493" s="13" t="s">
        <v>2077</v>
      </c>
      <c r="AN493" s="13" t="s">
        <v>2077</v>
      </c>
      <c r="AO493" s="13" t="s">
        <v>2077</v>
      </c>
      <c r="AP493" s="13" t="s">
        <v>2077</v>
      </c>
      <c r="AQ493" s="13" t="s">
        <v>2077</v>
      </c>
      <c r="AR493" s="13" t="s">
        <v>2418</v>
      </c>
      <c r="AS493" s="13" t="s">
        <v>2419</v>
      </c>
      <c r="AT493" s="13" t="s">
        <v>2420</v>
      </c>
      <c r="AU493" s="13" t="s">
        <v>2421</v>
      </c>
      <c r="AV493" s="13" t="s">
        <v>2422</v>
      </c>
      <c r="AW493" s="13" t="s">
        <v>2416</v>
      </c>
      <c r="AX493" s="13" t="s">
        <v>2073</v>
      </c>
      <c r="AY493" s="13" t="s">
        <v>2073</v>
      </c>
      <c r="AZ493" s="13" t="s">
        <v>2073</v>
      </c>
      <c r="BA493" s="13" t="s">
        <v>2073</v>
      </c>
      <c r="BB493" s="13" t="s">
        <v>2073</v>
      </c>
      <c r="BC493" s="13" t="s">
        <v>2073</v>
      </c>
    </row>
    <row r="494" spans="1:55" ht="15.75" customHeight="1">
      <c r="A494" s="6">
        <v>2000</v>
      </c>
      <c r="B494" s="63" t="s">
        <v>1420</v>
      </c>
      <c r="C494" s="211" t="s">
        <v>2412</v>
      </c>
      <c r="D494" s="13" t="e">
        <f>VLOOKUP($B494,#REF!,2,FALSE)</f>
        <v>#REF!</v>
      </c>
      <c r="E494" s="13" t="e">
        <f>VLOOKUP($B494,#REF!,10,FALSE)</f>
        <v>#REF!</v>
      </c>
      <c r="F494" s="211" t="s">
        <v>2413</v>
      </c>
      <c r="G494" s="13" t="s">
        <v>2414</v>
      </c>
      <c r="H494" s="13" t="s">
        <v>2077</v>
      </c>
      <c r="I494" s="13" t="s">
        <v>2077</v>
      </c>
      <c r="J494" s="13" t="s">
        <v>2077</v>
      </c>
      <c r="K494" s="13" t="s">
        <v>2077</v>
      </c>
      <c r="L494" s="13" t="s">
        <v>2077</v>
      </c>
      <c r="M494" s="13" t="s">
        <v>2077</v>
      </c>
      <c r="N494" s="211" t="s">
        <v>2415</v>
      </c>
      <c r="O494" s="13" t="s">
        <v>2416</v>
      </c>
      <c r="P494" s="69" t="e">
        <f>VLOOKUP($B494,#REF!,2,FALSE)</f>
        <v>#REF!</v>
      </c>
      <c r="Q494" s="13" t="e">
        <f t="shared" si="398"/>
        <v>#REF!</v>
      </c>
      <c r="R494" s="215" t="e">
        <f>VLOOKUP($B494,#REF!,6,FALSE)</f>
        <v>#REF!</v>
      </c>
      <c r="S494" s="215" t="e">
        <f>VLOOKUP($B494,#REF!,7,FALSE)</f>
        <v>#REF!</v>
      </c>
      <c r="T494" s="13">
        <v>85</v>
      </c>
      <c r="U494" s="167" t="e">
        <f>VLOOKUP($B494,#REF!,9,FALSE)</f>
        <v>#REF!</v>
      </c>
      <c r="V494" s="13">
        <v>1</v>
      </c>
      <c r="W494" s="13" t="s">
        <v>2417</v>
      </c>
      <c r="X494" s="13" t="s">
        <v>1924</v>
      </c>
      <c r="Y494" s="13" t="s">
        <v>2073</v>
      </c>
      <c r="Z494" s="13" t="s">
        <v>2073</v>
      </c>
      <c r="AA494" s="13" t="s">
        <v>2073</v>
      </c>
      <c r="AB494" s="13" t="s">
        <v>1924</v>
      </c>
      <c r="AC494" s="211" t="s">
        <v>2415</v>
      </c>
      <c r="AD494" s="13" t="s">
        <v>2416</v>
      </c>
      <c r="AE494" s="69" t="e">
        <f>VLOOKUP($B494,#REF!,4,FALSE)</f>
        <v>#REF!</v>
      </c>
      <c r="AF494" s="13" t="s">
        <v>2418</v>
      </c>
      <c r="AG494" s="13" t="s">
        <v>2419</v>
      </c>
      <c r="AH494" s="13" t="s">
        <v>2420</v>
      </c>
      <c r="AI494" s="13" t="s">
        <v>2421</v>
      </c>
      <c r="AJ494" s="13" t="s">
        <v>2422</v>
      </c>
      <c r="AK494" s="13" t="s">
        <v>2416</v>
      </c>
      <c r="AL494" s="13" t="s">
        <v>2077</v>
      </c>
      <c r="AM494" s="13" t="s">
        <v>2077</v>
      </c>
      <c r="AN494" s="13" t="s">
        <v>2077</v>
      </c>
      <c r="AO494" s="13" t="s">
        <v>2077</v>
      </c>
      <c r="AP494" s="13" t="s">
        <v>2077</v>
      </c>
      <c r="AQ494" s="13" t="s">
        <v>2077</v>
      </c>
      <c r="AR494" s="13" t="s">
        <v>2418</v>
      </c>
      <c r="AS494" s="13" t="s">
        <v>2419</v>
      </c>
      <c r="AT494" s="13" t="s">
        <v>2420</v>
      </c>
      <c r="AU494" s="13" t="s">
        <v>2421</v>
      </c>
      <c r="AV494" s="13" t="s">
        <v>2422</v>
      </c>
      <c r="AW494" s="13" t="s">
        <v>2416</v>
      </c>
      <c r="AX494" s="13" t="s">
        <v>2073</v>
      </c>
      <c r="AY494" s="13" t="s">
        <v>2073</v>
      </c>
      <c r="AZ494" s="13" t="s">
        <v>2073</v>
      </c>
      <c r="BA494" s="13" t="s">
        <v>2073</v>
      </c>
      <c r="BB494" s="13" t="s">
        <v>2073</v>
      </c>
      <c r="BC494" s="13" t="s">
        <v>2073</v>
      </c>
    </row>
    <row r="495" spans="1:55" ht="15.75" customHeight="1">
      <c r="A495" s="6">
        <v>2000</v>
      </c>
      <c r="B495" s="63" t="s">
        <v>1424</v>
      </c>
      <c r="C495" s="211" t="s">
        <v>2412</v>
      </c>
      <c r="D495" s="13" t="e">
        <f>VLOOKUP($B495,#REF!,2,FALSE)</f>
        <v>#REF!</v>
      </c>
      <c r="E495" s="13" t="e">
        <f>VLOOKUP($B495,#REF!,10,FALSE)</f>
        <v>#REF!</v>
      </c>
      <c r="F495" s="211" t="s">
        <v>2413</v>
      </c>
      <c r="G495" s="13" t="s">
        <v>2414</v>
      </c>
      <c r="H495" s="13" t="s">
        <v>2077</v>
      </c>
      <c r="I495" s="13" t="s">
        <v>2077</v>
      </c>
      <c r="J495" s="13" t="s">
        <v>2077</v>
      </c>
      <c r="K495" s="13" t="s">
        <v>2077</v>
      </c>
      <c r="L495" s="13" t="s">
        <v>2077</v>
      </c>
      <c r="M495" s="13" t="s">
        <v>2077</v>
      </c>
      <c r="N495" s="211" t="s">
        <v>2415</v>
      </c>
      <c r="O495" s="13" t="s">
        <v>2416</v>
      </c>
      <c r="P495" s="69" t="e">
        <f>VLOOKUP($B495,#REF!,2,FALSE)</f>
        <v>#REF!</v>
      </c>
      <c r="Q495" s="13" t="e">
        <f t="shared" si="398"/>
        <v>#REF!</v>
      </c>
      <c r="R495" s="215" t="e">
        <f>VLOOKUP($B495,#REF!,6,FALSE)</f>
        <v>#REF!</v>
      </c>
      <c r="S495" s="215" t="e">
        <f>VLOOKUP($B495,#REF!,7,FALSE)</f>
        <v>#REF!</v>
      </c>
      <c r="T495" s="13">
        <v>85</v>
      </c>
      <c r="U495" s="167" t="e">
        <f>VLOOKUP($B495,#REF!,9,FALSE)</f>
        <v>#REF!</v>
      </c>
      <c r="V495" s="13">
        <v>1</v>
      </c>
      <c r="W495" s="13" t="s">
        <v>2417</v>
      </c>
      <c r="X495" s="13" t="s">
        <v>1924</v>
      </c>
      <c r="Y495" s="13" t="s">
        <v>2073</v>
      </c>
      <c r="Z495" s="13" t="s">
        <v>2073</v>
      </c>
      <c r="AA495" s="13" t="s">
        <v>2073</v>
      </c>
      <c r="AB495" s="13" t="s">
        <v>1924</v>
      </c>
      <c r="AC495" s="211" t="s">
        <v>2415</v>
      </c>
      <c r="AD495" s="13" t="s">
        <v>2416</v>
      </c>
      <c r="AE495" s="69" t="e">
        <f>VLOOKUP($B495,#REF!,4,FALSE)</f>
        <v>#REF!</v>
      </c>
      <c r="AF495" s="13" t="s">
        <v>2418</v>
      </c>
      <c r="AG495" s="13" t="s">
        <v>2419</v>
      </c>
      <c r="AH495" s="13" t="s">
        <v>2420</v>
      </c>
      <c r="AI495" s="13" t="s">
        <v>2421</v>
      </c>
      <c r="AJ495" s="13" t="s">
        <v>2422</v>
      </c>
      <c r="AK495" s="13" t="s">
        <v>2416</v>
      </c>
      <c r="AL495" s="13" t="s">
        <v>2077</v>
      </c>
      <c r="AM495" s="13" t="s">
        <v>2077</v>
      </c>
      <c r="AN495" s="13" t="s">
        <v>2077</v>
      </c>
      <c r="AO495" s="13" t="s">
        <v>2077</v>
      </c>
      <c r="AP495" s="13" t="s">
        <v>2077</v>
      </c>
      <c r="AQ495" s="13" t="s">
        <v>2077</v>
      </c>
      <c r="AR495" s="13" t="s">
        <v>2418</v>
      </c>
      <c r="AS495" s="13" t="s">
        <v>2419</v>
      </c>
      <c r="AT495" s="13" t="s">
        <v>2420</v>
      </c>
      <c r="AU495" s="13" t="s">
        <v>2421</v>
      </c>
      <c r="AV495" s="13" t="s">
        <v>2422</v>
      </c>
      <c r="AW495" s="13" t="s">
        <v>2416</v>
      </c>
      <c r="AX495" s="13" t="s">
        <v>2073</v>
      </c>
      <c r="AY495" s="13" t="s">
        <v>2073</v>
      </c>
      <c r="AZ495" s="13" t="s">
        <v>2073</v>
      </c>
      <c r="BA495" s="13" t="s">
        <v>2073</v>
      </c>
      <c r="BB495" s="13" t="s">
        <v>2073</v>
      </c>
      <c r="BC495" s="13" t="s">
        <v>2073</v>
      </c>
    </row>
    <row r="496" spans="1:55" ht="15.75" customHeight="1">
      <c r="A496" s="6">
        <v>2000</v>
      </c>
      <c r="B496" s="63" t="s">
        <v>1428</v>
      </c>
      <c r="C496" s="211" t="s">
        <v>2412</v>
      </c>
      <c r="D496" s="13" t="e">
        <f>VLOOKUP($B496,#REF!,2,FALSE)</f>
        <v>#REF!</v>
      </c>
      <c r="E496" s="13" t="e">
        <f>VLOOKUP($B496,#REF!,10,FALSE)</f>
        <v>#REF!</v>
      </c>
      <c r="F496" s="211" t="s">
        <v>2413</v>
      </c>
      <c r="G496" s="13" t="s">
        <v>2414</v>
      </c>
      <c r="H496" s="13" t="s">
        <v>2077</v>
      </c>
      <c r="I496" s="13" t="s">
        <v>2077</v>
      </c>
      <c r="J496" s="13" t="s">
        <v>2077</v>
      </c>
      <c r="K496" s="13" t="s">
        <v>2077</v>
      </c>
      <c r="L496" s="13" t="s">
        <v>2077</v>
      </c>
      <c r="M496" s="13" t="s">
        <v>2077</v>
      </c>
      <c r="N496" s="211" t="s">
        <v>2415</v>
      </c>
      <c r="O496" s="13" t="s">
        <v>2416</v>
      </c>
      <c r="P496" s="69" t="e">
        <f>VLOOKUP($B496,#REF!,2,FALSE)</f>
        <v>#REF!</v>
      </c>
      <c r="Q496" s="13" t="e">
        <f t="shared" si="398"/>
        <v>#REF!</v>
      </c>
      <c r="R496" s="215" t="e">
        <f>VLOOKUP($B496,#REF!,6,FALSE)</f>
        <v>#REF!</v>
      </c>
      <c r="S496" s="215" t="e">
        <f>VLOOKUP($B496,#REF!,7,FALSE)</f>
        <v>#REF!</v>
      </c>
      <c r="T496" s="13">
        <v>85</v>
      </c>
      <c r="U496" s="167" t="e">
        <f>VLOOKUP($B496,#REF!,9,FALSE)</f>
        <v>#REF!</v>
      </c>
      <c r="V496" s="13">
        <v>1</v>
      </c>
      <c r="W496" s="13" t="s">
        <v>2417</v>
      </c>
      <c r="X496" s="13" t="s">
        <v>1924</v>
      </c>
      <c r="Y496" s="13" t="s">
        <v>2073</v>
      </c>
      <c r="Z496" s="13" t="s">
        <v>2073</v>
      </c>
      <c r="AA496" s="13" t="s">
        <v>2073</v>
      </c>
      <c r="AB496" s="13" t="s">
        <v>1924</v>
      </c>
      <c r="AC496" s="211" t="s">
        <v>2415</v>
      </c>
      <c r="AD496" s="13" t="s">
        <v>2416</v>
      </c>
      <c r="AE496" s="69" t="e">
        <f>VLOOKUP($B496,#REF!,4,FALSE)</f>
        <v>#REF!</v>
      </c>
      <c r="AF496" s="13" t="s">
        <v>2418</v>
      </c>
      <c r="AG496" s="13" t="s">
        <v>2419</v>
      </c>
      <c r="AH496" s="13" t="s">
        <v>2420</v>
      </c>
      <c r="AI496" s="13" t="s">
        <v>2421</v>
      </c>
      <c r="AJ496" s="13" t="s">
        <v>2422</v>
      </c>
      <c r="AK496" s="13" t="s">
        <v>2416</v>
      </c>
      <c r="AL496" s="13" t="s">
        <v>2077</v>
      </c>
      <c r="AM496" s="13" t="s">
        <v>2077</v>
      </c>
      <c r="AN496" s="13" t="s">
        <v>2077</v>
      </c>
      <c r="AO496" s="13" t="s">
        <v>2077</v>
      </c>
      <c r="AP496" s="13" t="s">
        <v>2077</v>
      </c>
      <c r="AQ496" s="13" t="s">
        <v>2077</v>
      </c>
      <c r="AR496" s="13" t="s">
        <v>2418</v>
      </c>
      <c r="AS496" s="13" t="s">
        <v>2419</v>
      </c>
      <c r="AT496" s="13" t="s">
        <v>2420</v>
      </c>
      <c r="AU496" s="13" t="s">
        <v>2421</v>
      </c>
      <c r="AV496" s="13" t="s">
        <v>2422</v>
      </c>
      <c r="AW496" s="13" t="s">
        <v>2416</v>
      </c>
      <c r="AX496" s="13" t="s">
        <v>2073</v>
      </c>
      <c r="AY496" s="13" t="s">
        <v>2073</v>
      </c>
      <c r="AZ496" s="13" t="s">
        <v>2073</v>
      </c>
      <c r="BA496" s="13" t="s">
        <v>2073</v>
      </c>
      <c r="BB496" s="13" t="s">
        <v>2073</v>
      </c>
      <c r="BC496" s="13" t="s">
        <v>2073</v>
      </c>
    </row>
    <row r="497" spans="1:55" ht="15.75" customHeight="1">
      <c r="A497" s="6">
        <v>2000</v>
      </c>
      <c r="B497" s="63" t="s">
        <v>1432</v>
      </c>
      <c r="C497" s="211" t="s">
        <v>2412</v>
      </c>
      <c r="D497" s="13" t="e">
        <f>VLOOKUP($B497,#REF!,2,FALSE)</f>
        <v>#REF!</v>
      </c>
      <c r="E497" s="13" t="e">
        <f>VLOOKUP($B497,#REF!,10,FALSE)</f>
        <v>#REF!</v>
      </c>
      <c r="F497" s="211" t="s">
        <v>2413</v>
      </c>
      <c r="G497" s="13" t="s">
        <v>2414</v>
      </c>
      <c r="H497" s="13" t="s">
        <v>2077</v>
      </c>
      <c r="I497" s="13" t="s">
        <v>2077</v>
      </c>
      <c r="J497" s="13" t="s">
        <v>2077</v>
      </c>
      <c r="K497" s="13" t="s">
        <v>2077</v>
      </c>
      <c r="L497" s="13" t="s">
        <v>2077</v>
      </c>
      <c r="M497" s="13" t="s">
        <v>2077</v>
      </c>
      <c r="N497" s="211" t="s">
        <v>2415</v>
      </c>
      <c r="O497" s="13" t="s">
        <v>2416</v>
      </c>
      <c r="P497" s="69" t="e">
        <f>VLOOKUP($B497,#REF!,2,FALSE)</f>
        <v>#REF!</v>
      </c>
      <c r="Q497" s="13" t="e">
        <f t="shared" si="398"/>
        <v>#REF!</v>
      </c>
      <c r="R497" s="215" t="e">
        <f>VLOOKUP($B497,#REF!,6,FALSE)</f>
        <v>#REF!</v>
      </c>
      <c r="S497" s="215" t="e">
        <f>VLOOKUP($B497,#REF!,7,FALSE)</f>
        <v>#REF!</v>
      </c>
      <c r="T497" s="13">
        <v>85</v>
      </c>
      <c r="U497" s="167" t="e">
        <f>VLOOKUP($B497,#REF!,9,FALSE)</f>
        <v>#REF!</v>
      </c>
      <c r="V497" s="13">
        <v>1</v>
      </c>
      <c r="W497" s="13" t="s">
        <v>2417</v>
      </c>
      <c r="X497" s="13" t="s">
        <v>1924</v>
      </c>
      <c r="Y497" s="13" t="s">
        <v>2073</v>
      </c>
      <c r="Z497" s="13" t="s">
        <v>2073</v>
      </c>
      <c r="AA497" s="13" t="s">
        <v>2073</v>
      </c>
      <c r="AB497" s="13" t="s">
        <v>1924</v>
      </c>
      <c r="AC497" s="211" t="s">
        <v>2415</v>
      </c>
      <c r="AD497" s="13" t="s">
        <v>2416</v>
      </c>
      <c r="AE497" s="69" t="e">
        <f>VLOOKUP($B497,#REF!,4,FALSE)</f>
        <v>#REF!</v>
      </c>
      <c r="AF497" s="13" t="s">
        <v>2418</v>
      </c>
      <c r="AG497" s="13" t="s">
        <v>2419</v>
      </c>
      <c r="AH497" s="13" t="s">
        <v>2420</v>
      </c>
      <c r="AI497" s="13" t="s">
        <v>2421</v>
      </c>
      <c r="AJ497" s="13" t="s">
        <v>2422</v>
      </c>
      <c r="AK497" s="13" t="s">
        <v>2416</v>
      </c>
      <c r="AL497" s="13" t="s">
        <v>2077</v>
      </c>
      <c r="AM497" s="13" t="s">
        <v>2077</v>
      </c>
      <c r="AN497" s="13" t="s">
        <v>2077</v>
      </c>
      <c r="AO497" s="13" t="s">
        <v>2077</v>
      </c>
      <c r="AP497" s="13" t="s">
        <v>2077</v>
      </c>
      <c r="AQ497" s="13" t="s">
        <v>2077</v>
      </c>
      <c r="AR497" s="13" t="s">
        <v>2418</v>
      </c>
      <c r="AS497" s="13" t="s">
        <v>2419</v>
      </c>
      <c r="AT497" s="13" t="s">
        <v>2420</v>
      </c>
      <c r="AU497" s="13" t="s">
        <v>2421</v>
      </c>
      <c r="AV497" s="13" t="s">
        <v>2422</v>
      </c>
      <c r="AW497" s="13" t="s">
        <v>2416</v>
      </c>
      <c r="AX497" s="13" t="s">
        <v>2073</v>
      </c>
      <c r="AY497" s="13" t="s">
        <v>2073</v>
      </c>
      <c r="AZ497" s="13" t="s">
        <v>2073</v>
      </c>
      <c r="BA497" s="13" t="s">
        <v>2073</v>
      </c>
      <c r="BB497" s="13" t="s">
        <v>2073</v>
      </c>
      <c r="BC497" s="13" t="s">
        <v>2073</v>
      </c>
    </row>
    <row r="498" spans="1:55" ht="15.75" customHeight="1">
      <c r="A498" s="6">
        <v>2000</v>
      </c>
      <c r="B498" s="63" t="s">
        <v>1436</v>
      </c>
      <c r="C498" s="211" t="s">
        <v>2412</v>
      </c>
      <c r="D498" s="13" t="e">
        <f>VLOOKUP($B498,#REF!,2,FALSE)</f>
        <v>#REF!</v>
      </c>
      <c r="E498" s="13" t="e">
        <f>VLOOKUP($B498,#REF!,10,FALSE)</f>
        <v>#REF!</v>
      </c>
      <c r="F498" s="211" t="s">
        <v>2413</v>
      </c>
      <c r="G498" s="13" t="s">
        <v>2414</v>
      </c>
      <c r="H498" s="13" t="s">
        <v>2077</v>
      </c>
      <c r="I498" s="13" t="s">
        <v>2077</v>
      </c>
      <c r="J498" s="13" t="s">
        <v>2077</v>
      </c>
      <c r="K498" s="13" t="s">
        <v>2077</v>
      </c>
      <c r="L498" s="13" t="s">
        <v>2077</v>
      </c>
      <c r="M498" s="13" t="s">
        <v>2077</v>
      </c>
      <c r="N498" s="211" t="s">
        <v>2415</v>
      </c>
      <c r="O498" s="13" t="s">
        <v>2416</v>
      </c>
      <c r="P498" s="69" t="e">
        <f>VLOOKUP($B498,#REF!,2,FALSE)</f>
        <v>#REF!</v>
      </c>
      <c r="Q498" s="13" t="e">
        <f t="shared" si="398"/>
        <v>#REF!</v>
      </c>
      <c r="R498" s="215" t="e">
        <f>VLOOKUP($B498,#REF!,6,FALSE)</f>
        <v>#REF!</v>
      </c>
      <c r="S498" s="215" t="e">
        <f>VLOOKUP($B498,#REF!,7,FALSE)</f>
        <v>#REF!</v>
      </c>
      <c r="T498" s="13">
        <v>85</v>
      </c>
      <c r="U498" s="167" t="e">
        <f>VLOOKUP($B498,#REF!,9,FALSE)</f>
        <v>#REF!</v>
      </c>
      <c r="V498" s="13">
        <v>1</v>
      </c>
      <c r="W498" s="13" t="s">
        <v>2417</v>
      </c>
      <c r="X498" s="13" t="s">
        <v>1924</v>
      </c>
      <c r="Y498" s="13" t="s">
        <v>2073</v>
      </c>
      <c r="Z498" s="13" t="s">
        <v>2073</v>
      </c>
      <c r="AA498" s="13" t="s">
        <v>2073</v>
      </c>
      <c r="AB498" s="13" t="s">
        <v>1924</v>
      </c>
      <c r="AC498" s="211" t="s">
        <v>2415</v>
      </c>
      <c r="AD498" s="13" t="s">
        <v>2416</v>
      </c>
      <c r="AE498" s="69" t="e">
        <f>VLOOKUP($B498,#REF!,4,FALSE)</f>
        <v>#REF!</v>
      </c>
      <c r="AF498" s="13" t="s">
        <v>2418</v>
      </c>
      <c r="AG498" s="13" t="s">
        <v>2419</v>
      </c>
      <c r="AH498" s="13" t="s">
        <v>2420</v>
      </c>
      <c r="AI498" s="13" t="s">
        <v>2421</v>
      </c>
      <c r="AJ498" s="13" t="s">
        <v>2422</v>
      </c>
      <c r="AK498" s="13" t="s">
        <v>2416</v>
      </c>
      <c r="AL498" s="13" t="s">
        <v>2077</v>
      </c>
      <c r="AM498" s="13" t="s">
        <v>2077</v>
      </c>
      <c r="AN498" s="13" t="s">
        <v>2077</v>
      </c>
      <c r="AO498" s="13" t="s">
        <v>2077</v>
      </c>
      <c r="AP498" s="13" t="s">
        <v>2077</v>
      </c>
      <c r="AQ498" s="13" t="s">
        <v>2077</v>
      </c>
      <c r="AR498" s="13" t="s">
        <v>2418</v>
      </c>
      <c r="AS498" s="13" t="s">
        <v>2419</v>
      </c>
      <c r="AT498" s="13" t="s">
        <v>2420</v>
      </c>
      <c r="AU498" s="13" t="s">
        <v>2421</v>
      </c>
      <c r="AV498" s="13" t="s">
        <v>2422</v>
      </c>
      <c r="AW498" s="13" t="s">
        <v>2416</v>
      </c>
      <c r="AX498" s="13" t="s">
        <v>2073</v>
      </c>
      <c r="AY498" s="13" t="s">
        <v>2073</v>
      </c>
      <c r="AZ498" s="13" t="s">
        <v>2073</v>
      </c>
      <c r="BA498" s="13" t="s">
        <v>2073</v>
      </c>
      <c r="BB498" s="13" t="s">
        <v>2073</v>
      </c>
      <c r="BC498" s="13" t="s">
        <v>2073</v>
      </c>
    </row>
    <row r="499" spans="1:55" ht="15.75" customHeight="1">
      <c r="A499" s="6">
        <v>2000</v>
      </c>
      <c r="B499" s="63" t="s">
        <v>1439</v>
      </c>
      <c r="C499" s="211" t="s">
        <v>2412</v>
      </c>
      <c r="D499" s="13" t="e">
        <f>VLOOKUP($B499,#REF!,2,FALSE)</f>
        <v>#REF!</v>
      </c>
      <c r="E499" s="13" t="e">
        <f>VLOOKUP($B499,#REF!,10,FALSE)</f>
        <v>#REF!</v>
      </c>
      <c r="F499" s="211" t="s">
        <v>2413</v>
      </c>
      <c r="G499" s="13" t="s">
        <v>2414</v>
      </c>
      <c r="H499" s="13" t="s">
        <v>2077</v>
      </c>
      <c r="I499" s="13" t="s">
        <v>2077</v>
      </c>
      <c r="J499" s="13" t="s">
        <v>2077</v>
      </c>
      <c r="K499" s="13" t="s">
        <v>2077</v>
      </c>
      <c r="L499" s="13" t="s">
        <v>2077</v>
      </c>
      <c r="M499" s="13" t="s">
        <v>2077</v>
      </c>
      <c r="N499" s="211" t="s">
        <v>2415</v>
      </c>
      <c r="O499" s="13" t="s">
        <v>2416</v>
      </c>
      <c r="P499" s="69" t="e">
        <f>VLOOKUP($B499,#REF!,2,FALSE)</f>
        <v>#REF!</v>
      </c>
      <c r="Q499" s="13" t="e">
        <f t="shared" si="398"/>
        <v>#REF!</v>
      </c>
      <c r="R499" s="215" t="e">
        <f>VLOOKUP($B499,#REF!,6,FALSE)</f>
        <v>#REF!</v>
      </c>
      <c r="S499" s="215" t="e">
        <f>VLOOKUP($B499,#REF!,7,FALSE)</f>
        <v>#REF!</v>
      </c>
      <c r="T499" s="13">
        <v>85</v>
      </c>
      <c r="U499" s="167" t="e">
        <f>VLOOKUP($B499,#REF!,9,FALSE)</f>
        <v>#REF!</v>
      </c>
      <c r="V499" s="13">
        <v>1</v>
      </c>
      <c r="W499" s="13" t="s">
        <v>2417</v>
      </c>
      <c r="X499" s="13" t="s">
        <v>1924</v>
      </c>
      <c r="Y499" s="13" t="s">
        <v>2073</v>
      </c>
      <c r="Z499" s="13" t="s">
        <v>2073</v>
      </c>
      <c r="AA499" s="13" t="s">
        <v>2073</v>
      </c>
      <c r="AB499" s="13" t="s">
        <v>1924</v>
      </c>
      <c r="AC499" s="211" t="s">
        <v>2415</v>
      </c>
      <c r="AD499" s="13" t="s">
        <v>2416</v>
      </c>
      <c r="AE499" s="69" t="e">
        <f>VLOOKUP($B499,#REF!,4,FALSE)</f>
        <v>#REF!</v>
      </c>
      <c r="AF499" s="13" t="s">
        <v>2418</v>
      </c>
      <c r="AG499" s="13" t="s">
        <v>2419</v>
      </c>
      <c r="AH499" s="13" t="s">
        <v>2420</v>
      </c>
      <c r="AI499" s="13" t="s">
        <v>2421</v>
      </c>
      <c r="AJ499" s="13" t="s">
        <v>2422</v>
      </c>
      <c r="AK499" s="13" t="s">
        <v>2416</v>
      </c>
      <c r="AL499" s="13" t="s">
        <v>2077</v>
      </c>
      <c r="AM499" s="13" t="s">
        <v>2077</v>
      </c>
      <c r="AN499" s="13" t="s">
        <v>2077</v>
      </c>
      <c r="AO499" s="13" t="s">
        <v>2077</v>
      </c>
      <c r="AP499" s="13" t="s">
        <v>2077</v>
      </c>
      <c r="AQ499" s="13" t="s">
        <v>2077</v>
      </c>
      <c r="AR499" s="13" t="s">
        <v>2418</v>
      </c>
      <c r="AS499" s="13" t="s">
        <v>2419</v>
      </c>
      <c r="AT499" s="13" t="s">
        <v>2420</v>
      </c>
      <c r="AU499" s="13" t="s">
        <v>2421</v>
      </c>
      <c r="AV499" s="13" t="s">
        <v>2422</v>
      </c>
      <c r="AW499" s="13" t="s">
        <v>2416</v>
      </c>
      <c r="AX499" s="13" t="s">
        <v>2073</v>
      </c>
      <c r="AY499" s="13" t="s">
        <v>2073</v>
      </c>
      <c r="AZ499" s="13" t="s">
        <v>2073</v>
      </c>
      <c r="BA499" s="13" t="s">
        <v>2073</v>
      </c>
      <c r="BB499" s="13" t="s">
        <v>2073</v>
      </c>
      <c r="BC499" s="13" t="s">
        <v>2073</v>
      </c>
    </row>
    <row r="500" spans="1:55" ht="15.75" customHeight="1">
      <c r="A500" s="6">
        <v>2000</v>
      </c>
      <c r="B500" s="63" t="s">
        <v>1443</v>
      </c>
      <c r="C500" s="211" t="s">
        <v>2412</v>
      </c>
      <c r="D500" s="13" t="e">
        <f>VLOOKUP($B500,#REF!,2,FALSE)</f>
        <v>#REF!</v>
      </c>
      <c r="E500" s="13" t="e">
        <f>VLOOKUP($B500,#REF!,10,FALSE)</f>
        <v>#REF!</v>
      </c>
      <c r="F500" s="211" t="s">
        <v>2413</v>
      </c>
      <c r="G500" s="13" t="s">
        <v>2414</v>
      </c>
      <c r="H500" s="13" t="s">
        <v>2077</v>
      </c>
      <c r="I500" s="13" t="s">
        <v>2077</v>
      </c>
      <c r="J500" s="13" t="s">
        <v>2077</v>
      </c>
      <c r="K500" s="13" t="s">
        <v>2077</v>
      </c>
      <c r="L500" s="13" t="s">
        <v>2077</v>
      </c>
      <c r="M500" s="13" t="s">
        <v>2077</v>
      </c>
      <c r="N500" s="211" t="s">
        <v>2415</v>
      </c>
      <c r="O500" s="13" t="s">
        <v>2416</v>
      </c>
      <c r="P500" s="69" t="e">
        <f>VLOOKUP($B500,#REF!,2,FALSE)</f>
        <v>#REF!</v>
      </c>
      <c r="Q500" s="13" t="e">
        <f t="shared" si="398"/>
        <v>#REF!</v>
      </c>
      <c r="R500" s="215" t="e">
        <f>VLOOKUP($B500,#REF!,6,FALSE)</f>
        <v>#REF!</v>
      </c>
      <c r="S500" s="215" t="e">
        <f>VLOOKUP($B500,#REF!,7,FALSE)</f>
        <v>#REF!</v>
      </c>
      <c r="T500" s="13">
        <v>85</v>
      </c>
      <c r="U500" s="167" t="e">
        <f>VLOOKUP($B500,#REF!,9,FALSE)</f>
        <v>#REF!</v>
      </c>
      <c r="V500" s="13">
        <v>1</v>
      </c>
      <c r="W500" s="13" t="s">
        <v>2417</v>
      </c>
      <c r="X500" s="13" t="s">
        <v>1924</v>
      </c>
      <c r="Y500" s="13" t="s">
        <v>2073</v>
      </c>
      <c r="Z500" s="13" t="s">
        <v>2073</v>
      </c>
      <c r="AA500" s="13" t="s">
        <v>2073</v>
      </c>
      <c r="AB500" s="13" t="s">
        <v>1924</v>
      </c>
      <c r="AC500" s="211" t="s">
        <v>2415</v>
      </c>
      <c r="AD500" s="13" t="s">
        <v>2416</v>
      </c>
      <c r="AE500" s="69" t="e">
        <f>VLOOKUP($B500,#REF!,4,FALSE)</f>
        <v>#REF!</v>
      </c>
      <c r="AF500" s="13" t="s">
        <v>2418</v>
      </c>
      <c r="AG500" s="13" t="s">
        <v>2419</v>
      </c>
      <c r="AH500" s="13" t="s">
        <v>2420</v>
      </c>
      <c r="AI500" s="13" t="s">
        <v>2421</v>
      </c>
      <c r="AJ500" s="13" t="s">
        <v>2422</v>
      </c>
      <c r="AK500" s="13" t="s">
        <v>2416</v>
      </c>
      <c r="AL500" s="13" t="s">
        <v>2077</v>
      </c>
      <c r="AM500" s="13" t="s">
        <v>2077</v>
      </c>
      <c r="AN500" s="13" t="s">
        <v>2077</v>
      </c>
      <c r="AO500" s="13" t="s">
        <v>2077</v>
      </c>
      <c r="AP500" s="13" t="s">
        <v>2077</v>
      </c>
      <c r="AQ500" s="13" t="s">
        <v>2077</v>
      </c>
      <c r="AR500" s="13" t="s">
        <v>2418</v>
      </c>
      <c r="AS500" s="13" t="s">
        <v>2419</v>
      </c>
      <c r="AT500" s="13" t="s">
        <v>2420</v>
      </c>
      <c r="AU500" s="13" t="s">
        <v>2421</v>
      </c>
      <c r="AV500" s="13" t="s">
        <v>2422</v>
      </c>
      <c r="AW500" s="13" t="s">
        <v>2416</v>
      </c>
      <c r="AX500" s="13" t="s">
        <v>2073</v>
      </c>
      <c r="AY500" s="13" t="s">
        <v>2073</v>
      </c>
      <c r="AZ500" s="13" t="s">
        <v>2073</v>
      </c>
      <c r="BA500" s="13" t="s">
        <v>2073</v>
      </c>
      <c r="BB500" s="13" t="s">
        <v>2073</v>
      </c>
      <c r="BC500" s="13" t="s">
        <v>2073</v>
      </c>
    </row>
    <row r="501" spans="1:55" ht="15.75" customHeight="1">
      <c r="A501" s="6">
        <v>2000</v>
      </c>
      <c r="B501" s="63" t="s">
        <v>1446</v>
      </c>
      <c r="C501" s="211" t="s">
        <v>2412</v>
      </c>
      <c r="D501" s="13" t="e">
        <f>VLOOKUP($B501,#REF!,2,FALSE)</f>
        <v>#REF!</v>
      </c>
      <c r="E501" s="13" t="e">
        <f>VLOOKUP($B501,#REF!,10,FALSE)</f>
        <v>#REF!</v>
      </c>
      <c r="F501" s="211" t="s">
        <v>2413</v>
      </c>
      <c r="G501" s="13" t="s">
        <v>2414</v>
      </c>
      <c r="H501" s="13" t="s">
        <v>2077</v>
      </c>
      <c r="I501" s="13" t="s">
        <v>2077</v>
      </c>
      <c r="J501" s="13" t="s">
        <v>2077</v>
      </c>
      <c r="K501" s="13" t="s">
        <v>2077</v>
      </c>
      <c r="L501" s="13" t="s">
        <v>2077</v>
      </c>
      <c r="M501" s="13" t="s">
        <v>2077</v>
      </c>
      <c r="N501" s="211" t="s">
        <v>2415</v>
      </c>
      <c r="O501" s="13" t="s">
        <v>2416</v>
      </c>
      <c r="P501" s="69" t="e">
        <f>VLOOKUP($B501,#REF!,2,FALSE)</f>
        <v>#REF!</v>
      </c>
      <c r="Q501" s="13" t="e">
        <f t="shared" si="398"/>
        <v>#REF!</v>
      </c>
      <c r="R501" s="215" t="e">
        <f>VLOOKUP($B501,#REF!,6,FALSE)</f>
        <v>#REF!</v>
      </c>
      <c r="S501" s="215" t="e">
        <f>VLOOKUP($B501,#REF!,7,FALSE)</f>
        <v>#REF!</v>
      </c>
      <c r="T501" s="13">
        <v>85</v>
      </c>
      <c r="U501" s="167" t="e">
        <f>VLOOKUP($B501,#REF!,9,FALSE)</f>
        <v>#REF!</v>
      </c>
      <c r="V501" s="13">
        <v>1</v>
      </c>
      <c r="W501" s="13" t="s">
        <v>2417</v>
      </c>
      <c r="X501" s="13" t="s">
        <v>1924</v>
      </c>
      <c r="Y501" s="13" t="s">
        <v>2073</v>
      </c>
      <c r="Z501" s="13" t="s">
        <v>2073</v>
      </c>
      <c r="AA501" s="13" t="s">
        <v>2073</v>
      </c>
      <c r="AB501" s="13" t="s">
        <v>1924</v>
      </c>
      <c r="AC501" s="211" t="s">
        <v>2415</v>
      </c>
      <c r="AD501" s="13" t="s">
        <v>2416</v>
      </c>
      <c r="AE501" s="69" t="e">
        <f>VLOOKUP($B501,#REF!,4,FALSE)</f>
        <v>#REF!</v>
      </c>
      <c r="AF501" s="13" t="s">
        <v>2418</v>
      </c>
      <c r="AG501" s="13" t="s">
        <v>2419</v>
      </c>
      <c r="AH501" s="13" t="s">
        <v>2420</v>
      </c>
      <c r="AI501" s="13" t="s">
        <v>2421</v>
      </c>
      <c r="AJ501" s="13" t="s">
        <v>2422</v>
      </c>
      <c r="AK501" s="13" t="s">
        <v>2416</v>
      </c>
      <c r="AL501" s="13" t="s">
        <v>2077</v>
      </c>
      <c r="AM501" s="13" t="s">
        <v>2077</v>
      </c>
      <c r="AN501" s="13" t="s">
        <v>2077</v>
      </c>
      <c r="AO501" s="13" t="s">
        <v>2077</v>
      </c>
      <c r="AP501" s="13" t="s">
        <v>2077</v>
      </c>
      <c r="AQ501" s="13" t="s">
        <v>2077</v>
      </c>
      <c r="AR501" s="13" t="s">
        <v>2418</v>
      </c>
      <c r="AS501" s="13" t="s">
        <v>2419</v>
      </c>
      <c r="AT501" s="13" t="s">
        <v>2420</v>
      </c>
      <c r="AU501" s="13" t="s">
        <v>2421</v>
      </c>
      <c r="AV501" s="13" t="s">
        <v>2422</v>
      </c>
      <c r="AW501" s="13" t="s">
        <v>2416</v>
      </c>
      <c r="AX501" s="13" t="s">
        <v>2073</v>
      </c>
      <c r="AY501" s="13" t="s">
        <v>2073</v>
      </c>
      <c r="AZ501" s="13" t="s">
        <v>2073</v>
      </c>
      <c r="BA501" s="13" t="s">
        <v>2073</v>
      </c>
      <c r="BB501" s="13" t="s">
        <v>2073</v>
      </c>
      <c r="BC501" s="13" t="s">
        <v>2073</v>
      </c>
    </row>
    <row r="502" spans="1:55" ht="15.75" customHeight="1">
      <c r="A502" s="6">
        <v>2000</v>
      </c>
      <c r="B502" s="7" t="s">
        <v>1450</v>
      </c>
      <c r="C502" s="211" t="s">
        <v>2412</v>
      </c>
      <c r="D502" s="13" t="e">
        <f>VLOOKUP($B502,#REF!,2,FALSE)</f>
        <v>#REF!</v>
      </c>
      <c r="E502" s="13" t="e">
        <f>VLOOKUP($B502,#REF!,10,FALSE)</f>
        <v>#REF!</v>
      </c>
      <c r="F502" s="211" t="s">
        <v>2413</v>
      </c>
      <c r="G502" s="13" t="s">
        <v>2414</v>
      </c>
      <c r="H502" s="13" t="s">
        <v>2077</v>
      </c>
      <c r="I502" s="13" t="s">
        <v>2077</v>
      </c>
      <c r="J502" s="13" t="s">
        <v>2077</v>
      </c>
      <c r="K502" s="13" t="s">
        <v>2077</v>
      </c>
      <c r="L502" s="13" t="s">
        <v>2077</v>
      </c>
      <c r="M502" s="13" t="s">
        <v>2077</v>
      </c>
      <c r="N502" s="211" t="s">
        <v>2415</v>
      </c>
      <c r="O502" s="13" t="s">
        <v>2416</v>
      </c>
      <c r="P502" s="69" t="e">
        <f>VLOOKUP($B502,#REF!,2,FALSE)</f>
        <v>#REF!</v>
      </c>
      <c r="Q502" s="13" t="e">
        <f t="shared" si="398"/>
        <v>#REF!</v>
      </c>
      <c r="R502" s="215" t="e">
        <f>VLOOKUP($B502,#REF!,6,FALSE)</f>
        <v>#REF!</v>
      </c>
      <c r="S502" s="215" t="e">
        <f>VLOOKUP($B502,#REF!,7,FALSE)</f>
        <v>#REF!</v>
      </c>
      <c r="T502" s="13">
        <v>85</v>
      </c>
      <c r="U502" s="167" t="e">
        <f>VLOOKUP($B502,#REF!,9,FALSE)</f>
        <v>#REF!</v>
      </c>
      <c r="V502" s="13">
        <v>1</v>
      </c>
      <c r="W502" s="13" t="s">
        <v>2417</v>
      </c>
      <c r="X502" s="13" t="s">
        <v>1924</v>
      </c>
      <c r="Y502" s="13" t="s">
        <v>2073</v>
      </c>
      <c r="Z502" s="13" t="s">
        <v>2073</v>
      </c>
      <c r="AA502" s="13" t="s">
        <v>2073</v>
      </c>
      <c r="AB502" s="13" t="s">
        <v>1924</v>
      </c>
      <c r="AC502" s="211" t="s">
        <v>2415</v>
      </c>
      <c r="AD502" s="13" t="s">
        <v>2416</v>
      </c>
      <c r="AE502" s="69" t="e">
        <f>VLOOKUP($B502,#REF!,4,FALSE)</f>
        <v>#REF!</v>
      </c>
      <c r="AF502" s="13" t="s">
        <v>2418</v>
      </c>
      <c r="AG502" s="13" t="s">
        <v>2419</v>
      </c>
      <c r="AH502" s="13" t="s">
        <v>2420</v>
      </c>
      <c r="AI502" s="13" t="s">
        <v>2421</v>
      </c>
      <c r="AJ502" s="13" t="s">
        <v>2422</v>
      </c>
      <c r="AK502" s="13" t="s">
        <v>2416</v>
      </c>
      <c r="AL502" s="13" t="s">
        <v>2077</v>
      </c>
      <c r="AM502" s="13" t="s">
        <v>2077</v>
      </c>
      <c r="AN502" s="13" t="s">
        <v>2077</v>
      </c>
      <c r="AO502" s="13" t="s">
        <v>2077</v>
      </c>
      <c r="AP502" s="13" t="s">
        <v>2077</v>
      </c>
      <c r="AQ502" s="13" t="s">
        <v>2077</v>
      </c>
      <c r="AR502" s="13" t="s">
        <v>2418</v>
      </c>
      <c r="AS502" s="13" t="s">
        <v>2419</v>
      </c>
      <c r="AT502" s="13" t="s">
        <v>2420</v>
      </c>
      <c r="AU502" s="13" t="s">
        <v>2421</v>
      </c>
      <c r="AV502" s="13" t="s">
        <v>2422</v>
      </c>
      <c r="AW502" s="13" t="s">
        <v>2416</v>
      </c>
      <c r="AX502" s="13" t="s">
        <v>2073</v>
      </c>
      <c r="AY502" s="13" t="s">
        <v>2073</v>
      </c>
      <c r="AZ502" s="13" t="s">
        <v>2073</v>
      </c>
      <c r="BA502" s="13" t="s">
        <v>2073</v>
      </c>
      <c r="BB502" s="13" t="s">
        <v>2073</v>
      </c>
      <c r="BC502" s="13" t="s">
        <v>2073</v>
      </c>
    </row>
    <row r="503" spans="1:55" ht="15.75" customHeight="1">
      <c r="A503" s="6">
        <v>2000</v>
      </c>
      <c r="B503" s="7" t="s">
        <v>1454</v>
      </c>
      <c r="C503" s="211" t="s">
        <v>2412</v>
      </c>
      <c r="D503" s="13" t="e">
        <f>VLOOKUP($B503,#REF!,2,FALSE)</f>
        <v>#REF!</v>
      </c>
      <c r="E503" s="13" t="e">
        <f>VLOOKUP($B503,#REF!,10,FALSE)</f>
        <v>#REF!</v>
      </c>
      <c r="F503" s="211" t="s">
        <v>2413</v>
      </c>
      <c r="G503" s="13" t="s">
        <v>2414</v>
      </c>
      <c r="H503" s="13" t="s">
        <v>2077</v>
      </c>
      <c r="I503" s="13" t="s">
        <v>2077</v>
      </c>
      <c r="J503" s="13" t="s">
        <v>2077</v>
      </c>
      <c r="K503" s="13" t="s">
        <v>2077</v>
      </c>
      <c r="L503" s="13" t="s">
        <v>2077</v>
      </c>
      <c r="M503" s="13" t="s">
        <v>2077</v>
      </c>
      <c r="N503" s="211" t="s">
        <v>2415</v>
      </c>
      <c r="O503" s="13" t="s">
        <v>2416</v>
      </c>
      <c r="P503" s="69" t="e">
        <f>VLOOKUP($B503,#REF!,2,FALSE)</f>
        <v>#REF!</v>
      </c>
      <c r="Q503" s="13" t="e">
        <f t="shared" si="398"/>
        <v>#REF!</v>
      </c>
      <c r="R503" s="215" t="e">
        <f>VLOOKUP($B503,#REF!,6,FALSE)</f>
        <v>#REF!</v>
      </c>
      <c r="S503" s="215" t="e">
        <f>VLOOKUP($B503,#REF!,7,FALSE)</f>
        <v>#REF!</v>
      </c>
      <c r="T503" s="13">
        <v>85</v>
      </c>
      <c r="U503" s="167" t="e">
        <f>VLOOKUP($B503,#REF!,9,FALSE)</f>
        <v>#REF!</v>
      </c>
      <c r="V503" s="13">
        <v>1</v>
      </c>
      <c r="W503" s="13" t="s">
        <v>2417</v>
      </c>
      <c r="X503" s="13" t="s">
        <v>1924</v>
      </c>
      <c r="Y503" s="13" t="s">
        <v>2073</v>
      </c>
      <c r="Z503" s="13" t="s">
        <v>2073</v>
      </c>
      <c r="AA503" s="13" t="s">
        <v>2073</v>
      </c>
      <c r="AB503" s="13" t="s">
        <v>1924</v>
      </c>
      <c r="AC503" s="211" t="s">
        <v>2415</v>
      </c>
      <c r="AD503" s="13" t="s">
        <v>2416</v>
      </c>
      <c r="AE503" s="69" t="e">
        <f>VLOOKUP($B503,#REF!,4,FALSE)</f>
        <v>#REF!</v>
      </c>
      <c r="AF503" s="13" t="s">
        <v>2418</v>
      </c>
      <c r="AG503" s="13" t="s">
        <v>2419</v>
      </c>
      <c r="AH503" s="13" t="s">
        <v>2420</v>
      </c>
      <c r="AI503" s="13" t="s">
        <v>2421</v>
      </c>
      <c r="AJ503" s="13" t="s">
        <v>2422</v>
      </c>
      <c r="AK503" s="13" t="s">
        <v>2416</v>
      </c>
      <c r="AL503" s="13" t="s">
        <v>2077</v>
      </c>
      <c r="AM503" s="13" t="s">
        <v>2077</v>
      </c>
      <c r="AN503" s="13" t="s">
        <v>2077</v>
      </c>
      <c r="AO503" s="13" t="s">
        <v>2077</v>
      </c>
      <c r="AP503" s="13" t="s">
        <v>2077</v>
      </c>
      <c r="AQ503" s="13" t="s">
        <v>2077</v>
      </c>
      <c r="AR503" s="13" t="s">
        <v>2418</v>
      </c>
      <c r="AS503" s="13" t="s">
        <v>2419</v>
      </c>
      <c r="AT503" s="13" t="s">
        <v>2420</v>
      </c>
      <c r="AU503" s="13" t="s">
        <v>2421</v>
      </c>
      <c r="AV503" s="13" t="s">
        <v>2422</v>
      </c>
      <c r="AW503" s="13" t="s">
        <v>2416</v>
      </c>
      <c r="AX503" s="13" t="s">
        <v>2073</v>
      </c>
      <c r="AY503" s="13" t="s">
        <v>2073</v>
      </c>
      <c r="AZ503" s="13" t="s">
        <v>2073</v>
      </c>
      <c r="BA503" s="13" t="s">
        <v>2073</v>
      </c>
      <c r="BB503" s="13" t="s">
        <v>2073</v>
      </c>
      <c r="BC503" s="13" t="s">
        <v>2073</v>
      </c>
    </row>
    <row r="504" spans="1:55" ht="15.75" customHeight="1">
      <c r="A504" s="6">
        <v>2000</v>
      </c>
      <c r="B504" s="7" t="s">
        <v>1459</v>
      </c>
      <c r="C504" s="211" t="s">
        <v>2412</v>
      </c>
      <c r="D504" s="13" t="e">
        <f>VLOOKUP($B504,#REF!,2,FALSE)</f>
        <v>#REF!</v>
      </c>
      <c r="E504" s="13" t="e">
        <f>VLOOKUP($B504,#REF!,10,FALSE)</f>
        <v>#REF!</v>
      </c>
      <c r="F504" s="211" t="s">
        <v>2413</v>
      </c>
      <c r="G504" s="13" t="s">
        <v>2414</v>
      </c>
      <c r="H504" s="13" t="s">
        <v>2077</v>
      </c>
      <c r="I504" s="13" t="s">
        <v>2077</v>
      </c>
      <c r="J504" s="13" t="s">
        <v>2077</v>
      </c>
      <c r="K504" s="13" t="s">
        <v>2077</v>
      </c>
      <c r="L504" s="13" t="s">
        <v>2077</v>
      </c>
      <c r="M504" s="13" t="s">
        <v>2077</v>
      </c>
      <c r="N504" s="211" t="s">
        <v>2415</v>
      </c>
      <c r="O504" s="13" t="s">
        <v>2416</v>
      </c>
      <c r="P504" s="69" t="e">
        <f>VLOOKUP($B504,#REF!,2,FALSE)</f>
        <v>#REF!</v>
      </c>
      <c r="Q504" s="13" t="e">
        <f t="shared" si="398"/>
        <v>#REF!</v>
      </c>
      <c r="R504" s="215" t="e">
        <f>VLOOKUP($B504,#REF!,6,FALSE)</f>
        <v>#REF!</v>
      </c>
      <c r="S504" s="215" t="e">
        <f>VLOOKUP($B504,#REF!,7,FALSE)</f>
        <v>#REF!</v>
      </c>
      <c r="T504" s="13">
        <v>85</v>
      </c>
      <c r="U504" s="167" t="e">
        <f>VLOOKUP($B504,#REF!,9,FALSE)</f>
        <v>#REF!</v>
      </c>
      <c r="V504" s="13">
        <v>1</v>
      </c>
      <c r="W504" s="13" t="s">
        <v>2417</v>
      </c>
      <c r="X504" s="13" t="s">
        <v>1924</v>
      </c>
      <c r="Y504" s="13" t="s">
        <v>2073</v>
      </c>
      <c r="Z504" s="13" t="s">
        <v>2073</v>
      </c>
      <c r="AA504" s="13" t="s">
        <v>2073</v>
      </c>
      <c r="AB504" s="13" t="s">
        <v>1924</v>
      </c>
      <c r="AC504" s="211" t="s">
        <v>2415</v>
      </c>
      <c r="AD504" s="13" t="s">
        <v>2416</v>
      </c>
      <c r="AE504" s="69" t="e">
        <f>VLOOKUP($B504,#REF!,4,FALSE)</f>
        <v>#REF!</v>
      </c>
      <c r="AF504" s="13" t="s">
        <v>2418</v>
      </c>
      <c r="AG504" s="13" t="s">
        <v>2419</v>
      </c>
      <c r="AH504" s="13" t="s">
        <v>2420</v>
      </c>
      <c r="AI504" s="13" t="s">
        <v>2421</v>
      </c>
      <c r="AJ504" s="13" t="s">
        <v>2422</v>
      </c>
      <c r="AK504" s="13" t="s">
        <v>2416</v>
      </c>
      <c r="AL504" s="13" t="s">
        <v>2077</v>
      </c>
      <c r="AM504" s="13" t="s">
        <v>2077</v>
      </c>
      <c r="AN504" s="13" t="s">
        <v>2077</v>
      </c>
      <c r="AO504" s="13" t="s">
        <v>2077</v>
      </c>
      <c r="AP504" s="13" t="s">
        <v>2077</v>
      </c>
      <c r="AQ504" s="13" t="s">
        <v>2077</v>
      </c>
      <c r="AR504" s="13" t="s">
        <v>2418</v>
      </c>
      <c r="AS504" s="13" t="s">
        <v>2419</v>
      </c>
      <c r="AT504" s="13" t="s">
        <v>2420</v>
      </c>
      <c r="AU504" s="13" t="s">
        <v>2421</v>
      </c>
      <c r="AV504" s="13" t="s">
        <v>2422</v>
      </c>
      <c r="AW504" s="13" t="s">
        <v>2416</v>
      </c>
      <c r="AX504" s="13" t="s">
        <v>2073</v>
      </c>
      <c r="AY504" s="13" t="s">
        <v>2073</v>
      </c>
      <c r="AZ504" s="13" t="s">
        <v>2073</v>
      </c>
      <c r="BA504" s="13" t="s">
        <v>2073</v>
      </c>
      <c r="BB504" s="13" t="s">
        <v>2073</v>
      </c>
      <c r="BC504" s="13" t="s">
        <v>2073</v>
      </c>
    </row>
    <row r="505" spans="1:55" ht="15.75" customHeight="1">
      <c r="A505" s="6">
        <v>2000</v>
      </c>
      <c r="B505" s="7" t="s">
        <v>1463</v>
      </c>
      <c r="C505" s="211" t="s">
        <v>2412</v>
      </c>
      <c r="D505" s="13" t="e">
        <f>VLOOKUP($B505,#REF!,2,FALSE)</f>
        <v>#REF!</v>
      </c>
      <c r="E505" s="13" t="e">
        <f>VLOOKUP($B505,#REF!,10,FALSE)</f>
        <v>#REF!</v>
      </c>
      <c r="F505" s="211" t="s">
        <v>2413</v>
      </c>
      <c r="G505" s="13" t="s">
        <v>2414</v>
      </c>
      <c r="H505" s="13" t="s">
        <v>2077</v>
      </c>
      <c r="I505" s="13" t="s">
        <v>2077</v>
      </c>
      <c r="J505" s="13" t="s">
        <v>2077</v>
      </c>
      <c r="K505" s="13" t="s">
        <v>2077</v>
      </c>
      <c r="L505" s="13" t="s">
        <v>2077</v>
      </c>
      <c r="M505" s="13" t="s">
        <v>2077</v>
      </c>
      <c r="N505" s="211" t="s">
        <v>2415</v>
      </c>
      <c r="O505" s="13" t="s">
        <v>2416</v>
      </c>
      <c r="P505" s="69" t="e">
        <f>VLOOKUP($B505,#REF!,2,FALSE)</f>
        <v>#REF!</v>
      </c>
      <c r="Q505" s="13" t="e">
        <f t="shared" si="398"/>
        <v>#REF!</v>
      </c>
      <c r="R505" s="215" t="e">
        <f>VLOOKUP($B505,#REF!,6,FALSE)</f>
        <v>#REF!</v>
      </c>
      <c r="S505" s="215" t="e">
        <f>VLOOKUP($B505,#REF!,7,FALSE)</f>
        <v>#REF!</v>
      </c>
      <c r="T505" s="13">
        <v>85</v>
      </c>
      <c r="U505" s="167" t="e">
        <f>VLOOKUP($B505,#REF!,9,FALSE)</f>
        <v>#REF!</v>
      </c>
      <c r="V505" s="13">
        <v>1</v>
      </c>
      <c r="W505" s="13" t="s">
        <v>2417</v>
      </c>
      <c r="X505" s="13" t="s">
        <v>1924</v>
      </c>
      <c r="Y505" s="13" t="s">
        <v>2073</v>
      </c>
      <c r="Z505" s="13" t="s">
        <v>2073</v>
      </c>
      <c r="AA505" s="13" t="s">
        <v>2073</v>
      </c>
      <c r="AB505" s="13" t="s">
        <v>1924</v>
      </c>
      <c r="AC505" s="211" t="s">
        <v>2415</v>
      </c>
      <c r="AD505" s="13" t="s">
        <v>2416</v>
      </c>
      <c r="AE505" s="69" t="e">
        <f>VLOOKUP($B505,#REF!,4,FALSE)</f>
        <v>#REF!</v>
      </c>
      <c r="AF505" s="13" t="s">
        <v>2418</v>
      </c>
      <c r="AG505" s="13" t="s">
        <v>2419</v>
      </c>
      <c r="AH505" s="13" t="s">
        <v>2420</v>
      </c>
      <c r="AI505" s="13" t="s">
        <v>2421</v>
      </c>
      <c r="AJ505" s="13" t="s">
        <v>2422</v>
      </c>
      <c r="AK505" s="13" t="s">
        <v>2416</v>
      </c>
      <c r="AL505" s="13" t="s">
        <v>2077</v>
      </c>
      <c r="AM505" s="13" t="s">
        <v>2077</v>
      </c>
      <c r="AN505" s="13" t="s">
        <v>2077</v>
      </c>
      <c r="AO505" s="13" t="s">
        <v>2077</v>
      </c>
      <c r="AP505" s="13" t="s">
        <v>2077</v>
      </c>
      <c r="AQ505" s="13" t="s">
        <v>2077</v>
      </c>
      <c r="AR505" s="13" t="s">
        <v>2418</v>
      </c>
      <c r="AS505" s="13" t="s">
        <v>2419</v>
      </c>
      <c r="AT505" s="13" t="s">
        <v>2420</v>
      </c>
      <c r="AU505" s="13" t="s">
        <v>2421</v>
      </c>
      <c r="AV505" s="13" t="s">
        <v>2422</v>
      </c>
      <c r="AW505" s="13" t="s">
        <v>2416</v>
      </c>
      <c r="AX505" s="13" t="s">
        <v>2073</v>
      </c>
      <c r="AY505" s="13" t="s">
        <v>2073</v>
      </c>
      <c r="AZ505" s="13" t="s">
        <v>2073</v>
      </c>
      <c r="BA505" s="13" t="s">
        <v>2073</v>
      </c>
      <c r="BB505" s="13" t="s">
        <v>2073</v>
      </c>
      <c r="BC505" s="13" t="s">
        <v>2073</v>
      </c>
    </row>
    <row r="506" spans="1:55" ht="15.75" customHeight="1">
      <c r="A506" s="6">
        <v>2000</v>
      </c>
      <c r="B506" s="7" t="s">
        <v>1467</v>
      </c>
      <c r="C506" s="211" t="s">
        <v>2412</v>
      </c>
      <c r="D506" s="13" t="e">
        <f>VLOOKUP($B506,#REF!,2,FALSE)</f>
        <v>#REF!</v>
      </c>
      <c r="E506" s="13" t="e">
        <f>VLOOKUP($B506,#REF!,10,FALSE)</f>
        <v>#REF!</v>
      </c>
      <c r="F506" s="211" t="s">
        <v>2413</v>
      </c>
      <c r="G506" s="13" t="s">
        <v>2414</v>
      </c>
      <c r="H506" s="13" t="s">
        <v>2077</v>
      </c>
      <c r="I506" s="13" t="s">
        <v>2077</v>
      </c>
      <c r="J506" s="13" t="s">
        <v>2077</v>
      </c>
      <c r="K506" s="13" t="s">
        <v>2077</v>
      </c>
      <c r="L506" s="13" t="s">
        <v>2077</v>
      </c>
      <c r="M506" s="13" t="s">
        <v>2077</v>
      </c>
      <c r="N506" s="211" t="s">
        <v>2415</v>
      </c>
      <c r="O506" s="13" t="s">
        <v>2416</v>
      </c>
      <c r="P506" s="69" t="e">
        <f>VLOOKUP($B506,#REF!,2,FALSE)</f>
        <v>#REF!</v>
      </c>
      <c r="Q506" s="13" t="e">
        <f t="shared" si="398"/>
        <v>#REF!</v>
      </c>
      <c r="R506" s="218" t="e">
        <f>VLOOKUP($B506,#REF!,6,FALSE)</f>
        <v>#REF!</v>
      </c>
      <c r="S506" s="218" t="e">
        <f>VLOOKUP($B506,#REF!,7,FALSE)</f>
        <v>#REF!</v>
      </c>
      <c r="T506" s="13">
        <v>85</v>
      </c>
      <c r="U506" s="219" t="e">
        <f>VLOOKUP($B506,#REF!,9,FALSE)</f>
        <v>#REF!</v>
      </c>
      <c r="V506" s="13">
        <v>1</v>
      </c>
      <c r="W506" s="13" t="s">
        <v>2417</v>
      </c>
      <c r="X506" s="13" t="s">
        <v>1924</v>
      </c>
      <c r="Y506" s="13" t="s">
        <v>2073</v>
      </c>
      <c r="Z506" s="13" t="s">
        <v>2073</v>
      </c>
      <c r="AA506" s="13" t="s">
        <v>2073</v>
      </c>
      <c r="AB506" s="13" t="s">
        <v>1924</v>
      </c>
      <c r="AC506" s="211" t="s">
        <v>2415</v>
      </c>
      <c r="AD506" s="13" t="s">
        <v>2416</v>
      </c>
      <c r="AE506" s="69" t="e">
        <f>VLOOKUP($B506,#REF!,4,FALSE)</f>
        <v>#REF!</v>
      </c>
      <c r="AF506" s="13" t="s">
        <v>2418</v>
      </c>
      <c r="AG506" s="13" t="s">
        <v>2419</v>
      </c>
      <c r="AH506" s="13" t="s">
        <v>2420</v>
      </c>
      <c r="AI506" s="13" t="s">
        <v>2421</v>
      </c>
      <c r="AJ506" s="13" t="s">
        <v>2422</v>
      </c>
      <c r="AK506" s="13" t="s">
        <v>2416</v>
      </c>
      <c r="AL506" s="13" t="s">
        <v>2077</v>
      </c>
      <c r="AM506" s="13" t="s">
        <v>2077</v>
      </c>
      <c r="AN506" s="13" t="s">
        <v>2077</v>
      </c>
      <c r="AO506" s="13" t="s">
        <v>2077</v>
      </c>
      <c r="AP506" s="13" t="s">
        <v>2077</v>
      </c>
      <c r="AQ506" s="13" t="s">
        <v>2077</v>
      </c>
      <c r="AR506" s="13" t="s">
        <v>2418</v>
      </c>
      <c r="AS506" s="13" t="s">
        <v>2419</v>
      </c>
      <c r="AT506" s="13" t="s">
        <v>2420</v>
      </c>
      <c r="AU506" s="13" t="s">
        <v>2421</v>
      </c>
      <c r="AV506" s="13" t="s">
        <v>2422</v>
      </c>
      <c r="AW506" s="13" t="s">
        <v>2416</v>
      </c>
      <c r="AX506" s="13" t="s">
        <v>2073</v>
      </c>
      <c r="AY506" s="13" t="s">
        <v>2073</v>
      </c>
      <c r="AZ506" s="13" t="s">
        <v>2073</v>
      </c>
      <c r="BA506" s="13" t="s">
        <v>2073</v>
      </c>
      <c r="BB506" s="13" t="s">
        <v>2073</v>
      </c>
      <c r="BC506" s="13" t="s">
        <v>2073</v>
      </c>
    </row>
    <row r="507" spans="1:55" ht="15.75" customHeight="1">
      <c r="A507" s="6">
        <v>2000</v>
      </c>
      <c r="B507" s="7" t="s">
        <v>1472</v>
      </c>
      <c r="C507" s="211" t="s">
        <v>2412</v>
      </c>
      <c r="D507" s="13" t="e">
        <f>VLOOKUP($B507,#REF!,2,FALSE)</f>
        <v>#REF!</v>
      </c>
      <c r="E507" s="13" t="e">
        <f>VLOOKUP($B507,#REF!,10,FALSE)</f>
        <v>#REF!</v>
      </c>
      <c r="F507" s="211" t="s">
        <v>2413</v>
      </c>
      <c r="G507" s="13" t="s">
        <v>2414</v>
      </c>
      <c r="H507" s="13" t="s">
        <v>2077</v>
      </c>
      <c r="I507" s="13" t="s">
        <v>2077</v>
      </c>
      <c r="J507" s="13" t="s">
        <v>2077</v>
      </c>
      <c r="K507" s="13" t="s">
        <v>2077</v>
      </c>
      <c r="L507" s="13" t="s">
        <v>2077</v>
      </c>
      <c r="M507" s="13" t="s">
        <v>2077</v>
      </c>
      <c r="N507" s="211" t="s">
        <v>2415</v>
      </c>
      <c r="O507" s="13" t="s">
        <v>2416</v>
      </c>
      <c r="P507" s="69" t="e">
        <f>VLOOKUP($B507,#REF!,2,FALSE)</f>
        <v>#REF!</v>
      </c>
      <c r="Q507" s="13" t="e">
        <f t="shared" si="398"/>
        <v>#REF!</v>
      </c>
      <c r="R507" s="218" t="e">
        <f>VLOOKUP($B507,#REF!,6,FALSE)</f>
        <v>#REF!</v>
      </c>
      <c r="S507" s="218" t="e">
        <f>VLOOKUP($B507,#REF!,7,FALSE)</f>
        <v>#REF!</v>
      </c>
      <c r="T507" s="13">
        <v>85</v>
      </c>
      <c r="U507" s="219" t="e">
        <f>VLOOKUP($B507,#REF!,9,FALSE)</f>
        <v>#REF!</v>
      </c>
      <c r="V507" s="13">
        <v>1</v>
      </c>
      <c r="W507" s="13" t="s">
        <v>2417</v>
      </c>
      <c r="X507" s="13" t="s">
        <v>1924</v>
      </c>
      <c r="Y507" s="13" t="s">
        <v>2073</v>
      </c>
      <c r="Z507" s="13" t="s">
        <v>2073</v>
      </c>
      <c r="AA507" s="13" t="s">
        <v>2073</v>
      </c>
      <c r="AB507" s="13" t="s">
        <v>1924</v>
      </c>
      <c r="AC507" s="211" t="s">
        <v>2415</v>
      </c>
      <c r="AD507" s="13" t="s">
        <v>2416</v>
      </c>
      <c r="AE507" s="69" t="e">
        <f>VLOOKUP($B507,#REF!,4,FALSE)</f>
        <v>#REF!</v>
      </c>
      <c r="AF507" s="13" t="s">
        <v>2418</v>
      </c>
      <c r="AG507" s="13" t="s">
        <v>2419</v>
      </c>
      <c r="AH507" s="13" t="s">
        <v>2420</v>
      </c>
      <c r="AI507" s="13" t="s">
        <v>2421</v>
      </c>
      <c r="AJ507" s="13" t="s">
        <v>2422</v>
      </c>
      <c r="AK507" s="13" t="s">
        <v>2416</v>
      </c>
      <c r="AL507" s="13" t="s">
        <v>2077</v>
      </c>
      <c r="AM507" s="13" t="s">
        <v>2077</v>
      </c>
      <c r="AN507" s="13" t="s">
        <v>2077</v>
      </c>
      <c r="AO507" s="13" t="s">
        <v>2077</v>
      </c>
      <c r="AP507" s="13" t="s">
        <v>2077</v>
      </c>
      <c r="AQ507" s="13" t="s">
        <v>2077</v>
      </c>
      <c r="AR507" s="13" t="s">
        <v>2418</v>
      </c>
      <c r="AS507" s="13" t="s">
        <v>2419</v>
      </c>
      <c r="AT507" s="13" t="s">
        <v>2420</v>
      </c>
      <c r="AU507" s="13" t="s">
        <v>2421</v>
      </c>
      <c r="AV507" s="13" t="s">
        <v>2422</v>
      </c>
      <c r="AW507" s="13" t="s">
        <v>2416</v>
      </c>
      <c r="AX507" s="13" t="s">
        <v>2073</v>
      </c>
      <c r="AY507" s="13" t="s">
        <v>2073</v>
      </c>
      <c r="AZ507" s="13" t="s">
        <v>2073</v>
      </c>
      <c r="BA507" s="13" t="s">
        <v>2073</v>
      </c>
      <c r="BB507" s="13" t="s">
        <v>2073</v>
      </c>
      <c r="BC507" s="13" t="s">
        <v>2073</v>
      </c>
    </row>
    <row r="508" spans="1:55" ht="15.75" customHeight="1">
      <c r="A508" s="6">
        <v>2000</v>
      </c>
      <c r="B508" s="7" t="s">
        <v>1476</v>
      </c>
      <c r="C508" s="211" t="s">
        <v>2412</v>
      </c>
      <c r="D508" s="13" t="e">
        <f>VLOOKUP($B508,#REF!,2,FALSE)</f>
        <v>#REF!</v>
      </c>
      <c r="E508" s="13" t="e">
        <f>VLOOKUP($B508,#REF!,10,FALSE)</f>
        <v>#REF!</v>
      </c>
      <c r="F508" s="211" t="s">
        <v>2413</v>
      </c>
      <c r="G508" s="13" t="s">
        <v>2414</v>
      </c>
      <c r="H508" s="13" t="s">
        <v>2077</v>
      </c>
      <c r="I508" s="13" t="s">
        <v>2077</v>
      </c>
      <c r="J508" s="13" t="s">
        <v>2077</v>
      </c>
      <c r="K508" s="13" t="s">
        <v>2077</v>
      </c>
      <c r="L508" s="13" t="s">
        <v>2077</v>
      </c>
      <c r="M508" s="13" t="s">
        <v>2077</v>
      </c>
      <c r="N508" s="211" t="s">
        <v>2415</v>
      </c>
      <c r="O508" s="13" t="s">
        <v>2416</v>
      </c>
      <c r="P508" s="69" t="e">
        <f>VLOOKUP($B508,#REF!,2,FALSE)</f>
        <v>#REF!</v>
      </c>
      <c r="Q508" s="13" t="e">
        <f t="shared" si="398"/>
        <v>#REF!</v>
      </c>
      <c r="R508" s="218" t="e">
        <f>VLOOKUP($B508,#REF!,6,FALSE)</f>
        <v>#REF!</v>
      </c>
      <c r="S508" s="218" t="e">
        <f>VLOOKUP($B508,#REF!,7,FALSE)</f>
        <v>#REF!</v>
      </c>
      <c r="T508" s="13">
        <v>85</v>
      </c>
      <c r="U508" s="219" t="e">
        <f>VLOOKUP($B508,#REF!,9,FALSE)</f>
        <v>#REF!</v>
      </c>
      <c r="V508" s="13">
        <v>1</v>
      </c>
      <c r="W508" s="13" t="s">
        <v>2417</v>
      </c>
      <c r="X508" s="13" t="s">
        <v>1924</v>
      </c>
      <c r="Y508" s="13" t="s">
        <v>2073</v>
      </c>
      <c r="Z508" s="13" t="s">
        <v>2073</v>
      </c>
      <c r="AA508" s="13" t="s">
        <v>2073</v>
      </c>
      <c r="AB508" s="13" t="s">
        <v>1924</v>
      </c>
      <c r="AC508" s="211" t="s">
        <v>2415</v>
      </c>
      <c r="AD508" s="13" t="s">
        <v>2416</v>
      </c>
      <c r="AE508" s="69" t="e">
        <f>VLOOKUP($B508,#REF!,4,FALSE)</f>
        <v>#REF!</v>
      </c>
      <c r="AF508" s="13" t="s">
        <v>2418</v>
      </c>
      <c r="AG508" s="13" t="s">
        <v>2419</v>
      </c>
      <c r="AH508" s="13" t="s">
        <v>2420</v>
      </c>
      <c r="AI508" s="13" t="s">
        <v>2421</v>
      </c>
      <c r="AJ508" s="13" t="s">
        <v>2422</v>
      </c>
      <c r="AK508" s="13" t="s">
        <v>2416</v>
      </c>
      <c r="AL508" s="13" t="s">
        <v>2077</v>
      </c>
      <c r="AM508" s="13" t="s">
        <v>2077</v>
      </c>
      <c r="AN508" s="13" t="s">
        <v>2077</v>
      </c>
      <c r="AO508" s="13" t="s">
        <v>2077</v>
      </c>
      <c r="AP508" s="13" t="s">
        <v>2077</v>
      </c>
      <c r="AQ508" s="13" t="s">
        <v>2077</v>
      </c>
      <c r="AR508" s="13" t="s">
        <v>2418</v>
      </c>
      <c r="AS508" s="13" t="s">
        <v>2419</v>
      </c>
      <c r="AT508" s="13" t="s">
        <v>2420</v>
      </c>
      <c r="AU508" s="13" t="s">
        <v>2421</v>
      </c>
      <c r="AV508" s="13" t="s">
        <v>2422</v>
      </c>
      <c r="AW508" s="13" t="s">
        <v>2416</v>
      </c>
      <c r="AX508" s="13" t="s">
        <v>2073</v>
      </c>
      <c r="AY508" s="13" t="s">
        <v>2073</v>
      </c>
      <c r="AZ508" s="13" t="s">
        <v>2073</v>
      </c>
      <c r="BA508" s="13" t="s">
        <v>2073</v>
      </c>
      <c r="BB508" s="13" t="s">
        <v>2073</v>
      </c>
      <c r="BC508" s="13" t="s">
        <v>2073</v>
      </c>
    </row>
    <row r="509" spans="1:55" ht="15.75" customHeight="1">
      <c r="A509" s="6">
        <v>2000</v>
      </c>
      <c r="B509" s="7" t="s">
        <v>1480</v>
      </c>
      <c r="C509" s="211" t="s">
        <v>2412</v>
      </c>
      <c r="D509" s="13" t="e">
        <f>VLOOKUP($B509,#REF!,2,FALSE)</f>
        <v>#REF!</v>
      </c>
      <c r="E509" s="13" t="e">
        <f>VLOOKUP($B509,#REF!,10,FALSE)</f>
        <v>#REF!</v>
      </c>
      <c r="F509" s="211" t="s">
        <v>2413</v>
      </c>
      <c r="G509" s="13" t="s">
        <v>2414</v>
      </c>
      <c r="H509" s="13" t="s">
        <v>2077</v>
      </c>
      <c r="I509" s="13" t="s">
        <v>2077</v>
      </c>
      <c r="J509" s="13" t="s">
        <v>2077</v>
      </c>
      <c r="K509" s="13" t="s">
        <v>2077</v>
      </c>
      <c r="L509" s="13" t="s">
        <v>2077</v>
      </c>
      <c r="M509" s="13" t="s">
        <v>2077</v>
      </c>
      <c r="N509" s="211" t="s">
        <v>2415</v>
      </c>
      <c r="O509" s="13" t="s">
        <v>2416</v>
      </c>
      <c r="P509" s="69" t="e">
        <f>VLOOKUP($B509,#REF!,2,FALSE)</f>
        <v>#REF!</v>
      </c>
      <c r="Q509" s="13" t="e">
        <f t="shared" si="398"/>
        <v>#REF!</v>
      </c>
      <c r="R509" s="218" t="e">
        <f>VLOOKUP($B509,#REF!,6,FALSE)</f>
        <v>#REF!</v>
      </c>
      <c r="S509" s="218" t="e">
        <f>VLOOKUP($B509,#REF!,7,FALSE)</f>
        <v>#REF!</v>
      </c>
      <c r="T509" s="13">
        <v>85</v>
      </c>
      <c r="U509" s="219" t="e">
        <f>VLOOKUP($B509,#REF!,9,FALSE)</f>
        <v>#REF!</v>
      </c>
      <c r="V509" s="13">
        <v>1</v>
      </c>
      <c r="W509" s="13" t="s">
        <v>2417</v>
      </c>
      <c r="X509" s="13" t="s">
        <v>1924</v>
      </c>
      <c r="Y509" s="13" t="s">
        <v>2073</v>
      </c>
      <c r="Z509" s="13" t="s">
        <v>2073</v>
      </c>
      <c r="AA509" s="13" t="s">
        <v>2073</v>
      </c>
      <c r="AB509" s="13" t="s">
        <v>1924</v>
      </c>
      <c r="AC509" s="211" t="s">
        <v>2415</v>
      </c>
      <c r="AD509" s="13" t="s">
        <v>2416</v>
      </c>
      <c r="AE509" s="69" t="e">
        <f>VLOOKUP($B509,#REF!,4,FALSE)</f>
        <v>#REF!</v>
      </c>
      <c r="AF509" s="13" t="s">
        <v>2418</v>
      </c>
      <c r="AG509" s="13" t="s">
        <v>2419</v>
      </c>
      <c r="AH509" s="13" t="s">
        <v>2420</v>
      </c>
      <c r="AI509" s="13" t="s">
        <v>2421</v>
      </c>
      <c r="AJ509" s="13" t="s">
        <v>2422</v>
      </c>
      <c r="AK509" s="13" t="s">
        <v>2416</v>
      </c>
      <c r="AL509" s="13" t="s">
        <v>2077</v>
      </c>
      <c r="AM509" s="13" t="s">
        <v>2077</v>
      </c>
      <c r="AN509" s="13" t="s">
        <v>2077</v>
      </c>
      <c r="AO509" s="13" t="s">
        <v>2077</v>
      </c>
      <c r="AP509" s="13" t="s">
        <v>2077</v>
      </c>
      <c r="AQ509" s="13" t="s">
        <v>2077</v>
      </c>
      <c r="AR509" s="13" t="s">
        <v>2418</v>
      </c>
      <c r="AS509" s="13" t="s">
        <v>2419</v>
      </c>
      <c r="AT509" s="13" t="s">
        <v>2420</v>
      </c>
      <c r="AU509" s="13" t="s">
        <v>2421</v>
      </c>
      <c r="AV509" s="13" t="s">
        <v>2422</v>
      </c>
      <c r="AW509" s="13" t="s">
        <v>2416</v>
      </c>
      <c r="AX509" s="13" t="s">
        <v>2073</v>
      </c>
      <c r="AY509" s="13" t="s">
        <v>2073</v>
      </c>
      <c r="AZ509" s="13" t="s">
        <v>2073</v>
      </c>
      <c r="BA509" s="13" t="s">
        <v>2073</v>
      </c>
      <c r="BB509" s="13" t="s">
        <v>2073</v>
      </c>
      <c r="BC509" s="13" t="s">
        <v>2073</v>
      </c>
    </row>
    <row r="510" spans="1:55" ht="15.75" customHeight="1">
      <c r="A510" s="6">
        <v>2000</v>
      </c>
      <c r="B510" s="7" t="s">
        <v>1486</v>
      </c>
      <c r="C510" s="211" t="s">
        <v>2412</v>
      </c>
      <c r="D510" s="13" t="e">
        <f>VLOOKUP($B510,#REF!,2,FALSE)</f>
        <v>#REF!</v>
      </c>
      <c r="E510" s="13" t="e">
        <f>VLOOKUP($B510,#REF!,10,FALSE)</f>
        <v>#REF!</v>
      </c>
      <c r="F510" s="211" t="s">
        <v>2413</v>
      </c>
      <c r="G510" s="13" t="s">
        <v>2414</v>
      </c>
      <c r="H510" s="13" t="s">
        <v>2077</v>
      </c>
      <c r="I510" s="13" t="s">
        <v>2077</v>
      </c>
      <c r="J510" s="13" t="s">
        <v>2077</v>
      </c>
      <c r="K510" s="13" t="s">
        <v>2077</v>
      </c>
      <c r="L510" s="13" t="s">
        <v>2077</v>
      </c>
      <c r="M510" s="13" t="s">
        <v>2077</v>
      </c>
      <c r="N510" s="211" t="s">
        <v>2415</v>
      </c>
      <c r="O510" s="13" t="s">
        <v>2416</v>
      </c>
      <c r="P510" s="69" t="e">
        <f>VLOOKUP($B510,#REF!,2,FALSE)</f>
        <v>#REF!</v>
      </c>
      <c r="Q510" s="13" t="e">
        <f t="shared" si="398"/>
        <v>#REF!</v>
      </c>
      <c r="R510" s="218" t="e">
        <f>VLOOKUP($B510,#REF!,6,FALSE)</f>
        <v>#REF!</v>
      </c>
      <c r="S510" s="218" t="e">
        <f>VLOOKUP($B510,#REF!,7,FALSE)</f>
        <v>#REF!</v>
      </c>
      <c r="T510" s="13">
        <v>85</v>
      </c>
      <c r="U510" s="219" t="e">
        <f>VLOOKUP($B510,#REF!,9,FALSE)</f>
        <v>#REF!</v>
      </c>
      <c r="V510" s="13">
        <v>1</v>
      </c>
      <c r="W510" s="13" t="s">
        <v>2417</v>
      </c>
      <c r="X510" s="13" t="s">
        <v>1924</v>
      </c>
      <c r="Y510" s="13" t="s">
        <v>2073</v>
      </c>
      <c r="Z510" s="13" t="s">
        <v>2073</v>
      </c>
      <c r="AA510" s="13" t="s">
        <v>2073</v>
      </c>
      <c r="AB510" s="13" t="s">
        <v>1924</v>
      </c>
      <c r="AC510" s="211" t="s">
        <v>2415</v>
      </c>
      <c r="AD510" s="13" t="s">
        <v>2416</v>
      </c>
      <c r="AE510" s="69" t="e">
        <f>VLOOKUP($B510,#REF!,4,FALSE)</f>
        <v>#REF!</v>
      </c>
      <c r="AF510" s="13" t="s">
        <v>2418</v>
      </c>
      <c r="AG510" s="13" t="s">
        <v>2419</v>
      </c>
      <c r="AH510" s="13" t="s">
        <v>2420</v>
      </c>
      <c r="AI510" s="13" t="s">
        <v>2421</v>
      </c>
      <c r="AJ510" s="13" t="s">
        <v>2422</v>
      </c>
      <c r="AK510" s="13" t="s">
        <v>2416</v>
      </c>
      <c r="AL510" s="13" t="s">
        <v>2077</v>
      </c>
      <c r="AM510" s="13" t="s">
        <v>2077</v>
      </c>
      <c r="AN510" s="13" t="s">
        <v>2077</v>
      </c>
      <c r="AO510" s="13" t="s">
        <v>2077</v>
      </c>
      <c r="AP510" s="13" t="s">
        <v>2077</v>
      </c>
      <c r="AQ510" s="13" t="s">
        <v>2077</v>
      </c>
      <c r="AR510" s="13" t="s">
        <v>2418</v>
      </c>
      <c r="AS510" s="13" t="s">
        <v>2419</v>
      </c>
      <c r="AT510" s="13" t="s">
        <v>2420</v>
      </c>
      <c r="AU510" s="13" t="s">
        <v>2421</v>
      </c>
      <c r="AV510" s="13" t="s">
        <v>2422</v>
      </c>
      <c r="AW510" s="13" t="s">
        <v>2416</v>
      </c>
      <c r="AX510" s="13" t="s">
        <v>2073</v>
      </c>
      <c r="AY510" s="13" t="s">
        <v>2073</v>
      </c>
      <c r="AZ510" s="13" t="s">
        <v>2073</v>
      </c>
      <c r="BA510" s="13" t="s">
        <v>2073</v>
      </c>
      <c r="BB510" s="13" t="s">
        <v>2073</v>
      </c>
      <c r="BC510" s="13" t="s">
        <v>2073</v>
      </c>
    </row>
    <row r="511" spans="1:55" ht="15.75" customHeight="1">
      <c r="A511" s="6">
        <v>2000</v>
      </c>
      <c r="B511" s="7" t="s">
        <v>1489</v>
      </c>
      <c r="C511" s="211" t="s">
        <v>2412</v>
      </c>
      <c r="D511" s="13" t="e">
        <f>VLOOKUP($B511,#REF!,2,FALSE)</f>
        <v>#REF!</v>
      </c>
      <c r="E511" s="13" t="e">
        <f>VLOOKUP($B511,#REF!,10,FALSE)</f>
        <v>#REF!</v>
      </c>
      <c r="F511" s="211" t="s">
        <v>2413</v>
      </c>
      <c r="G511" s="13" t="s">
        <v>2414</v>
      </c>
      <c r="H511" s="13" t="s">
        <v>2077</v>
      </c>
      <c r="I511" s="13" t="s">
        <v>2077</v>
      </c>
      <c r="J511" s="13" t="s">
        <v>2077</v>
      </c>
      <c r="K511" s="13" t="s">
        <v>2077</v>
      </c>
      <c r="L511" s="13" t="s">
        <v>2077</v>
      </c>
      <c r="M511" s="13" t="s">
        <v>2077</v>
      </c>
      <c r="N511" s="211" t="s">
        <v>2415</v>
      </c>
      <c r="O511" s="13" t="s">
        <v>2416</v>
      </c>
      <c r="P511" s="69" t="e">
        <f>VLOOKUP($B511,#REF!,2,FALSE)</f>
        <v>#REF!</v>
      </c>
      <c r="Q511" s="13" t="e">
        <f t="shared" si="398"/>
        <v>#REF!</v>
      </c>
      <c r="R511" s="218" t="e">
        <f>VLOOKUP($B511,#REF!,6,FALSE)</f>
        <v>#REF!</v>
      </c>
      <c r="S511" s="218" t="e">
        <f>VLOOKUP($B511,#REF!,7,FALSE)</f>
        <v>#REF!</v>
      </c>
      <c r="T511" s="13">
        <v>85</v>
      </c>
      <c r="U511" s="219" t="e">
        <f>VLOOKUP($B511,#REF!,9,FALSE)</f>
        <v>#REF!</v>
      </c>
      <c r="V511" s="13">
        <v>1</v>
      </c>
      <c r="W511" s="13" t="s">
        <v>2417</v>
      </c>
      <c r="X511" s="13" t="s">
        <v>1924</v>
      </c>
      <c r="Y511" s="13" t="s">
        <v>2073</v>
      </c>
      <c r="Z511" s="13" t="s">
        <v>2073</v>
      </c>
      <c r="AA511" s="13" t="s">
        <v>2073</v>
      </c>
      <c r="AB511" s="13" t="s">
        <v>1924</v>
      </c>
      <c r="AC511" s="211" t="s">
        <v>2415</v>
      </c>
      <c r="AD511" s="13" t="s">
        <v>2416</v>
      </c>
      <c r="AE511" s="69" t="e">
        <f>VLOOKUP($B511,#REF!,4,FALSE)</f>
        <v>#REF!</v>
      </c>
      <c r="AF511" s="13" t="s">
        <v>2418</v>
      </c>
      <c r="AG511" s="13" t="s">
        <v>2419</v>
      </c>
      <c r="AH511" s="13" t="s">
        <v>2420</v>
      </c>
      <c r="AI511" s="13" t="s">
        <v>2421</v>
      </c>
      <c r="AJ511" s="13" t="s">
        <v>2422</v>
      </c>
      <c r="AK511" s="13" t="s">
        <v>2416</v>
      </c>
      <c r="AL511" s="13" t="s">
        <v>2077</v>
      </c>
      <c r="AM511" s="13" t="s">
        <v>2077</v>
      </c>
      <c r="AN511" s="13" t="s">
        <v>2077</v>
      </c>
      <c r="AO511" s="13" t="s">
        <v>2077</v>
      </c>
      <c r="AP511" s="13" t="s">
        <v>2077</v>
      </c>
      <c r="AQ511" s="13" t="s">
        <v>2077</v>
      </c>
      <c r="AR511" s="13" t="s">
        <v>2418</v>
      </c>
      <c r="AS511" s="13" t="s">
        <v>2419</v>
      </c>
      <c r="AT511" s="13" t="s">
        <v>2420</v>
      </c>
      <c r="AU511" s="13" t="s">
        <v>2421</v>
      </c>
      <c r="AV511" s="13" t="s">
        <v>2422</v>
      </c>
      <c r="AW511" s="13" t="s">
        <v>2416</v>
      </c>
      <c r="AX511" s="13" t="s">
        <v>2073</v>
      </c>
      <c r="AY511" s="13" t="s">
        <v>2073</v>
      </c>
      <c r="AZ511" s="13" t="s">
        <v>2073</v>
      </c>
      <c r="BA511" s="13" t="s">
        <v>2073</v>
      </c>
      <c r="BB511" s="13" t="s">
        <v>2073</v>
      </c>
      <c r="BC511" s="13" t="s">
        <v>2073</v>
      </c>
    </row>
    <row r="512" spans="1:55" ht="15.75" customHeight="1">
      <c r="A512" s="6">
        <v>2000</v>
      </c>
      <c r="B512" s="7" t="s">
        <v>1492</v>
      </c>
      <c r="C512" s="211" t="s">
        <v>2412</v>
      </c>
      <c r="D512" s="13" t="e">
        <f>VLOOKUP($B512,#REF!,2,FALSE)</f>
        <v>#REF!</v>
      </c>
      <c r="E512" s="13" t="e">
        <f>VLOOKUP($B512,#REF!,10,FALSE)</f>
        <v>#REF!</v>
      </c>
      <c r="F512" s="211" t="s">
        <v>2413</v>
      </c>
      <c r="G512" s="13" t="s">
        <v>2414</v>
      </c>
      <c r="H512" s="13" t="s">
        <v>2077</v>
      </c>
      <c r="I512" s="13" t="s">
        <v>2077</v>
      </c>
      <c r="J512" s="13" t="s">
        <v>2077</v>
      </c>
      <c r="K512" s="13" t="s">
        <v>2077</v>
      </c>
      <c r="L512" s="13" t="s">
        <v>2077</v>
      </c>
      <c r="M512" s="13" t="s">
        <v>2077</v>
      </c>
      <c r="N512" s="211" t="s">
        <v>2415</v>
      </c>
      <c r="O512" s="13" t="s">
        <v>2416</v>
      </c>
      <c r="P512" s="69" t="e">
        <f>VLOOKUP($B512,#REF!,2,FALSE)</f>
        <v>#REF!</v>
      </c>
      <c r="Q512" s="13" t="e">
        <f t="shared" si="398"/>
        <v>#REF!</v>
      </c>
      <c r="R512" s="218" t="e">
        <f>VLOOKUP($B512,#REF!,6,FALSE)</f>
        <v>#REF!</v>
      </c>
      <c r="S512" s="218" t="e">
        <f>VLOOKUP($B512,#REF!,7,FALSE)</f>
        <v>#REF!</v>
      </c>
      <c r="T512" s="13">
        <v>85</v>
      </c>
      <c r="U512" s="219" t="e">
        <f>VLOOKUP($B512,#REF!,9,FALSE)</f>
        <v>#REF!</v>
      </c>
      <c r="V512" s="13">
        <v>1</v>
      </c>
      <c r="W512" s="13" t="s">
        <v>2417</v>
      </c>
      <c r="X512" s="13" t="s">
        <v>1924</v>
      </c>
      <c r="Y512" s="13" t="s">
        <v>2073</v>
      </c>
      <c r="Z512" s="13" t="s">
        <v>2073</v>
      </c>
      <c r="AA512" s="13" t="s">
        <v>2073</v>
      </c>
      <c r="AB512" s="13" t="s">
        <v>1924</v>
      </c>
      <c r="AC512" s="211" t="s">
        <v>2415</v>
      </c>
      <c r="AD512" s="13" t="s">
        <v>2416</v>
      </c>
      <c r="AE512" s="69" t="e">
        <f>VLOOKUP($B512,#REF!,4,FALSE)</f>
        <v>#REF!</v>
      </c>
      <c r="AF512" s="13" t="s">
        <v>2418</v>
      </c>
      <c r="AG512" s="13" t="s">
        <v>2419</v>
      </c>
      <c r="AH512" s="13" t="s">
        <v>2420</v>
      </c>
      <c r="AI512" s="13" t="s">
        <v>2421</v>
      </c>
      <c r="AJ512" s="13" t="s">
        <v>2422</v>
      </c>
      <c r="AK512" s="13" t="s">
        <v>2416</v>
      </c>
      <c r="AL512" s="13" t="s">
        <v>2077</v>
      </c>
      <c r="AM512" s="13" t="s">
        <v>2077</v>
      </c>
      <c r="AN512" s="13" t="s">
        <v>2077</v>
      </c>
      <c r="AO512" s="13" t="s">
        <v>2077</v>
      </c>
      <c r="AP512" s="13" t="s">
        <v>2077</v>
      </c>
      <c r="AQ512" s="13" t="s">
        <v>2077</v>
      </c>
      <c r="AR512" s="13" t="s">
        <v>2418</v>
      </c>
      <c r="AS512" s="13" t="s">
        <v>2419</v>
      </c>
      <c r="AT512" s="13" t="s">
        <v>2420</v>
      </c>
      <c r="AU512" s="13" t="s">
        <v>2421</v>
      </c>
      <c r="AV512" s="13" t="s">
        <v>2422</v>
      </c>
      <c r="AW512" s="13" t="s">
        <v>2416</v>
      </c>
      <c r="AX512" s="13" t="s">
        <v>2073</v>
      </c>
      <c r="AY512" s="13" t="s">
        <v>2073</v>
      </c>
      <c r="AZ512" s="13" t="s">
        <v>2073</v>
      </c>
      <c r="BA512" s="13" t="s">
        <v>2073</v>
      </c>
      <c r="BB512" s="13" t="s">
        <v>2073</v>
      </c>
      <c r="BC512" s="13" t="s">
        <v>2073</v>
      </c>
    </row>
    <row r="513" spans="1:55" ht="15.75" customHeight="1">
      <c r="A513" s="6">
        <v>2000</v>
      </c>
      <c r="B513" s="7" t="s">
        <v>1495</v>
      </c>
      <c r="C513" s="211" t="s">
        <v>2412</v>
      </c>
      <c r="D513" s="13" t="e">
        <f>VLOOKUP($B513,#REF!,2,FALSE)</f>
        <v>#REF!</v>
      </c>
      <c r="E513" s="13" t="e">
        <f>VLOOKUP($B513,#REF!,10,FALSE)</f>
        <v>#REF!</v>
      </c>
      <c r="F513" s="211" t="s">
        <v>2413</v>
      </c>
      <c r="G513" s="13" t="s">
        <v>2414</v>
      </c>
      <c r="H513" s="13" t="s">
        <v>2077</v>
      </c>
      <c r="I513" s="13" t="s">
        <v>2077</v>
      </c>
      <c r="J513" s="13" t="s">
        <v>2077</v>
      </c>
      <c r="K513" s="13" t="s">
        <v>2077</v>
      </c>
      <c r="L513" s="13" t="s">
        <v>2077</v>
      </c>
      <c r="M513" s="13" t="s">
        <v>2077</v>
      </c>
      <c r="N513" s="211" t="s">
        <v>2415</v>
      </c>
      <c r="O513" s="13" t="s">
        <v>2416</v>
      </c>
      <c r="P513" s="69" t="e">
        <f>VLOOKUP($B513,#REF!,2,FALSE)</f>
        <v>#REF!</v>
      </c>
      <c r="Q513" s="13" t="e">
        <f t="shared" si="398"/>
        <v>#REF!</v>
      </c>
      <c r="R513" s="218" t="e">
        <f>VLOOKUP($B513,#REF!,6,FALSE)</f>
        <v>#REF!</v>
      </c>
      <c r="S513" s="218" t="e">
        <f>VLOOKUP($B513,#REF!,7,FALSE)</f>
        <v>#REF!</v>
      </c>
      <c r="T513" s="13">
        <v>85</v>
      </c>
      <c r="U513" s="219" t="e">
        <f>VLOOKUP($B513,#REF!,9,FALSE)</f>
        <v>#REF!</v>
      </c>
      <c r="V513" s="13">
        <v>1</v>
      </c>
      <c r="W513" s="13" t="s">
        <v>2417</v>
      </c>
      <c r="X513" s="13" t="s">
        <v>1924</v>
      </c>
      <c r="Y513" s="13" t="s">
        <v>2073</v>
      </c>
      <c r="Z513" s="13" t="s">
        <v>2073</v>
      </c>
      <c r="AA513" s="13" t="s">
        <v>2073</v>
      </c>
      <c r="AB513" s="13" t="s">
        <v>1924</v>
      </c>
      <c r="AC513" s="211" t="s">
        <v>2415</v>
      </c>
      <c r="AD513" s="13" t="s">
        <v>2416</v>
      </c>
      <c r="AE513" s="69" t="e">
        <f>VLOOKUP($B513,#REF!,4,FALSE)</f>
        <v>#REF!</v>
      </c>
      <c r="AF513" s="13" t="s">
        <v>2418</v>
      </c>
      <c r="AG513" s="13" t="s">
        <v>2419</v>
      </c>
      <c r="AH513" s="13" t="s">
        <v>2420</v>
      </c>
      <c r="AI513" s="13" t="s">
        <v>2421</v>
      </c>
      <c r="AJ513" s="13" t="s">
        <v>2422</v>
      </c>
      <c r="AK513" s="13" t="s">
        <v>2416</v>
      </c>
      <c r="AL513" s="13" t="s">
        <v>2077</v>
      </c>
      <c r="AM513" s="13" t="s">
        <v>2077</v>
      </c>
      <c r="AN513" s="13" t="s">
        <v>2077</v>
      </c>
      <c r="AO513" s="13" t="s">
        <v>2077</v>
      </c>
      <c r="AP513" s="13" t="s">
        <v>2077</v>
      </c>
      <c r="AQ513" s="13" t="s">
        <v>2077</v>
      </c>
      <c r="AR513" s="13" t="s">
        <v>2418</v>
      </c>
      <c r="AS513" s="13" t="s">
        <v>2419</v>
      </c>
      <c r="AT513" s="13" t="s">
        <v>2420</v>
      </c>
      <c r="AU513" s="13" t="s">
        <v>2421</v>
      </c>
      <c r="AV513" s="13" t="s">
        <v>2422</v>
      </c>
      <c r="AW513" s="13" t="s">
        <v>2416</v>
      </c>
      <c r="AX513" s="13" t="s">
        <v>2073</v>
      </c>
      <c r="AY513" s="13" t="s">
        <v>2073</v>
      </c>
      <c r="AZ513" s="13" t="s">
        <v>2073</v>
      </c>
      <c r="BA513" s="13" t="s">
        <v>2073</v>
      </c>
      <c r="BB513" s="13" t="s">
        <v>2073</v>
      </c>
      <c r="BC513" s="13" t="s">
        <v>2073</v>
      </c>
    </row>
    <row r="514" spans="1:55" ht="15.75" customHeight="1">
      <c r="A514" s="6">
        <v>2000</v>
      </c>
      <c r="B514" s="7" t="s">
        <v>1498</v>
      </c>
      <c r="C514" s="211" t="s">
        <v>2412</v>
      </c>
      <c r="D514" s="13" t="e">
        <f>VLOOKUP($B514,#REF!,2,FALSE)</f>
        <v>#REF!</v>
      </c>
      <c r="E514" s="13" t="e">
        <f>VLOOKUP($B514,#REF!,10,FALSE)</f>
        <v>#REF!</v>
      </c>
      <c r="F514" s="211" t="s">
        <v>2413</v>
      </c>
      <c r="G514" s="13" t="s">
        <v>2414</v>
      </c>
      <c r="H514" s="13" t="s">
        <v>2077</v>
      </c>
      <c r="I514" s="13" t="s">
        <v>2077</v>
      </c>
      <c r="J514" s="13" t="s">
        <v>2077</v>
      </c>
      <c r="K514" s="13" t="s">
        <v>2077</v>
      </c>
      <c r="L514" s="13" t="s">
        <v>2077</v>
      </c>
      <c r="M514" s="13" t="s">
        <v>2077</v>
      </c>
      <c r="N514" s="211" t="s">
        <v>2415</v>
      </c>
      <c r="O514" s="13" t="s">
        <v>2416</v>
      </c>
      <c r="P514" s="69" t="e">
        <f>VLOOKUP($B514,#REF!,2,FALSE)</f>
        <v>#REF!</v>
      </c>
      <c r="Q514" s="13" t="e">
        <f t="shared" si="398"/>
        <v>#REF!</v>
      </c>
      <c r="R514" s="218" t="e">
        <f>VLOOKUP($B514,#REF!,6,FALSE)</f>
        <v>#REF!</v>
      </c>
      <c r="S514" s="218" t="e">
        <f>VLOOKUP($B514,#REF!,7,FALSE)</f>
        <v>#REF!</v>
      </c>
      <c r="T514" s="13">
        <v>85</v>
      </c>
      <c r="U514" s="219" t="e">
        <f>VLOOKUP($B514,#REF!,9,FALSE)</f>
        <v>#REF!</v>
      </c>
      <c r="V514" s="13">
        <v>1</v>
      </c>
      <c r="W514" s="13" t="s">
        <v>2417</v>
      </c>
      <c r="X514" s="13" t="s">
        <v>1924</v>
      </c>
      <c r="Y514" s="13" t="s">
        <v>2073</v>
      </c>
      <c r="Z514" s="13" t="s">
        <v>2073</v>
      </c>
      <c r="AA514" s="13" t="s">
        <v>2073</v>
      </c>
      <c r="AB514" s="13" t="s">
        <v>1924</v>
      </c>
      <c r="AC514" s="211" t="s">
        <v>2415</v>
      </c>
      <c r="AD514" s="13" t="s">
        <v>2416</v>
      </c>
      <c r="AE514" s="69" t="e">
        <f>VLOOKUP($B514,#REF!,4,FALSE)</f>
        <v>#REF!</v>
      </c>
      <c r="AF514" s="13" t="s">
        <v>2418</v>
      </c>
      <c r="AG514" s="13" t="s">
        <v>2419</v>
      </c>
      <c r="AH514" s="13" t="s">
        <v>2420</v>
      </c>
      <c r="AI514" s="13" t="s">
        <v>2421</v>
      </c>
      <c r="AJ514" s="13" t="s">
        <v>2422</v>
      </c>
      <c r="AK514" s="13" t="s">
        <v>2416</v>
      </c>
      <c r="AL514" s="13" t="s">
        <v>2077</v>
      </c>
      <c r="AM514" s="13" t="s">
        <v>2077</v>
      </c>
      <c r="AN514" s="13" t="s">
        <v>2077</v>
      </c>
      <c r="AO514" s="13" t="s">
        <v>2077</v>
      </c>
      <c r="AP514" s="13" t="s">
        <v>2077</v>
      </c>
      <c r="AQ514" s="13" t="s">
        <v>2077</v>
      </c>
      <c r="AR514" s="13" t="s">
        <v>2418</v>
      </c>
      <c r="AS514" s="13" t="s">
        <v>2419</v>
      </c>
      <c r="AT514" s="13" t="s">
        <v>2420</v>
      </c>
      <c r="AU514" s="13" t="s">
        <v>2421</v>
      </c>
      <c r="AV514" s="13" t="s">
        <v>2422</v>
      </c>
      <c r="AW514" s="13" t="s">
        <v>2416</v>
      </c>
      <c r="AX514" s="13" t="s">
        <v>2073</v>
      </c>
      <c r="AY514" s="13" t="s">
        <v>2073</v>
      </c>
      <c r="AZ514" s="13" t="s">
        <v>2073</v>
      </c>
      <c r="BA514" s="13" t="s">
        <v>2073</v>
      </c>
      <c r="BB514" s="13" t="s">
        <v>2073</v>
      </c>
      <c r="BC514" s="13" t="s">
        <v>2073</v>
      </c>
    </row>
    <row r="515" spans="1:55" ht="15.75" customHeight="1">
      <c r="A515" s="6">
        <v>2000</v>
      </c>
      <c r="B515" s="7" t="s">
        <v>1501</v>
      </c>
      <c r="C515" s="211" t="s">
        <v>2412</v>
      </c>
      <c r="D515" s="13" t="e">
        <f>VLOOKUP($B515,#REF!,2,FALSE)</f>
        <v>#REF!</v>
      </c>
      <c r="E515" s="13" t="e">
        <f>VLOOKUP($B515,#REF!,10,FALSE)</f>
        <v>#REF!</v>
      </c>
      <c r="F515" s="211" t="s">
        <v>2413</v>
      </c>
      <c r="G515" s="13" t="s">
        <v>2414</v>
      </c>
      <c r="H515" s="13" t="s">
        <v>2077</v>
      </c>
      <c r="I515" s="13" t="s">
        <v>2077</v>
      </c>
      <c r="J515" s="13" t="s">
        <v>2077</v>
      </c>
      <c r="K515" s="13" t="s">
        <v>2077</v>
      </c>
      <c r="L515" s="13" t="s">
        <v>2077</v>
      </c>
      <c r="M515" s="13" t="s">
        <v>2077</v>
      </c>
      <c r="N515" s="211" t="s">
        <v>2415</v>
      </c>
      <c r="O515" s="13" t="s">
        <v>2416</v>
      </c>
      <c r="P515" s="69" t="e">
        <f>VLOOKUP($B515,#REF!,2,FALSE)</f>
        <v>#REF!</v>
      </c>
      <c r="Q515" s="13" t="e">
        <f t="shared" si="398"/>
        <v>#REF!</v>
      </c>
      <c r="R515" s="218" t="e">
        <f>VLOOKUP($B515,#REF!,6,FALSE)</f>
        <v>#REF!</v>
      </c>
      <c r="S515" s="218" t="e">
        <f>VLOOKUP($B515,#REF!,7,FALSE)</f>
        <v>#REF!</v>
      </c>
      <c r="T515" s="13">
        <v>85</v>
      </c>
      <c r="U515" s="219" t="e">
        <f>VLOOKUP($B515,#REF!,9,FALSE)</f>
        <v>#REF!</v>
      </c>
      <c r="V515" s="13">
        <v>1</v>
      </c>
      <c r="W515" s="13" t="s">
        <v>2417</v>
      </c>
      <c r="X515" s="13" t="s">
        <v>1924</v>
      </c>
      <c r="Y515" s="13" t="s">
        <v>2073</v>
      </c>
      <c r="Z515" s="13" t="s">
        <v>2073</v>
      </c>
      <c r="AA515" s="13" t="s">
        <v>2073</v>
      </c>
      <c r="AB515" s="13" t="s">
        <v>1924</v>
      </c>
      <c r="AC515" s="211" t="s">
        <v>2415</v>
      </c>
      <c r="AD515" s="13" t="s">
        <v>2416</v>
      </c>
      <c r="AE515" s="69" t="e">
        <f>VLOOKUP($B515,#REF!,4,FALSE)</f>
        <v>#REF!</v>
      </c>
      <c r="AF515" s="13" t="s">
        <v>2418</v>
      </c>
      <c r="AG515" s="13" t="s">
        <v>2419</v>
      </c>
      <c r="AH515" s="13" t="s">
        <v>2420</v>
      </c>
      <c r="AI515" s="13" t="s">
        <v>2421</v>
      </c>
      <c r="AJ515" s="13" t="s">
        <v>2422</v>
      </c>
      <c r="AK515" s="13" t="s">
        <v>2416</v>
      </c>
      <c r="AL515" s="13" t="s">
        <v>2077</v>
      </c>
      <c r="AM515" s="13" t="s">
        <v>2077</v>
      </c>
      <c r="AN515" s="13" t="s">
        <v>2077</v>
      </c>
      <c r="AO515" s="13" t="s">
        <v>2077</v>
      </c>
      <c r="AP515" s="13" t="s">
        <v>2077</v>
      </c>
      <c r="AQ515" s="13" t="s">
        <v>2077</v>
      </c>
      <c r="AR515" s="13" t="s">
        <v>2418</v>
      </c>
      <c r="AS515" s="13" t="s">
        <v>2419</v>
      </c>
      <c r="AT515" s="13" t="s">
        <v>2420</v>
      </c>
      <c r="AU515" s="13" t="s">
        <v>2421</v>
      </c>
      <c r="AV515" s="13" t="s">
        <v>2422</v>
      </c>
      <c r="AW515" s="13" t="s">
        <v>2416</v>
      </c>
      <c r="AX515" s="13" t="s">
        <v>2073</v>
      </c>
      <c r="AY515" s="13" t="s">
        <v>2073</v>
      </c>
      <c r="AZ515" s="13" t="s">
        <v>2073</v>
      </c>
      <c r="BA515" s="13" t="s">
        <v>2073</v>
      </c>
      <c r="BB515" s="13" t="s">
        <v>2073</v>
      </c>
      <c r="BC515" s="13" t="s">
        <v>2073</v>
      </c>
    </row>
    <row r="516" spans="1:55" ht="15.75" customHeight="1">
      <c r="A516" s="6">
        <v>2000</v>
      </c>
      <c r="B516" s="7" t="s">
        <v>1504</v>
      </c>
      <c r="C516" s="211" t="s">
        <v>2412</v>
      </c>
      <c r="D516" s="13" t="e">
        <f>VLOOKUP($B516,#REF!,2,FALSE)</f>
        <v>#REF!</v>
      </c>
      <c r="E516" s="13" t="e">
        <f>VLOOKUP($B516,#REF!,10,FALSE)</f>
        <v>#REF!</v>
      </c>
      <c r="F516" s="211" t="s">
        <v>2413</v>
      </c>
      <c r="G516" s="13" t="s">
        <v>2414</v>
      </c>
      <c r="H516" s="13" t="s">
        <v>2077</v>
      </c>
      <c r="I516" s="13" t="s">
        <v>2077</v>
      </c>
      <c r="J516" s="13" t="s">
        <v>2077</v>
      </c>
      <c r="K516" s="13" t="s">
        <v>2077</v>
      </c>
      <c r="L516" s="13" t="s">
        <v>2077</v>
      </c>
      <c r="M516" s="13" t="s">
        <v>2077</v>
      </c>
      <c r="N516" s="211" t="s">
        <v>2415</v>
      </c>
      <c r="O516" s="13" t="s">
        <v>2416</v>
      </c>
      <c r="P516" s="69" t="e">
        <f>VLOOKUP($B516,#REF!,2,FALSE)</f>
        <v>#REF!</v>
      </c>
      <c r="Q516" s="13" t="e">
        <f t="shared" si="398"/>
        <v>#REF!</v>
      </c>
      <c r="R516" s="218" t="e">
        <f>VLOOKUP($B516,#REF!,6,FALSE)</f>
        <v>#REF!</v>
      </c>
      <c r="S516" s="218" t="e">
        <f>VLOOKUP($B516,#REF!,7,FALSE)</f>
        <v>#REF!</v>
      </c>
      <c r="T516" s="13">
        <v>85</v>
      </c>
      <c r="U516" s="219" t="e">
        <f>VLOOKUP($B516,#REF!,9,FALSE)</f>
        <v>#REF!</v>
      </c>
      <c r="V516" s="13">
        <v>1</v>
      </c>
      <c r="W516" s="13" t="s">
        <v>2417</v>
      </c>
      <c r="X516" s="13" t="s">
        <v>1924</v>
      </c>
      <c r="Y516" s="13" t="s">
        <v>2073</v>
      </c>
      <c r="Z516" s="13" t="s">
        <v>2073</v>
      </c>
      <c r="AA516" s="13" t="s">
        <v>2073</v>
      </c>
      <c r="AB516" s="13" t="s">
        <v>1924</v>
      </c>
      <c r="AC516" s="211" t="s">
        <v>2415</v>
      </c>
      <c r="AD516" s="13" t="s">
        <v>2416</v>
      </c>
      <c r="AE516" s="69" t="e">
        <f>VLOOKUP($B516,#REF!,4,FALSE)</f>
        <v>#REF!</v>
      </c>
      <c r="AF516" s="13" t="s">
        <v>2418</v>
      </c>
      <c r="AG516" s="13" t="s">
        <v>2419</v>
      </c>
      <c r="AH516" s="13" t="s">
        <v>2420</v>
      </c>
      <c r="AI516" s="13" t="s">
        <v>2421</v>
      </c>
      <c r="AJ516" s="13" t="s">
        <v>2422</v>
      </c>
      <c r="AK516" s="13" t="s">
        <v>2416</v>
      </c>
      <c r="AL516" s="13" t="s">
        <v>2077</v>
      </c>
      <c r="AM516" s="13" t="s">
        <v>2077</v>
      </c>
      <c r="AN516" s="13" t="s">
        <v>2077</v>
      </c>
      <c r="AO516" s="13" t="s">
        <v>2077</v>
      </c>
      <c r="AP516" s="13" t="s">
        <v>2077</v>
      </c>
      <c r="AQ516" s="13" t="s">
        <v>2077</v>
      </c>
      <c r="AR516" s="13" t="s">
        <v>2418</v>
      </c>
      <c r="AS516" s="13" t="s">
        <v>2419</v>
      </c>
      <c r="AT516" s="13" t="s">
        <v>2420</v>
      </c>
      <c r="AU516" s="13" t="s">
        <v>2421</v>
      </c>
      <c r="AV516" s="13" t="s">
        <v>2422</v>
      </c>
      <c r="AW516" s="13" t="s">
        <v>2416</v>
      </c>
      <c r="AX516" s="13" t="s">
        <v>2073</v>
      </c>
      <c r="AY516" s="13" t="s">
        <v>2073</v>
      </c>
      <c r="AZ516" s="13" t="s">
        <v>2073</v>
      </c>
      <c r="BA516" s="13" t="s">
        <v>2073</v>
      </c>
      <c r="BB516" s="13" t="s">
        <v>2073</v>
      </c>
      <c r="BC516" s="13" t="s">
        <v>2073</v>
      </c>
    </row>
    <row r="517" spans="1:55" ht="15.75" customHeight="1">
      <c r="A517" s="6">
        <v>2000</v>
      </c>
      <c r="B517" s="7" t="s">
        <v>1507</v>
      </c>
      <c r="C517" s="211" t="s">
        <v>2412</v>
      </c>
      <c r="D517" s="13" t="e">
        <f>VLOOKUP($B517,#REF!,2,FALSE)</f>
        <v>#REF!</v>
      </c>
      <c r="E517" s="13" t="e">
        <f>VLOOKUP($B517,#REF!,10,FALSE)</f>
        <v>#REF!</v>
      </c>
      <c r="F517" s="211" t="s">
        <v>2413</v>
      </c>
      <c r="G517" s="13" t="s">
        <v>2414</v>
      </c>
      <c r="H517" s="13" t="s">
        <v>2077</v>
      </c>
      <c r="I517" s="13" t="s">
        <v>2077</v>
      </c>
      <c r="J517" s="13" t="s">
        <v>2077</v>
      </c>
      <c r="K517" s="13" t="s">
        <v>2077</v>
      </c>
      <c r="L517" s="13" t="s">
        <v>2077</v>
      </c>
      <c r="M517" s="13" t="s">
        <v>2077</v>
      </c>
      <c r="N517" s="211" t="s">
        <v>2415</v>
      </c>
      <c r="O517" s="13" t="s">
        <v>2416</v>
      </c>
      <c r="P517" s="69" t="e">
        <f>VLOOKUP($B517,#REF!,2,FALSE)</f>
        <v>#REF!</v>
      </c>
      <c r="Q517" s="13" t="e">
        <f t="shared" si="398"/>
        <v>#REF!</v>
      </c>
      <c r="R517" s="218" t="e">
        <f>VLOOKUP($B517,#REF!,6,FALSE)</f>
        <v>#REF!</v>
      </c>
      <c r="S517" s="218" t="e">
        <f>VLOOKUP($B517,#REF!,7,FALSE)</f>
        <v>#REF!</v>
      </c>
      <c r="T517" s="13">
        <v>85</v>
      </c>
      <c r="U517" s="219" t="e">
        <f>VLOOKUP($B517,#REF!,9,FALSE)</f>
        <v>#REF!</v>
      </c>
      <c r="V517" s="13">
        <v>1</v>
      </c>
      <c r="W517" s="13" t="s">
        <v>2417</v>
      </c>
      <c r="X517" s="13" t="s">
        <v>1924</v>
      </c>
      <c r="Y517" s="13" t="s">
        <v>2073</v>
      </c>
      <c r="Z517" s="13" t="s">
        <v>2073</v>
      </c>
      <c r="AA517" s="13" t="s">
        <v>2073</v>
      </c>
      <c r="AB517" s="13" t="s">
        <v>1924</v>
      </c>
      <c r="AC517" s="211" t="s">
        <v>2415</v>
      </c>
      <c r="AD517" s="13" t="s">
        <v>2416</v>
      </c>
      <c r="AE517" s="69" t="e">
        <f>VLOOKUP($B517,#REF!,4,FALSE)</f>
        <v>#REF!</v>
      </c>
      <c r="AF517" s="13" t="s">
        <v>2418</v>
      </c>
      <c r="AG517" s="13" t="s">
        <v>2419</v>
      </c>
      <c r="AH517" s="13" t="s">
        <v>2420</v>
      </c>
      <c r="AI517" s="13" t="s">
        <v>2421</v>
      </c>
      <c r="AJ517" s="13" t="s">
        <v>2422</v>
      </c>
      <c r="AK517" s="13" t="s">
        <v>2416</v>
      </c>
      <c r="AL517" s="13" t="s">
        <v>2077</v>
      </c>
      <c r="AM517" s="13" t="s">
        <v>2077</v>
      </c>
      <c r="AN517" s="13" t="s">
        <v>2077</v>
      </c>
      <c r="AO517" s="13" t="s">
        <v>2077</v>
      </c>
      <c r="AP517" s="13" t="s">
        <v>2077</v>
      </c>
      <c r="AQ517" s="13" t="s">
        <v>2077</v>
      </c>
      <c r="AR517" s="13" t="s">
        <v>2418</v>
      </c>
      <c r="AS517" s="13" t="s">
        <v>2419</v>
      </c>
      <c r="AT517" s="13" t="s">
        <v>2420</v>
      </c>
      <c r="AU517" s="13" t="s">
        <v>2421</v>
      </c>
      <c r="AV517" s="13" t="s">
        <v>2422</v>
      </c>
      <c r="AW517" s="13" t="s">
        <v>2416</v>
      </c>
      <c r="AX517" s="13" t="s">
        <v>2073</v>
      </c>
      <c r="AY517" s="13" t="s">
        <v>2073</v>
      </c>
      <c r="AZ517" s="13" t="s">
        <v>2073</v>
      </c>
      <c r="BA517" s="13" t="s">
        <v>2073</v>
      </c>
      <c r="BB517" s="13" t="s">
        <v>2073</v>
      </c>
      <c r="BC517" s="13" t="s">
        <v>2073</v>
      </c>
    </row>
    <row r="518" spans="1:55" ht="15.75" customHeight="1">
      <c r="A518" s="6">
        <v>2000</v>
      </c>
      <c r="B518" s="7" t="s">
        <v>1510</v>
      </c>
      <c r="C518" s="211" t="s">
        <v>2412</v>
      </c>
      <c r="D518" s="13" t="e">
        <f>VLOOKUP($B518,#REF!,2,FALSE)</f>
        <v>#REF!</v>
      </c>
      <c r="E518" s="13" t="e">
        <f>VLOOKUP($B518,#REF!,10,FALSE)</f>
        <v>#REF!</v>
      </c>
      <c r="F518" s="211" t="s">
        <v>2413</v>
      </c>
      <c r="G518" s="13" t="s">
        <v>2414</v>
      </c>
      <c r="H518" s="13" t="s">
        <v>2077</v>
      </c>
      <c r="I518" s="13" t="s">
        <v>2077</v>
      </c>
      <c r="J518" s="13" t="s">
        <v>2077</v>
      </c>
      <c r="K518" s="13" t="s">
        <v>2077</v>
      </c>
      <c r="L518" s="13" t="s">
        <v>2077</v>
      </c>
      <c r="M518" s="13" t="s">
        <v>2077</v>
      </c>
      <c r="N518" s="211" t="s">
        <v>2415</v>
      </c>
      <c r="O518" s="13" t="s">
        <v>2416</v>
      </c>
      <c r="P518" s="69" t="e">
        <f>VLOOKUP($B518,#REF!,2,FALSE)</f>
        <v>#REF!</v>
      </c>
      <c r="Q518" s="13" t="e">
        <f t="shared" si="398"/>
        <v>#REF!</v>
      </c>
      <c r="R518" s="218" t="e">
        <f>VLOOKUP($B518,#REF!,6,FALSE)</f>
        <v>#REF!</v>
      </c>
      <c r="S518" s="218" t="e">
        <f>VLOOKUP($B518,#REF!,7,FALSE)</f>
        <v>#REF!</v>
      </c>
      <c r="T518" s="13">
        <v>85</v>
      </c>
      <c r="U518" s="219" t="e">
        <f>VLOOKUP($B518,#REF!,9,FALSE)</f>
        <v>#REF!</v>
      </c>
      <c r="V518" s="13">
        <v>1</v>
      </c>
      <c r="W518" s="13" t="s">
        <v>2417</v>
      </c>
      <c r="X518" s="13" t="s">
        <v>1924</v>
      </c>
      <c r="Y518" s="13" t="s">
        <v>2073</v>
      </c>
      <c r="Z518" s="13" t="s">
        <v>2073</v>
      </c>
      <c r="AA518" s="13" t="s">
        <v>2073</v>
      </c>
      <c r="AB518" s="13" t="s">
        <v>1924</v>
      </c>
      <c r="AC518" s="211" t="s">
        <v>2415</v>
      </c>
      <c r="AD518" s="13" t="s">
        <v>2416</v>
      </c>
      <c r="AE518" s="69" t="e">
        <f>VLOOKUP($B518,#REF!,4,FALSE)</f>
        <v>#REF!</v>
      </c>
      <c r="AF518" s="13" t="s">
        <v>2418</v>
      </c>
      <c r="AG518" s="13" t="s">
        <v>2419</v>
      </c>
      <c r="AH518" s="13" t="s">
        <v>2420</v>
      </c>
      <c r="AI518" s="13" t="s">
        <v>2421</v>
      </c>
      <c r="AJ518" s="13" t="s">
        <v>2422</v>
      </c>
      <c r="AK518" s="13" t="s">
        <v>2416</v>
      </c>
      <c r="AL518" s="13" t="s">
        <v>2077</v>
      </c>
      <c r="AM518" s="13" t="s">
        <v>2077</v>
      </c>
      <c r="AN518" s="13" t="s">
        <v>2077</v>
      </c>
      <c r="AO518" s="13" t="s">
        <v>2077</v>
      </c>
      <c r="AP518" s="13" t="s">
        <v>2077</v>
      </c>
      <c r="AQ518" s="13" t="s">
        <v>2077</v>
      </c>
      <c r="AR518" s="13" t="s">
        <v>2418</v>
      </c>
      <c r="AS518" s="13" t="s">
        <v>2419</v>
      </c>
      <c r="AT518" s="13" t="s">
        <v>2420</v>
      </c>
      <c r="AU518" s="13" t="s">
        <v>2421</v>
      </c>
      <c r="AV518" s="13" t="s">
        <v>2422</v>
      </c>
      <c r="AW518" s="13" t="s">
        <v>2416</v>
      </c>
      <c r="AX518" s="13" t="s">
        <v>2073</v>
      </c>
      <c r="AY518" s="13" t="s">
        <v>2073</v>
      </c>
      <c r="AZ518" s="13" t="s">
        <v>2073</v>
      </c>
      <c r="BA518" s="13" t="s">
        <v>2073</v>
      </c>
      <c r="BB518" s="13" t="s">
        <v>2073</v>
      </c>
      <c r="BC518" s="13" t="s">
        <v>2073</v>
      </c>
    </row>
    <row r="519" spans="1:55" ht="15.75" customHeight="1">
      <c r="A519" s="6">
        <v>2000</v>
      </c>
      <c r="B519" s="7" t="s">
        <v>1513</v>
      </c>
      <c r="C519" s="211" t="s">
        <v>2412</v>
      </c>
      <c r="D519" s="13" t="e">
        <f>VLOOKUP($B519,#REF!,2,FALSE)</f>
        <v>#REF!</v>
      </c>
      <c r="E519" s="13" t="e">
        <f>VLOOKUP($B519,#REF!,10,FALSE)</f>
        <v>#REF!</v>
      </c>
      <c r="F519" s="211" t="s">
        <v>2413</v>
      </c>
      <c r="G519" s="13" t="s">
        <v>2414</v>
      </c>
      <c r="H519" s="13" t="s">
        <v>2077</v>
      </c>
      <c r="I519" s="13" t="s">
        <v>2077</v>
      </c>
      <c r="J519" s="13" t="s">
        <v>2077</v>
      </c>
      <c r="K519" s="13" t="s">
        <v>2077</v>
      </c>
      <c r="L519" s="13" t="s">
        <v>2077</v>
      </c>
      <c r="M519" s="13" t="s">
        <v>2077</v>
      </c>
      <c r="N519" s="211" t="s">
        <v>2415</v>
      </c>
      <c r="O519" s="13" t="s">
        <v>2416</v>
      </c>
      <c r="P519" s="69" t="e">
        <f>VLOOKUP($B519,#REF!,2,FALSE)</f>
        <v>#REF!</v>
      </c>
      <c r="Q519" s="13" t="e">
        <f t="shared" si="398"/>
        <v>#REF!</v>
      </c>
      <c r="R519" s="215" t="e">
        <f>VLOOKUP($B519,#REF!,6,FALSE)</f>
        <v>#REF!</v>
      </c>
      <c r="S519" s="215" t="e">
        <f>VLOOKUP($B519,#REF!,7,FALSE)</f>
        <v>#REF!</v>
      </c>
      <c r="T519" s="13">
        <v>85</v>
      </c>
      <c r="U519" s="167" t="e">
        <f>VLOOKUP($B519,#REF!,9,FALSE)</f>
        <v>#REF!</v>
      </c>
      <c r="V519" s="13">
        <v>1</v>
      </c>
      <c r="W519" s="13" t="s">
        <v>2417</v>
      </c>
      <c r="X519" s="13" t="s">
        <v>1924</v>
      </c>
      <c r="Y519" s="13" t="s">
        <v>2073</v>
      </c>
      <c r="Z519" s="13" t="s">
        <v>2073</v>
      </c>
      <c r="AA519" s="13" t="s">
        <v>2073</v>
      </c>
      <c r="AB519" s="13" t="s">
        <v>1924</v>
      </c>
      <c r="AC519" s="211" t="s">
        <v>2415</v>
      </c>
      <c r="AD519" s="13" t="s">
        <v>2416</v>
      </c>
      <c r="AE519" s="69" t="e">
        <f>VLOOKUP($B519,#REF!,4,FALSE)</f>
        <v>#REF!</v>
      </c>
      <c r="AF519" s="13" t="s">
        <v>2418</v>
      </c>
      <c r="AG519" s="13" t="s">
        <v>2419</v>
      </c>
      <c r="AH519" s="13" t="s">
        <v>2420</v>
      </c>
      <c r="AI519" s="13" t="s">
        <v>2421</v>
      </c>
      <c r="AJ519" s="13" t="s">
        <v>2422</v>
      </c>
      <c r="AK519" s="13" t="s">
        <v>2416</v>
      </c>
      <c r="AL519" s="13" t="s">
        <v>2077</v>
      </c>
      <c r="AM519" s="13" t="s">
        <v>2077</v>
      </c>
      <c r="AN519" s="13" t="s">
        <v>2077</v>
      </c>
      <c r="AO519" s="13" t="s">
        <v>2077</v>
      </c>
      <c r="AP519" s="13" t="s">
        <v>2077</v>
      </c>
      <c r="AQ519" s="13" t="s">
        <v>2077</v>
      </c>
      <c r="AR519" s="13" t="s">
        <v>2418</v>
      </c>
      <c r="AS519" s="13" t="s">
        <v>2419</v>
      </c>
      <c r="AT519" s="13" t="s">
        <v>2420</v>
      </c>
      <c r="AU519" s="13" t="s">
        <v>2421</v>
      </c>
      <c r="AV519" s="13" t="s">
        <v>2422</v>
      </c>
      <c r="AW519" s="13" t="s">
        <v>2416</v>
      </c>
      <c r="AX519" s="13" t="s">
        <v>2073</v>
      </c>
      <c r="AY519" s="13" t="s">
        <v>2073</v>
      </c>
      <c r="AZ519" s="13" t="s">
        <v>2073</v>
      </c>
      <c r="BA519" s="13" t="s">
        <v>2073</v>
      </c>
      <c r="BB519" s="13" t="s">
        <v>2073</v>
      </c>
      <c r="BC519" s="13" t="s">
        <v>2073</v>
      </c>
    </row>
    <row r="520" spans="1:55" ht="15.75" customHeight="1">
      <c r="A520" s="6">
        <v>2000</v>
      </c>
      <c r="B520" s="7" t="s">
        <v>1516</v>
      </c>
      <c r="C520" s="211" t="s">
        <v>2412</v>
      </c>
      <c r="D520" s="13" t="e">
        <f>VLOOKUP($B520,#REF!,2,FALSE)</f>
        <v>#REF!</v>
      </c>
      <c r="E520" s="13" t="e">
        <f>VLOOKUP($B520,#REF!,10,FALSE)</f>
        <v>#REF!</v>
      </c>
      <c r="F520" s="211" t="s">
        <v>2413</v>
      </c>
      <c r="G520" s="13" t="s">
        <v>2414</v>
      </c>
      <c r="H520" s="13" t="s">
        <v>2077</v>
      </c>
      <c r="I520" s="13" t="s">
        <v>2077</v>
      </c>
      <c r="J520" s="13" t="s">
        <v>2077</v>
      </c>
      <c r="K520" s="13" t="s">
        <v>2077</v>
      </c>
      <c r="L520" s="13" t="s">
        <v>2077</v>
      </c>
      <c r="M520" s="13" t="s">
        <v>2077</v>
      </c>
      <c r="N520" s="211" t="s">
        <v>2415</v>
      </c>
      <c r="O520" s="13" t="s">
        <v>2416</v>
      </c>
      <c r="P520" s="69" t="e">
        <f>VLOOKUP($B520,#REF!,2,FALSE)</f>
        <v>#REF!</v>
      </c>
      <c r="Q520" s="13" t="e">
        <f t="shared" si="398"/>
        <v>#REF!</v>
      </c>
      <c r="R520" s="215" t="e">
        <f>VLOOKUP($B520,#REF!,6,FALSE)</f>
        <v>#REF!</v>
      </c>
      <c r="S520" s="215" t="e">
        <f>VLOOKUP($B520,#REF!,7,FALSE)</f>
        <v>#REF!</v>
      </c>
      <c r="T520" s="13">
        <v>85</v>
      </c>
      <c r="U520" s="167" t="e">
        <f>VLOOKUP($B520,#REF!,9,FALSE)</f>
        <v>#REF!</v>
      </c>
      <c r="V520" s="13">
        <v>1</v>
      </c>
      <c r="W520" s="13" t="s">
        <v>2417</v>
      </c>
      <c r="X520" s="13" t="s">
        <v>1924</v>
      </c>
      <c r="Y520" s="13" t="s">
        <v>2073</v>
      </c>
      <c r="Z520" s="13" t="s">
        <v>2073</v>
      </c>
      <c r="AA520" s="13" t="s">
        <v>2073</v>
      </c>
      <c r="AB520" s="13" t="s">
        <v>1924</v>
      </c>
      <c r="AC520" s="211" t="s">
        <v>2415</v>
      </c>
      <c r="AD520" s="13" t="s">
        <v>2416</v>
      </c>
      <c r="AE520" s="69" t="e">
        <f>VLOOKUP($B520,#REF!,4,FALSE)</f>
        <v>#REF!</v>
      </c>
      <c r="AF520" s="13" t="s">
        <v>2418</v>
      </c>
      <c r="AG520" s="13" t="s">
        <v>2419</v>
      </c>
      <c r="AH520" s="13" t="s">
        <v>2420</v>
      </c>
      <c r="AI520" s="13" t="s">
        <v>2421</v>
      </c>
      <c r="AJ520" s="13" t="s">
        <v>2422</v>
      </c>
      <c r="AK520" s="13" t="s">
        <v>2416</v>
      </c>
      <c r="AL520" s="13" t="s">
        <v>2077</v>
      </c>
      <c r="AM520" s="13" t="s">
        <v>2077</v>
      </c>
      <c r="AN520" s="13" t="s">
        <v>2077</v>
      </c>
      <c r="AO520" s="13" t="s">
        <v>2077</v>
      </c>
      <c r="AP520" s="13" t="s">
        <v>2077</v>
      </c>
      <c r="AQ520" s="13" t="s">
        <v>2077</v>
      </c>
      <c r="AR520" s="13" t="s">
        <v>2418</v>
      </c>
      <c r="AS520" s="13" t="s">
        <v>2419</v>
      </c>
      <c r="AT520" s="13" t="s">
        <v>2420</v>
      </c>
      <c r="AU520" s="13" t="s">
        <v>2421</v>
      </c>
      <c r="AV520" s="13" t="s">
        <v>2422</v>
      </c>
      <c r="AW520" s="13" t="s">
        <v>2416</v>
      </c>
      <c r="AX520" s="13" t="s">
        <v>2073</v>
      </c>
      <c r="AY520" s="13" t="s">
        <v>2073</v>
      </c>
      <c r="AZ520" s="13" t="s">
        <v>2073</v>
      </c>
      <c r="BA520" s="13" t="s">
        <v>2073</v>
      </c>
      <c r="BB520" s="13" t="s">
        <v>2073</v>
      </c>
      <c r="BC520" s="13" t="s">
        <v>2073</v>
      </c>
    </row>
    <row r="521" spans="1:55" ht="15.75" customHeight="1">
      <c r="A521" s="6">
        <v>1300</v>
      </c>
      <c r="B521" s="7" t="s">
        <v>1519</v>
      </c>
      <c r="C521" s="211" t="s">
        <v>2412</v>
      </c>
      <c r="D521" s="13" t="e">
        <f>VLOOKUP($B521,#REF!,2,FALSE)</f>
        <v>#REF!</v>
      </c>
      <c r="E521" s="13" t="e">
        <f>VLOOKUP($B521,#REF!,10,FALSE)</f>
        <v>#REF!</v>
      </c>
      <c r="F521" s="211" t="s">
        <v>2413</v>
      </c>
      <c r="G521" s="13" t="s">
        <v>2414</v>
      </c>
      <c r="H521" s="13" t="s">
        <v>2077</v>
      </c>
      <c r="I521" s="13" t="s">
        <v>2077</v>
      </c>
      <c r="J521" s="13" t="s">
        <v>2077</v>
      </c>
      <c r="K521" s="13" t="s">
        <v>2077</v>
      </c>
      <c r="L521" s="13" t="s">
        <v>2077</v>
      </c>
      <c r="M521" s="13" t="s">
        <v>2077</v>
      </c>
      <c r="N521" s="211" t="s">
        <v>2415</v>
      </c>
      <c r="O521" s="13" t="s">
        <v>2416</v>
      </c>
      <c r="P521" s="69" t="e">
        <f>VLOOKUP($B521,#REF!,2,FALSE)</f>
        <v>#REF!</v>
      </c>
      <c r="Q521" s="13" t="e">
        <f t="shared" si="398"/>
        <v>#REF!</v>
      </c>
      <c r="R521" s="215" t="e">
        <f>VLOOKUP($B521,#REF!,6,FALSE)</f>
        <v>#REF!</v>
      </c>
      <c r="S521" s="215" t="e">
        <f>VLOOKUP($B521,#REF!,7,FALSE)</f>
        <v>#REF!</v>
      </c>
      <c r="T521" s="13">
        <v>85</v>
      </c>
      <c r="U521" s="167" t="e">
        <f>VLOOKUP($B521,#REF!,9,FALSE)</f>
        <v>#REF!</v>
      </c>
      <c r="V521" s="13">
        <v>1</v>
      </c>
      <c r="W521" s="13" t="s">
        <v>2417</v>
      </c>
      <c r="X521" s="13" t="s">
        <v>1924</v>
      </c>
      <c r="Y521" s="13" t="s">
        <v>2073</v>
      </c>
      <c r="Z521" s="13" t="s">
        <v>2073</v>
      </c>
      <c r="AA521" s="13" t="s">
        <v>2073</v>
      </c>
      <c r="AB521" s="13" t="s">
        <v>1924</v>
      </c>
      <c r="AC521" s="211" t="s">
        <v>2415</v>
      </c>
      <c r="AD521" s="13" t="s">
        <v>2416</v>
      </c>
      <c r="AE521" s="69" t="e">
        <f>VLOOKUP($B521,#REF!,4,FALSE)</f>
        <v>#REF!</v>
      </c>
      <c r="AF521" s="13" t="s">
        <v>2418</v>
      </c>
      <c r="AG521" s="13" t="s">
        <v>2419</v>
      </c>
      <c r="AH521" s="13" t="s">
        <v>2420</v>
      </c>
      <c r="AI521" s="13" t="s">
        <v>2421</v>
      </c>
      <c r="AJ521" s="13" t="s">
        <v>2422</v>
      </c>
      <c r="AK521" s="13" t="s">
        <v>2416</v>
      </c>
      <c r="AL521" s="13" t="s">
        <v>2077</v>
      </c>
      <c r="AM521" s="13" t="s">
        <v>2077</v>
      </c>
      <c r="AN521" s="13" t="s">
        <v>2077</v>
      </c>
      <c r="AO521" s="13" t="s">
        <v>2077</v>
      </c>
      <c r="AP521" s="13" t="s">
        <v>2077</v>
      </c>
      <c r="AQ521" s="13" t="s">
        <v>2077</v>
      </c>
      <c r="AR521" s="13" t="s">
        <v>2418</v>
      </c>
      <c r="AS521" s="13" t="s">
        <v>2419</v>
      </c>
      <c r="AT521" s="13" t="s">
        <v>2420</v>
      </c>
      <c r="AU521" s="13" t="s">
        <v>2421</v>
      </c>
      <c r="AV521" s="13" t="s">
        <v>2422</v>
      </c>
      <c r="AW521" s="13" t="s">
        <v>2416</v>
      </c>
      <c r="AX521" s="13" t="s">
        <v>2073</v>
      </c>
      <c r="AY521" s="13" t="s">
        <v>2073</v>
      </c>
      <c r="AZ521" s="13" t="s">
        <v>2073</v>
      </c>
      <c r="BA521" s="13" t="s">
        <v>2073</v>
      </c>
      <c r="BB521" s="13" t="s">
        <v>2073</v>
      </c>
      <c r="BC521" s="13" t="s">
        <v>2073</v>
      </c>
    </row>
    <row r="522" spans="1:55" ht="15.75" customHeight="1">
      <c r="A522" s="6">
        <v>1300</v>
      </c>
      <c r="B522" s="7" t="s">
        <v>1522</v>
      </c>
      <c r="C522" s="211" t="s">
        <v>2412</v>
      </c>
      <c r="D522" s="13" t="e">
        <f>VLOOKUP($B522,#REF!,2,FALSE)</f>
        <v>#REF!</v>
      </c>
      <c r="E522" s="13" t="e">
        <f>VLOOKUP($B522,#REF!,10,FALSE)</f>
        <v>#REF!</v>
      </c>
      <c r="F522" s="211" t="s">
        <v>2413</v>
      </c>
      <c r="G522" s="13" t="s">
        <v>2414</v>
      </c>
      <c r="H522" s="13" t="s">
        <v>2077</v>
      </c>
      <c r="I522" s="13" t="s">
        <v>2077</v>
      </c>
      <c r="J522" s="13" t="s">
        <v>2077</v>
      </c>
      <c r="K522" s="13" t="s">
        <v>2077</v>
      </c>
      <c r="L522" s="13" t="s">
        <v>2077</v>
      </c>
      <c r="M522" s="13" t="s">
        <v>2077</v>
      </c>
      <c r="N522" s="211" t="s">
        <v>2415</v>
      </c>
      <c r="O522" s="13" t="s">
        <v>2416</v>
      </c>
      <c r="P522" s="69" t="e">
        <f>VLOOKUP($B522,#REF!,2,FALSE)</f>
        <v>#REF!</v>
      </c>
      <c r="Q522" s="13" t="e">
        <f t="shared" si="398"/>
        <v>#REF!</v>
      </c>
      <c r="R522" s="215" t="e">
        <f>VLOOKUP($B522,#REF!,6,FALSE)</f>
        <v>#REF!</v>
      </c>
      <c r="S522" s="215" t="e">
        <f>VLOOKUP($B522,#REF!,7,FALSE)</f>
        <v>#REF!</v>
      </c>
      <c r="T522" s="13">
        <v>85</v>
      </c>
      <c r="U522" s="167" t="e">
        <f>VLOOKUP($B522,#REF!,9,FALSE)</f>
        <v>#REF!</v>
      </c>
      <c r="V522" s="13">
        <v>1</v>
      </c>
      <c r="W522" s="13" t="s">
        <v>2417</v>
      </c>
      <c r="X522" s="13" t="s">
        <v>1924</v>
      </c>
      <c r="Y522" s="13" t="s">
        <v>2073</v>
      </c>
      <c r="Z522" s="13" t="s">
        <v>2073</v>
      </c>
      <c r="AA522" s="13" t="s">
        <v>2073</v>
      </c>
      <c r="AB522" s="13" t="s">
        <v>1924</v>
      </c>
      <c r="AC522" s="211" t="s">
        <v>2415</v>
      </c>
      <c r="AD522" s="13" t="s">
        <v>2416</v>
      </c>
      <c r="AE522" s="69" t="e">
        <f>VLOOKUP($B522,#REF!,4,FALSE)</f>
        <v>#REF!</v>
      </c>
      <c r="AF522" s="13" t="s">
        <v>2418</v>
      </c>
      <c r="AG522" s="13" t="s">
        <v>2419</v>
      </c>
      <c r="AH522" s="13" t="s">
        <v>2420</v>
      </c>
      <c r="AI522" s="13" t="s">
        <v>2421</v>
      </c>
      <c r="AJ522" s="13" t="s">
        <v>2422</v>
      </c>
      <c r="AK522" s="13" t="s">
        <v>2416</v>
      </c>
      <c r="AL522" s="13" t="s">
        <v>2077</v>
      </c>
      <c r="AM522" s="13" t="s">
        <v>2077</v>
      </c>
      <c r="AN522" s="13" t="s">
        <v>2077</v>
      </c>
      <c r="AO522" s="13" t="s">
        <v>2077</v>
      </c>
      <c r="AP522" s="13" t="s">
        <v>2077</v>
      </c>
      <c r="AQ522" s="13" t="s">
        <v>2077</v>
      </c>
      <c r="AR522" s="13" t="s">
        <v>2418</v>
      </c>
      <c r="AS522" s="13" t="s">
        <v>2419</v>
      </c>
      <c r="AT522" s="13" t="s">
        <v>2420</v>
      </c>
      <c r="AU522" s="13" t="s">
        <v>2421</v>
      </c>
      <c r="AV522" s="13" t="s">
        <v>2422</v>
      </c>
      <c r="AW522" s="13" t="s">
        <v>2416</v>
      </c>
      <c r="AX522" s="13" t="s">
        <v>2073</v>
      </c>
      <c r="AY522" s="13" t="s">
        <v>2073</v>
      </c>
      <c r="AZ522" s="13" t="s">
        <v>2073</v>
      </c>
      <c r="BA522" s="13" t="s">
        <v>2073</v>
      </c>
      <c r="BB522" s="13" t="s">
        <v>2073</v>
      </c>
      <c r="BC522" s="13" t="s">
        <v>2073</v>
      </c>
    </row>
    <row r="523" spans="1:55" ht="15.75" customHeight="1">
      <c r="A523" s="6">
        <v>1300</v>
      </c>
      <c r="B523" s="7" t="s">
        <v>1525</v>
      </c>
      <c r="C523" s="211" t="s">
        <v>2412</v>
      </c>
      <c r="D523" s="13" t="e">
        <f>VLOOKUP($B523,#REF!,2,FALSE)</f>
        <v>#REF!</v>
      </c>
      <c r="E523" s="13" t="e">
        <f>VLOOKUP($B523,#REF!,10,FALSE)</f>
        <v>#REF!</v>
      </c>
      <c r="F523" s="211" t="s">
        <v>2413</v>
      </c>
      <c r="G523" s="13" t="s">
        <v>2414</v>
      </c>
      <c r="H523" s="13" t="s">
        <v>2077</v>
      </c>
      <c r="I523" s="13" t="s">
        <v>2077</v>
      </c>
      <c r="J523" s="13" t="s">
        <v>2077</v>
      </c>
      <c r="K523" s="13" t="s">
        <v>2077</v>
      </c>
      <c r="L523" s="13" t="s">
        <v>2077</v>
      </c>
      <c r="M523" s="13" t="s">
        <v>2077</v>
      </c>
      <c r="N523" s="211" t="s">
        <v>2415</v>
      </c>
      <c r="O523" s="13" t="s">
        <v>2416</v>
      </c>
      <c r="P523" s="69" t="e">
        <f>VLOOKUP($B523,#REF!,2,FALSE)</f>
        <v>#REF!</v>
      </c>
      <c r="Q523" s="13" t="e">
        <f t="shared" si="398"/>
        <v>#REF!</v>
      </c>
      <c r="R523" s="215" t="e">
        <f>VLOOKUP($B523,#REF!,6,FALSE)</f>
        <v>#REF!</v>
      </c>
      <c r="S523" s="215" t="e">
        <f>VLOOKUP($B523,#REF!,7,FALSE)</f>
        <v>#REF!</v>
      </c>
      <c r="T523" s="13">
        <v>85</v>
      </c>
      <c r="U523" s="167" t="e">
        <f>VLOOKUP($B523,#REF!,9,FALSE)</f>
        <v>#REF!</v>
      </c>
      <c r="V523" s="13">
        <v>1</v>
      </c>
      <c r="W523" s="13" t="s">
        <v>2417</v>
      </c>
      <c r="X523" s="13" t="s">
        <v>1924</v>
      </c>
      <c r="Y523" s="13" t="s">
        <v>2073</v>
      </c>
      <c r="Z523" s="13" t="s">
        <v>2073</v>
      </c>
      <c r="AA523" s="13" t="s">
        <v>2073</v>
      </c>
      <c r="AB523" s="13" t="s">
        <v>1924</v>
      </c>
      <c r="AC523" s="211" t="s">
        <v>2415</v>
      </c>
      <c r="AD523" s="13" t="s">
        <v>2416</v>
      </c>
      <c r="AE523" s="69" t="e">
        <f>VLOOKUP($B523,#REF!,4,FALSE)</f>
        <v>#REF!</v>
      </c>
      <c r="AF523" s="13" t="s">
        <v>2418</v>
      </c>
      <c r="AG523" s="13" t="s">
        <v>2419</v>
      </c>
      <c r="AH523" s="13" t="s">
        <v>2420</v>
      </c>
      <c r="AI523" s="13" t="s">
        <v>2421</v>
      </c>
      <c r="AJ523" s="13" t="s">
        <v>2422</v>
      </c>
      <c r="AK523" s="13" t="s">
        <v>2416</v>
      </c>
      <c r="AL523" s="13" t="s">
        <v>2077</v>
      </c>
      <c r="AM523" s="13" t="s">
        <v>2077</v>
      </c>
      <c r="AN523" s="13" t="s">
        <v>2077</v>
      </c>
      <c r="AO523" s="13" t="s">
        <v>2077</v>
      </c>
      <c r="AP523" s="13" t="s">
        <v>2077</v>
      </c>
      <c r="AQ523" s="13" t="s">
        <v>2077</v>
      </c>
      <c r="AR523" s="13" t="s">
        <v>2418</v>
      </c>
      <c r="AS523" s="13" t="s">
        <v>2419</v>
      </c>
      <c r="AT523" s="13" t="s">
        <v>2420</v>
      </c>
      <c r="AU523" s="13" t="s">
        <v>2421</v>
      </c>
      <c r="AV523" s="13" t="s">
        <v>2422</v>
      </c>
      <c r="AW523" s="13" t="s">
        <v>2416</v>
      </c>
      <c r="AX523" s="13" t="s">
        <v>2073</v>
      </c>
      <c r="AY523" s="13" t="s">
        <v>2073</v>
      </c>
      <c r="AZ523" s="13" t="s">
        <v>2073</v>
      </c>
      <c r="BA523" s="13" t="s">
        <v>2073</v>
      </c>
      <c r="BB523" s="13" t="s">
        <v>2073</v>
      </c>
      <c r="BC523" s="13" t="s">
        <v>2073</v>
      </c>
    </row>
    <row r="524" spans="1:55" ht="15.75" customHeight="1">
      <c r="A524" s="6">
        <v>1300</v>
      </c>
      <c r="B524" s="7" t="s">
        <v>1528</v>
      </c>
      <c r="C524" s="211" t="s">
        <v>2412</v>
      </c>
      <c r="D524" s="13" t="e">
        <f>VLOOKUP($B524,#REF!,2,FALSE)</f>
        <v>#REF!</v>
      </c>
      <c r="E524" s="13" t="e">
        <f>VLOOKUP($B524,#REF!,10,FALSE)</f>
        <v>#REF!</v>
      </c>
      <c r="F524" s="211" t="s">
        <v>2413</v>
      </c>
      <c r="G524" s="13" t="s">
        <v>2414</v>
      </c>
      <c r="H524" s="13" t="s">
        <v>2077</v>
      </c>
      <c r="I524" s="13" t="s">
        <v>2077</v>
      </c>
      <c r="J524" s="13" t="s">
        <v>2077</v>
      </c>
      <c r="K524" s="13" t="s">
        <v>2077</v>
      </c>
      <c r="L524" s="13" t="s">
        <v>2077</v>
      </c>
      <c r="M524" s="13" t="s">
        <v>2077</v>
      </c>
      <c r="N524" s="211" t="s">
        <v>2415</v>
      </c>
      <c r="O524" s="13" t="s">
        <v>2416</v>
      </c>
      <c r="P524" s="69" t="e">
        <f>VLOOKUP($B524,#REF!,2,FALSE)</f>
        <v>#REF!</v>
      </c>
      <c r="Q524" s="13" t="e">
        <f t="shared" si="398"/>
        <v>#REF!</v>
      </c>
      <c r="R524" s="215" t="e">
        <f>VLOOKUP($B524,#REF!,6,FALSE)</f>
        <v>#REF!</v>
      </c>
      <c r="S524" s="215" t="e">
        <f>VLOOKUP($B524,#REF!,7,FALSE)</f>
        <v>#REF!</v>
      </c>
      <c r="T524" s="13">
        <v>85</v>
      </c>
      <c r="U524" s="167" t="e">
        <f>VLOOKUP($B524,#REF!,9,FALSE)</f>
        <v>#REF!</v>
      </c>
      <c r="V524" s="13">
        <v>1</v>
      </c>
      <c r="W524" s="13" t="s">
        <v>2417</v>
      </c>
      <c r="X524" s="13" t="s">
        <v>1924</v>
      </c>
      <c r="Y524" s="13" t="s">
        <v>2073</v>
      </c>
      <c r="Z524" s="13" t="s">
        <v>2073</v>
      </c>
      <c r="AA524" s="13" t="s">
        <v>2073</v>
      </c>
      <c r="AB524" s="13" t="s">
        <v>1924</v>
      </c>
      <c r="AC524" s="211" t="s">
        <v>2415</v>
      </c>
      <c r="AD524" s="13" t="s">
        <v>2416</v>
      </c>
      <c r="AE524" s="69" t="e">
        <f>VLOOKUP($B524,#REF!,4,FALSE)</f>
        <v>#REF!</v>
      </c>
      <c r="AF524" s="13" t="s">
        <v>2418</v>
      </c>
      <c r="AG524" s="13" t="s">
        <v>2419</v>
      </c>
      <c r="AH524" s="13" t="s">
        <v>2420</v>
      </c>
      <c r="AI524" s="13" t="s">
        <v>2421</v>
      </c>
      <c r="AJ524" s="13" t="s">
        <v>2422</v>
      </c>
      <c r="AK524" s="13" t="s">
        <v>2416</v>
      </c>
      <c r="AL524" s="13" t="s">
        <v>2077</v>
      </c>
      <c r="AM524" s="13" t="s">
        <v>2077</v>
      </c>
      <c r="AN524" s="13" t="s">
        <v>2077</v>
      </c>
      <c r="AO524" s="13" t="s">
        <v>2077</v>
      </c>
      <c r="AP524" s="13" t="s">
        <v>2077</v>
      </c>
      <c r="AQ524" s="13" t="s">
        <v>2077</v>
      </c>
      <c r="AR524" s="13" t="s">
        <v>2418</v>
      </c>
      <c r="AS524" s="13" t="s">
        <v>2419</v>
      </c>
      <c r="AT524" s="13" t="s">
        <v>2420</v>
      </c>
      <c r="AU524" s="13" t="s">
        <v>2421</v>
      </c>
      <c r="AV524" s="13" t="s">
        <v>2422</v>
      </c>
      <c r="AW524" s="13" t="s">
        <v>2416</v>
      </c>
      <c r="AX524" s="13" t="s">
        <v>2073</v>
      </c>
      <c r="AY524" s="13" t="s">
        <v>2073</v>
      </c>
      <c r="AZ524" s="13" t="s">
        <v>2073</v>
      </c>
      <c r="BA524" s="13" t="s">
        <v>2073</v>
      </c>
      <c r="BB524" s="13" t="s">
        <v>2073</v>
      </c>
      <c r="BC524" s="13" t="s">
        <v>2073</v>
      </c>
    </row>
    <row r="525" spans="1:55" ht="15.75" customHeight="1">
      <c r="A525" s="6">
        <v>1300</v>
      </c>
      <c r="B525" s="7" t="s">
        <v>1531</v>
      </c>
      <c r="C525" s="211" t="s">
        <v>2412</v>
      </c>
      <c r="D525" s="13" t="e">
        <f>VLOOKUP($B525,#REF!,2,FALSE)</f>
        <v>#REF!</v>
      </c>
      <c r="E525" s="13" t="e">
        <f>VLOOKUP($B525,#REF!,10,FALSE)</f>
        <v>#REF!</v>
      </c>
      <c r="F525" s="211" t="s">
        <v>2413</v>
      </c>
      <c r="G525" s="13" t="s">
        <v>2414</v>
      </c>
      <c r="H525" s="13" t="s">
        <v>2077</v>
      </c>
      <c r="I525" s="13" t="s">
        <v>2077</v>
      </c>
      <c r="J525" s="13" t="s">
        <v>2077</v>
      </c>
      <c r="K525" s="13" t="s">
        <v>2077</v>
      </c>
      <c r="L525" s="13" t="s">
        <v>2077</v>
      </c>
      <c r="M525" s="13" t="s">
        <v>2077</v>
      </c>
      <c r="N525" s="211" t="s">
        <v>2415</v>
      </c>
      <c r="O525" s="13" t="s">
        <v>2416</v>
      </c>
      <c r="P525" s="69" t="e">
        <f>VLOOKUP($B525,#REF!,2,FALSE)</f>
        <v>#REF!</v>
      </c>
      <c r="Q525" s="13" t="e">
        <f t="shared" si="398"/>
        <v>#REF!</v>
      </c>
      <c r="R525" s="215" t="e">
        <f>VLOOKUP($B525,#REF!,6,FALSE)</f>
        <v>#REF!</v>
      </c>
      <c r="S525" s="215" t="e">
        <f>VLOOKUP($B525,#REF!,7,FALSE)</f>
        <v>#REF!</v>
      </c>
      <c r="T525" s="13">
        <v>85</v>
      </c>
      <c r="U525" s="167" t="e">
        <f>VLOOKUP($B525,#REF!,9,FALSE)</f>
        <v>#REF!</v>
      </c>
      <c r="V525" s="13">
        <v>1</v>
      </c>
      <c r="W525" s="13" t="s">
        <v>2417</v>
      </c>
      <c r="X525" s="13" t="s">
        <v>1924</v>
      </c>
      <c r="Y525" s="13" t="s">
        <v>2073</v>
      </c>
      <c r="Z525" s="13" t="s">
        <v>2073</v>
      </c>
      <c r="AA525" s="13" t="s">
        <v>2073</v>
      </c>
      <c r="AB525" s="13" t="s">
        <v>1924</v>
      </c>
      <c r="AC525" s="211" t="s">
        <v>2415</v>
      </c>
      <c r="AD525" s="13" t="s">
        <v>2416</v>
      </c>
      <c r="AE525" s="69" t="e">
        <f>VLOOKUP($B525,#REF!,4,FALSE)</f>
        <v>#REF!</v>
      </c>
      <c r="AF525" s="13" t="s">
        <v>2418</v>
      </c>
      <c r="AG525" s="13" t="s">
        <v>2419</v>
      </c>
      <c r="AH525" s="13" t="s">
        <v>2420</v>
      </c>
      <c r="AI525" s="13" t="s">
        <v>2421</v>
      </c>
      <c r="AJ525" s="13" t="s">
        <v>2422</v>
      </c>
      <c r="AK525" s="13" t="s">
        <v>2416</v>
      </c>
      <c r="AL525" s="13" t="s">
        <v>2077</v>
      </c>
      <c r="AM525" s="13" t="s">
        <v>2077</v>
      </c>
      <c r="AN525" s="13" t="s">
        <v>2077</v>
      </c>
      <c r="AO525" s="13" t="s">
        <v>2077</v>
      </c>
      <c r="AP525" s="13" t="s">
        <v>2077</v>
      </c>
      <c r="AQ525" s="13" t="s">
        <v>2077</v>
      </c>
      <c r="AR525" s="13" t="s">
        <v>2418</v>
      </c>
      <c r="AS525" s="13" t="s">
        <v>2419</v>
      </c>
      <c r="AT525" s="13" t="s">
        <v>2420</v>
      </c>
      <c r="AU525" s="13" t="s">
        <v>2421</v>
      </c>
      <c r="AV525" s="13" t="s">
        <v>2422</v>
      </c>
      <c r="AW525" s="13" t="s">
        <v>2416</v>
      </c>
      <c r="AX525" s="13" t="s">
        <v>2073</v>
      </c>
      <c r="AY525" s="13" t="s">
        <v>2073</v>
      </c>
      <c r="AZ525" s="13" t="s">
        <v>2073</v>
      </c>
      <c r="BA525" s="13" t="s">
        <v>2073</v>
      </c>
      <c r="BB525" s="13" t="s">
        <v>2073</v>
      </c>
      <c r="BC525" s="13" t="s">
        <v>2073</v>
      </c>
    </row>
    <row r="526" spans="1:55" ht="15.75" customHeight="1">
      <c r="A526" s="6">
        <v>1300</v>
      </c>
      <c r="B526" s="7" t="s">
        <v>1534</v>
      </c>
      <c r="C526" s="211" t="s">
        <v>2412</v>
      </c>
      <c r="D526" s="13" t="e">
        <f>VLOOKUP($B526,#REF!,2,FALSE)</f>
        <v>#REF!</v>
      </c>
      <c r="E526" s="13" t="e">
        <f>VLOOKUP($B526,#REF!,10,FALSE)</f>
        <v>#REF!</v>
      </c>
      <c r="F526" s="211" t="s">
        <v>2413</v>
      </c>
      <c r="G526" s="13" t="s">
        <v>2414</v>
      </c>
      <c r="H526" s="13" t="s">
        <v>2077</v>
      </c>
      <c r="I526" s="13" t="s">
        <v>2077</v>
      </c>
      <c r="J526" s="13" t="s">
        <v>2077</v>
      </c>
      <c r="K526" s="13" t="s">
        <v>2077</v>
      </c>
      <c r="L526" s="13" t="s">
        <v>2077</v>
      </c>
      <c r="M526" s="13" t="s">
        <v>2077</v>
      </c>
      <c r="N526" s="211" t="s">
        <v>2415</v>
      </c>
      <c r="O526" s="13" t="s">
        <v>2416</v>
      </c>
      <c r="P526" s="69" t="e">
        <f>VLOOKUP($B526,#REF!,2,FALSE)</f>
        <v>#REF!</v>
      </c>
      <c r="Q526" s="13" t="e">
        <f t="shared" si="398"/>
        <v>#REF!</v>
      </c>
      <c r="R526" s="215" t="e">
        <f>VLOOKUP($B526,#REF!,6,FALSE)</f>
        <v>#REF!</v>
      </c>
      <c r="S526" s="215" t="e">
        <f>VLOOKUP($B526,#REF!,7,FALSE)</f>
        <v>#REF!</v>
      </c>
      <c r="T526" s="13">
        <v>85</v>
      </c>
      <c r="U526" s="167" t="e">
        <f>VLOOKUP($B526,#REF!,9,FALSE)</f>
        <v>#REF!</v>
      </c>
      <c r="V526" s="13">
        <v>1</v>
      </c>
      <c r="W526" s="13" t="s">
        <v>2417</v>
      </c>
      <c r="X526" s="13" t="s">
        <v>1924</v>
      </c>
      <c r="Y526" s="13" t="s">
        <v>2073</v>
      </c>
      <c r="Z526" s="13" t="s">
        <v>2073</v>
      </c>
      <c r="AA526" s="13" t="s">
        <v>2073</v>
      </c>
      <c r="AB526" s="13" t="s">
        <v>1924</v>
      </c>
      <c r="AC526" s="211" t="s">
        <v>2415</v>
      </c>
      <c r="AD526" s="13" t="s">
        <v>2416</v>
      </c>
      <c r="AE526" s="69" t="e">
        <f>VLOOKUP($B526,#REF!,4,FALSE)</f>
        <v>#REF!</v>
      </c>
      <c r="AF526" s="13" t="s">
        <v>2418</v>
      </c>
      <c r="AG526" s="13" t="s">
        <v>2419</v>
      </c>
      <c r="AH526" s="13" t="s">
        <v>2420</v>
      </c>
      <c r="AI526" s="13" t="s">
        <v>2421</v>
      </c>
      <c r="AJ526" s="13" t="s">
        <v>2422</v>
      </c>
      <c r="AK526" s="13" t="s">
        <v>2416</v>
      </c>
      <c r="AL526" s="13" t="s">
        <v>2077</v>
      </c>
      <c r="AM526" s="13" t="s">
        <v>2077</v>
      </c>
      <c r="AN526" s="13" t="s">
        <v>2077</v>
      </c>
      <c r="AO526" s="13" t="s">
        <v>2077</v>
      </c>
      <c r="AP526" s="13" t="s">
        <v>2077</v>
      </c>
      <c r="AQ526" s="13" t="s">
        <v>2077</v>
      </c>
      <c r="AR526" s="13" t="s">
        <v>2418</v>
      </c>
      <c r="AS526" s="13" t="s">
        <v>2419</v>
      </c>
      <c r="AT526" s="13" t="s">
        <v>2420</v>
      </c>
      <c r="AU526" s="13" t="s">
        <v>2421</v>
      </c>
      <c r="AV526" s="13" t="s">
        <v>2422</v>
      </c>
      <c r="AW526" s="13" t="s">
        <v>2416</v>
      </c>
      <c r="AX526" s="13" t="s">
        <v>2073</v>
      </c>
      <c r="AY526" s="13" t="s">
        <v>2073</v>
      </c>
      <c r="AZ526" s="13" t="s">
        <v>2073</v>
      </c>
      <c r="BA526" s="13" t="s">
        <v>2073</v>
      </c>
      <c r="BB526" s="13" t="s">
        <v>2073</v>
      </c>
      <c r="BC526" s="13" t="s">
        <v>2073</v>
      </c>
    </row>
    <row r="527" spans="1:55" ht="15.75" customHeight="1">
      <c r="A527" s="6">
        <v>1300</v>
      </c>
      <c r="B527" s="7" t="s">
        <v>1537</v>
      </c>
      <c r="C527" s="211" t="s">
        <v>2412</v>
      </c>
      <c r="D527" s="13" t="e">
        <f>VLOOKUP($B527,#REF!,2,FALSE)</f>
        <v>#REF!</v>
      </c>
      <c r="E527" s="13" t="e">
        <f>VLOOKUP($B527,#REF!,10,FALSE)</f>
        <v>#REF!</v>
      </c>
      <c r="F527" s="211" t="s">
        <v>2413</v>
      </c>
      <c r="G527" s="13" t="s">
        <v>2414</v>
      </c>
      <c r="H527" s="13" t="s">
        <v>2077</v>
      </c>
      <c r="I527" s="13" t="s">
        <v>2077</v>
      </c>
      <c r="J527" s="13" t="s">
        <v>2077</v>
      </c>
      <c r="K527" s="13" t="s">
        <v>2077</v>
      </c>
      <c r="L527" s="13" t="s">
        <v>2077</v>
      </c>
      <c r="M527" s="13" t="s">
        <v>2077</v>
      </c>
      <c r="N527" s="211" t="s">
        <v>2415</v>
      </c>
      <c r="O527" s="13" t="s">
        <v>2416</v>
      </c>
      <c r="P527" s="69" t="e">
        <f>VLOOKUP($B527,#REF!,2,FALSE)</f>
        <v>#REF!</v>
      </c>
      <c r="Q527" s="13" t="e">
        <f t="shared" si="398"/>
        <v>#REF!</v>
      </c>
      <c r="R527" s="215" t="e">
        <f>VLOOKUP($B527,#REF!,6,FALSE)</f>
        <v>#REF!</v>
      </c>
      <c r="S527" s="215" t="e">
        <f>VLOOKUP($B527,#REF!,7,FALSE)</f>
        <v>#REF!</v>
      </c>
      <c r="T527" s="13">
        <v>85</v>
      </c>
      <c r="U527" s="167" t="e">
        <f>VLOOKUP($B527,#REF!,9,FALSE)</f>
        <v>#REF!</v>
      </c>
      <c r="V527" s="13">
        <v>1</v>
      </c>
      <c r="W527" s="13" t="s">
        <v>2417</v>
      </c>
      <c r="X527" s="13" t="s">
        <v>1924</v>
      </c>
      <c r="Y527" s="13" t="s">
        <v>2073</v>
      </c>
      <c r="Z527" s="13" t="s">
        <v>2073</v>
      </c>
      <c r="AA527" s="13" t="s">
        <v>2073</v>
      </c>
      <c r="AB527" s="13" t="s">
        <v>1924</v>
      </c>
      <c r="AC527" s="211" t="s">
        <v>2415</v>
      </c>
      <c r="AD527" s="13" t="s">
        <v>2416</v>
      </c>
      <c r="AE527" s="69" t="e">
        <f>VLOOKUP($B527,#REF!,4,FALSE)</f>
        <v>#REF!</v>
      </c>
      <c r="AF527" s="13" t="s">
        <v>2418</v>
      </c>
      <c r="AG527" s="13" t="s">
        <v>2419</v>
      </c>
      <c r="AH527" s="13" t="s">
        <v>2420</v>
      </c>
      <c r="AI527" s="13" t="s">
        <v>2421</v>
      </c>
      <c r="AJ527" s="13" t="s">
        <v>2422</v>
      </c>
      <c r="AK527" s="13" t="s">
        <v>2416</v>
      </c>
      <c r="AL527" s="13" t="s">
        <v>2077</v>
      </c>
      <c r="AM527" s="13" t="s">
        <v>2077</v>
      </c>
      <c r="AN527" s="13" t="s">
        <v>2077</v>
      </c>
      <c r="AO527" s="13" t="s">
        <v>2077</v>
      </c>
      <c r="AP527" s="13" t="s">
        <v>2077</v>
      </c>
      <c r="AQ527" s="13" t="s">
        <v>2077</v>
      </c>
      <c r="AR527" s="13" t="s">
        <v>2418</v>
      </c>
      <c r="AS527" s="13" t="s">
        <v>2419</v>
      </c>
      <c r="AT527" s="13" t="s">
        <v>2420</v>
      </c>
      <c r="AU527" s="13" t="s">
        <v>2421</v>
      </c>
      <c r="AV527" s="13" t="s">
        <v>2422</v>
      </c>
      <c r="AW527" s="13" t="s">
        <v>2416</v>
      </c>
      <c r="AX527" s="13" t="s">
        <v>2073</v>
      </c>
      <c r="AY527" s="13" t="s">
        <v>2073</v>
      </c>
      <c r="AZ527" s="13" t="s">
        <v>2073</v>
      </c>
      <c r="BA527" s="13" t="s">
        <v>2073</v>
      </c>
      <c r="BB527" s="13" t="s">
        <v>2073</v>
      </c>
      <c r="BC527" s="13" t="s">
        <v>2073</v>
      </c>
    </row>
    <row r="528" spans="1:55" ht="15.75" customHeight="1">
      <c r="A528" s="6">
        <v>1300</v>
      </c>
      <c r="B528" s="7" t="s">
        <v>1540</v>
      </c>
      <c r="C528" s="211" t="s">
        <v>2412</v>
      </c>
      <c r="D528" s="13" t="e">
        <f>VLOOKUP($B528,#REF!,2,FALSE)</f>
        <v>#REF!</v>
      </c>
      <c r="E528" s="13" t="e">
        <f>VLOOKUP($B528,#REF!,10,FALSE)</f>
        <v>#REF!</v>
      </c>
      <c r="F528" s="211" t="s">
        <v>2413</v>
      </c>
      <c r="G528" s="13" t="s">
        <v>2414</v>
      </c>
      <c r="H528" s="13" t="s">
        <v>2077</v>
      </c>
      <c r="I528" s="13" t="s">
        <v>2077</v>
      </c>
      <c r="J528" s="13" t="s">
        <v>2077</v>
      </c>
      <c r="K528" s="13" t="s">
        <v>2077</v>
      </c>
      <c r="L528" s="13" t="s">
        <v>2077</v>
      </c>
      <c r="M528" s="13" t="s">
        <v>2077</v>
      </c>
      <c r="N528" s="211" t="s">
        <v>2415</v>
      </c>
      <c r="O528" s="13" t="s">
        <v>2416</v>
      </c>
      <c r="P528" s="69" t="e">
        <f>VLOOKUP($B528,#REF!,2,FALSE)</f>
        <v>#REF!</v>
      </c>
      <c r="Q528" s="13" t="e">
        <f t="shared" si="398"/>
        <v>#REF!</v>
      </c>
      <c r="R528" s="215" t="e">
        <f>VLOOKUP($B528,#REF!,6,FALSE)</f>
        <v>#REF!</v>
      </c>
      <c r="S528" s="216" t="e">
        <f>VLOOKUP($B528,#REF!,7,FALSE)</f>
        <v>#REF!</v>
      </c>
      <c r="T528" s="13">
        <v>85</v>
      </c>
      <c r="U528" s="167" t="e">
        <f>VLOOKUP($B528,#REF!,9,FALSE)</f>
        <v>#REF!</v>
      </c>
      <c r="V528" s="13">
        <v>1</v>
      </c>
      <c r="W528" s="13" t="s">
        <v>2417</v>
      </c>
      <c r="X528" s="13" t="s">
        <v>1924</v>
      </c>
      <c r="Y528" s="13" t="s">
        <v>2073</v>
      </c>
      <c r="Z528" s="13" t="s">
        <v>2073</v>
      </c>
      <c r="AA528" s="13" t="s">
        <v>2073</v>
      </c>
      <c r="AB528" s="13" t="s">
        <v>1924</v>
      </c>
      <c r="AC528" s="211" t="s">
        <v>2415</v>
      </c>
      <c r="AD528" s="13" t="s">
        <v>2416</v>
      </c>
      <c r="AE528" s="69" t="e">
        <f>VLOOKUP($B528,#REF!,4,FALSE)</f>
        <v>#REF!</v>
      </c>
      <c r="AF528" s="13" t="s">
        <v>2418</v>
      </c>
      <c r="AG528" s="13" t="s">
        <v>2419</v>
      </c>
      <c r="AH528" s="13" t="s">
        <v>2420</v>
      </c>
      <c r="AI528" s="13" t="s">
        <v>2421</v>
      </c>
      <c r="AJ528" s="13" t="s">
        <v>2422</v>
      </c>
      <c r="AK528" s="13" t="s">
        <v>2416</v>
      </c>
      <c r="AL528" s="13" t="s">
        <v>2077</v>
      </c>
      <c r="AM528" s="13" t="s">
        <v>2077</v>
      </c>
      <c r="AN528" s="13" t="s">
        <v>2077</v>
      </c>
      <c r="AO528" s="13" t="s">
        <v>2077</v>
      </c>
      <c r="AP528" s="13" t="s">
        <v>2077</v>
      </c>
      <c r="AQ528" s="13" t="s">
        <v>2077</v>
      </c>
      <c r="AR528" s="13" t="s">
        <v>2418</v>
      </c>
      <c r="AS528" s="13" t="s">
        <v>2419</v>
      </c>
      <c r="AT528" s="13" t="s">
        <v>2420</v>
      </c>
      <c r="AU528" s="13" t="s">
        <v>2421</v>
      </c>
      <c r="AV528" s="13" t="s">
        <v>2422</v>
      </c>
      <c r="AW528" s="13" t="s">
        <v>2416</v>
      </c>
      <c r="AX528" s="13" t="s">
        <v>2073</v>
      </c>
      <c r="AY528" s="13" t="s">
        <v>2073</v>
      </c>
      <c r="AZ528" s="13" t="s">
        <v>2073</v>
      </c>
      <c r="BA528" s="13" t="s">
        <v>2073</v>
      </c>
      <c r="BB528" s="13" t="s">
        <v>2073</v>
      </c>
      <c r="BC528" s="13" t="s">
        <v>2073</v>
      </c>
    </row>
    <row r="529" spans="1:55" ht="15.75" customHeight="1">
      <c r="A529" s="6">
        <v>1300</v>
      </c>
      <c r="B529" s="7" t="s">
        <v>1543</v>
      </c>
      <c r="C529" s="211" t="s">
        <v>2412</v>
      </c>
      <c r="D529" s="13" t="e">
        <f>VLOOKUP($B529,#REF!,2,FALSE)</f>
        <v>#REF!</v>
      </c>
      <c r="E529" s="13" t="e">
        <f>VLOOKUP($B529,#REF!,10,FALSE)</f>
        <v>#REF!</v>
      </c>
      <c r="F529" s="211" t="s">
        <v>2413</v>
      </c>
      <c r="G529" s="13" t="s">
        <v>2414</v>
      </c>
      <c r="H529" s="13" t="s">
        <v>2077</v>
      </c>
      <c r="I529" s="13" t="s">
        <v>2077</v>
      </c>
      <c r="J529" s="13" t="s">
        <v>2077</v>
      </c>
      <c r="K529" s="13" t="s">
        <v>2077</v>
      </c>
      <c r="L529" s="13" t="s">
        <v>2077</v>
      </c>
      <c r="M529" s="13" t="s">
        <v>2077</v>
      </c>
      <c r="N529" s="211" t="s">
        <v>2415</v>
      </c>
      <c r="O529" s="13" t="s">
        <v>2416</v>
      </c>
      <c r="P529" s="69" t="e">
        <f>VLOOKUP($B529,#REF!,2,FALSE)</f>
        <v>#REF!</v>
      </c>
      <c r="Q529" s="13" t="e">
        <f t="shared" si="398"/>
        <v>#REF!</v>
      </c>
      <c r="R529" s="215" t="e">
        <f>VLOOKUP($B529,#REF!,6,FALSE)</f>
        <v>#REF!</v>
      </c>
      <c r="S529" s="215" t="e">
        <f>VLOOKUP($B529,#REF!,7,FALSE)</f>
        <v>#REF!</v>
      </c>
      <c r="T529" s="13">
        <v>85</v>
      </c>
      <c r="U529" s="167" t="e">
        <f>VLOOKUP($B529,#REF!,9,FALSE)</f>
        <v>#REF!</v>
      </c>
      <c r="V529" s="13">
        <v>1</v>
      </c>
      <c r="W529" s="13" t="s">
        <v>2417</v>
      </c>
      <c r="X529" s="13" t="s">
        <v>1924</v>
      </c>
      <c r="Y529" s="13" t="s">
        <v>2073</v>
      </c>
      <c r="Z529" s="13" t="s">
        <v>2073</v>
      </c>
      <c r="AA529" s="13" t="s">
        <v>2073</v>
      </c>
      <c r="AB529" s="13" t="s">
        <v>1924</v>
      </c>
      <c r="AC529" s="211" t="s">
        <v>2415</v>
      </c>
      <c r="AD529" s="13" t="s">
        <v>2416</v>
      </c>
      <c r="AE529" s="69" t="e">
        <f>VLOOKUP($B529,#REF!,4,FALSE)</f>
        <v>#REF!</v>
      </c>
      <c r="AF529" s="13" t="s">
        <v>2418</v>
      </c>
      <c r="AG529" s="13" t="s">
        <v>2419</v>
      </c>
      <c r="AH529" s="13" t="s">
        <v>2420</v>
      </c>
      <c r="AI529" s="13" t="s">
        <v>2421</v>
      </c>
      <c r="AJ529" s="13" t="s">
        <v>2422</v>
      </c>
      <c r="AK529" s="13" t="s">
        <v>2416</v>
      </c>
      <c r="AL529" s="13" t="s">
        <v>2077</v>
      </c>
      <c r="AM529" s="13" t="s">
        <v>2077</v>
      </c>
      <c r="AN529" s="13" t="s">
        <v>2077</v>
      </c>
      <c r="AO529" s="13" t="s">
        <v>2077</v>
      </c>
      <c r="AP529" s="13" t="s">
        <v>2077</v>
      </c>
      <c r="AQ529" s="13" t="s">
        <v>2077</v>
      </c>
      <c r="AR529" s="13" t="s">
        <v>2418</v>
      </c>
      <c r="AS529" s="13" t="s">
        <v>2419</v>
      </c>
      <c r="AT529" s="13" t="s">
        <v>2420</v>
      </c>
      <c r="AU529" s="13" t="s">
        <v>2421</v>
      </c>
      <c r="AV529" s="13" t="s">
        <v>2422</v>
      </c>
      <c r="AW529" s="13" t="s">
        <v>2416</v>
      </c>
      <c r="AX529" s="13" t="s">
        <v>2073</v>
      </c>
      <c r="AY529" s="13" t="s">
        <v>2073</v>
      </c>
      <c r="AZ529" s="13" t="s">
        <v>2073</v>
      </c>
      <c r="BA529" s="13" t="s">
        <v>2073</v>
      </c>
      <c r="BB529" s="13" t="s">
        <v>2073</v>
      </c>
      <c r="BC529" s="13" t="s">
        <v>2073</v>
      </c>
    </row>
    <row r="530" spans="1:55" ht="15.75" customHeight="1">
      <c r="A530" s="6">
        <v>1300</v>
      </c>
      <c r="B530" s="7" t="s">
        <v>1546</v>
      </c>
      <c r="C530" s="211" t="s">
        <v>2412</v>
      </c>
      <c r="D530" s="13" t="e">
        <f>VLOOKUP($B530,#REF!,2,FALSE)</f>
        <v>#REF!</v>
      </c>
      <c r="E530" s="13" t="e">
        <f>VLOOKUP($B530,#REF!,10,FALSE)</f>
        <v>#REF!</v>
      </c>
      <c r="F530" s="211" t="s">
        <v>2413</v>
      </c>
      <c r="G530" s="13" t="s">
        <v>2414</v>
      </c>
      <c r="H530" s="13" t="s">
        <v>2077</v>
      </c>
      <c r="I530" s="13" t="s">
        <v>2077</v>
      </c>
      <c r="J530" s="13" t="s">
        <v>2077</v>
      </c>
      <c r="K530" s="13" t="s">
        <v>2077</v>
      </c>
      <c r="L530" s="13" t="s">
        <v>2077</v>
      </c>
      <c r="M530" s="13" t="s">
        <v>2077</v>
      </c>
      <c r="N530" s="211" t="s">
        <v>2415</v>
      </c>
      <c r="O530" s="13" t="s">
        <v>2416</v>
      </c>
      <c r="P530" s="69" t="e">
        <f>VLOOKUP($B530,#REF!,2,FALSE)</f>
        <v>#REF!</v>
      </c>
      <c r="Q530" s="13" t="e">
        <f t="shared" si="398"/>
        <v>#REF!</v>
      </c>
      <c r="R530" s="215" t="e">
        <f>VLOOKUP($B530,#REF!,6,FALSE)</f>
        <v>#REF!</v>
      </c>
      <c r="S530" s="216" t="e">
        <f>VLOOKUP($B530,#REF!,7,FALSE)</f>
        <v>#REF!</v>
      </c>
      <c r="T530" s="13">
        <v>85</v>
      </c>
      <c r="U530" s="217" t="e">
        <f>VLOOKUP($B530,#REF!,9,FALSE)</f>
        <v>#REF!</v>
      </c>
      <c r="V530" s="13">
        <v>1</v>
      </c>
      <c r="W530" s="13" t="s">
        <v>2417</v>
      </c>
      <c r="X530" s="13" t="s">
        <v>1924</v>
      </c>
      <c r="Y530" s="13" t="s">
        <v>2073</v>
      </c>
      <c r="Z530" s="13" t="s">
        <v>2073</v>
      </c>
      <c r="AA530" s="13" t="s">
        <v>2073</v>
      </c>
      <c r="AB530" s="13" t="s">
        <v>1924</v>
      </c>
      <c r="AC530" s="211" t="s">
        <v>2415</v>
      </c>
      <c r="AD530" s="13" t="s">
        <v>2416</v>
      </c>
      <c r="AE530" s="69" t="e">
        <f>VLOOKUP($B530,#REF!,4,FALSE)</f>
        <v>#REF!</v>
      </c>
      <c r="AF530" s="13" t="s">
        <v>2418</v>
      </c>
      <c r="AG530" s="13" t="s">
        <v>2419</v>
      </c>
      <c r="AH530" s="13" t="s">
        <v>2420</v>
      </c>
      <c r="AI530" s="13" t="s">
        <v>2421</v>
      </c>
      <c r="AJ530" s="13" t="s">
        <v>2422</v>
      </c>
      <c r="AK530" s="13" t="s">
        <v>2416</v>
      </c>
      <c r="AL530" s="13" t="s">
        <v>2077</v>
      </c>
      <c r="AM530" s="13" t="s">
        <v>2077</v>
      </c>
      <c r="AN530" s="13" t="s">
        <v>2077</v>
      </c>
      <c r="AO530" s="13" t="s">
        <v>2077</v>
      </c>
      <c r="AP530" s="13" t="s">
        <v>2077</v>
      </c>
      <c r="AQ530" s="13" t="s">
        <v>2077</v>
      </c>
      <c r="AR530" s="13" t="s">
        <v>2418</v>
      </c>
      <c r="AS530" s="13" t="s">
        <v>2419</v>
      </c>
      <c r="AT530" s="13" t="s">
        <v>2420</v>
      </c>
      <c r="AU530" s="13" t="s">
        <v>2421</v>
      </c>
      <c r="AV530" s="13" t="s">
        <v>2422</v>
      </c>
      <c r="AW530" s="13" t="s">
        <v>2416</v>
      </c>
      <c r="AX530" s="13" t="s">
        <v>2073</v>
      </c>
      <c r="AY530" s="13" t="s">
        <v>2073</v>
      </c>
      <c r="AZ530" s="13" t="s">
        <v>2073</v>
      </c>
      <c r="BA530" s="13" t="s">
        <v>2073</v>
      </c>
      <c r="BB530" s="13" t="s">
        <v>2073</v>
      </c>
      <c r="BC530" s="13" t="s">
        <v>2073</v>
      </c>
    </row>
    <row r="531" spans="1:55" ht="15.75" customHeight="1">
      <c r="A531" s="6">
        <v>1300</v>
      </c>
      <c r="B531" s="7" t="s">
        <v>1551</v>
      </c>
      <c r="C531" s="211" t="s">
        <v>2412</v>
      </c>
      <c r="D531" s="13" t="e">
        <f>VLOOKUP($B531,#REF!,2,FALSE)</f>
        <v>#REF!</v>
      </c>
      <c r="E531" s="13" t="e">
        <f>VLOOKUP($B531,#REF!,10,FALSE)</f>
        <v>#REF!</v>
      </c>
      <c r="F531" s="211" t="s">
        <v>2413</v>
      </c>
      <c r="G531" s="13" t="s">
        <v>2414</v>
      </c>
      <c r="H531" s="13" t="s">
        <v>2077</v>
      </c>
      <c r="I531" s="13" t="s">
        <v>2077</v>
      </c>
      <c r="J531" s="13" t="s">
        <v>2077</v>
      </c>
      <c r="K531" s="13" t="s">
        <v>2077</v>
      </c>
      <c r="L531" s="13" t="s">
        <v>2077</v>
      </c>
      <c r="M531" s="13" t="s">
        <v>2077</v>
      </c>
      <c r="N531" s="211" t="s">
        <v>2415</v>
      </c>
      <c r="O531" s="13" t="s">
        <v>2416</v>
      </c>
      <c r="P531" s="69" t="e">
        <f>VLOOKUP($B531,#REF!,2,FALSE)</f>
        <v>#REF!</v>
      </c>
      <c r="Q531" s="13" t="e">
        <f t="shared" si="398"/>
        <v>#REF!</v>
      </c>
      <c r="R531" s="215" t="e">
        <f>VLOOKUP($B531,#REF!,6,FALSE)</f>
        <v>#REF!</v>
      </c>
      <c r="S531" s="215" t="e">
        <f>VLOOKUP($B531,#REF!,7,FALSE)</f>
        <v>#REF!</v>
      </c>
      <c r="T531" s="13">
        <v>85</v>
      </c>
      <c r="U531" s="167" t="e">
        <f>VLOOKUP($B531,#REF!,9,FALSE)</f>
        <v>#REF!</v>
      </c>
      <c r="V531" s="13">
        <v>1</v>
      </c>
      <c r="W531" s="13" t="s">
        <v>2417</v>
      </c>
      <c r="X531" s="13" t="s">
        <v>1924</v>
      </c>
      <c r="Y531" s="13" t="s">
        <v>2073</v>
      </c>
      <c r="Z531" s="13" t="s">
        <v>2073</v>
      </c>
      <c r="AA531" s="13" t="s">
        <v>2073</v>
      </c>
      <c r="AB531" s="13" t="s">
        <v>1924</v>
      </c>
      <c r="AC531" s="211" t="s">
        <v>2415</v>
      </c>
      <c r="AD531" s="13" t="s">
        <v>2416</v>
      </c>
      <c r="AE531" s="69" t="e">
        <f>VLOOKUP($B531,#REF!,4,FALSE)</f>
        <v>#REF!</v>
      </c>
      <c r="AF531" s="13" t="s">
        <v>2418</v>
      </c>
      <c r="AG531" s="13" t="s">
        <v>2419</v>
      </c>
      <c r="AH531" s="13" t="s">
        <v>2420</v>
      </c>
      <c r="AI531" s="13" t="s">
        <v>2421</v>
      </c>
      <c r="AJ531" s="13" t="s">
        <v>2422</v>
      </c>
      <c r="AK531" s="13" t="s">
        <v>2416</v>
      </c>
      <c r="AL531" s="13" t="s">
        <v>2077</v>
      </c>
      <c r="AM531" s="13" t="s">
        <v>2077</v>
      </c>
      <c r="AN531" s="13" t="s">
        <v>2077</v>
      </c>
      <c r="AO531" s="13" t="s">
        <v>2077</v>
      </c>
      <c r="AP531" s="13" t="s">
        <v>2077</v>
      </c>
      <c r="AQ531" s="13" t="s">
        <v>2077</v>
      </c>
      <c r="AR531" s="13" t="s">
        <v>2418</v>
      </c>
      <c r="AS531" s="13" t="s">
        <v>2419</v>
      </c>
      <c r="AT531" s="13" t="s">
        <v>2420</v>
      </c>
      <c r="AU531" s="13" t="s">
        <v>2421</v>
      </c>
      <c r="AV531" s="13" t="s">
        <v>2422</v>
      </c>
      <c r="AW531" s="13" t="s">
        <v>2416</v>
      </c>
      <c r="AX531" s="13" t="s">
        <v>2073</v>
      </c>
      <c r="AY531" s="13" t="s">
        <v>2073</v>
      </c>
      <c r="AZ531" s="13" t="s">
        <v>2073</v>
      </c>
      <c r="BA531" s="13" t="s">
        <v>2073</v>
      </c>
      <c r="BB531" s="13" t="s">
        <v>2073</v>
      </c>
      <c r="BC531" s="13" t="s">
        <v>2073</v>
      </c>
    </row>
    <row r="532" spans="1:55" ht="15.75" customHeight="1">
      <c r="P532" s="69"/>
      <c r="R532" s="215"/>
      <c r="S532" s="215"/>
      <c r="AE532" s="69"/>
    </row>
    <row r="533" spans="1:55" ht="15.75" customHeight="1">
      <c r="A533" s="6">
        <v>2000</v>
      </c>
      <c r="B533" s="7" t="s">
        <v>1174</v>
      </c>
      <c r="C533" s="211" t="s">
        <v>2412</v>
      </c>
      <c r="D533" s="13" t="e">
        <f>VLOOKUP($B533,#REF!,2,FALSE)</f>
        <v>#REF!</v>
      </c>
      <c r="E533" s="13" t="e">
        <f>VLOOKUP($B533,#REF!,10,FALSE)</f>
        <v>#REF!</v>
      </c>
      <c r="F533" s="211" t="s">
        <v>2413</v>
      </c>
      <c r="G533" s="13" t="s">
        <v>2414</v>
      </c>
      <c r="H533" s="13" t="s">
        <v>2077</v>
      </c>
      <c r="I533" s="13" t="s">
        <v>2077</v>
      </c>
      <c r="J533" s="13" t="s">
        <v>2077</v>
      </c>
      <c r="K533" s="13" t="s">
        <v>2077</v>
      </c>
      <c r="L533" s="13" t="s">
        <v>2077</v>
      </c>
      <c r="M533" s="13" t="s">
        <v>2077</v>
      </c>
      <c r="N533" s="211" t="s">
        <v>2415</v>
      </c>
      <c r="O533" s="13" t="s">
        <v>2416</v>
      </c>
      <c r="P533" s="69" t="e">
        <f>VLOOKUP($B533,#REF!,2,FALSE)</f>
        <v>#REF!</v>
      </c>
      <c r="Q533" s="13" t="e">
        <f t="shared" ref="Q533:Q564" si="399">E533</f>
        <v>#REF!</v>
      </c>
      <c r="R533" s="216" t="e">
        <f>VLOOKUP($B533,#REF!,6,FALSE)</f>
        <v>#REF!</v>
      </c>
      <c r="S533" s="213" t="e">
        <f>VLOOKUP($B533,#REF!,7,FALSE)</f>
        <v>#REF!</v>
      </c>
      <c r="T533" s="13">
        <v>85</v>
      </c>
      <c r="U533" s="167" t="e">
        <f>VLOOKUP($B533,#REF!,9,FALSE)</f>
        <v>#REF!</v>
      </c>
      <c r="V533" s="13">
        <v>1</v>
      </c>
      <c r="W533" s="13" t="s">
        <v>2417</v>
      </c>
      <c r="X533" s="13" t="s">
        <v>1924</v>
      </c>
      <c r="Y533" s="13" t="s">
        <v>2073</v>
      </c>
      <c r="Z533" s="13" t="s">
        <v>2073</v>
      </c>
      <c r="AA533" s="13" t="s">
        <v>2073</v>
      </c>
      <c r="AB533" s="13" t="s">
        <v>1924</v>
      </c>
      <c r="AC533" s="211" t="s">
        <v>2415</v>
      </c>
      <c r="AD533" s="13" t="s">
        <v>2416</v>
      </c>
      <c r="AE533" s="69" t="e">
        <f>VLOOKUP($B533,#REF!,4,FALSE)</f>
        <v>#REF!</v>
      </c>
      <c r="AF533" s="13" t="s">
        <v>2418</v>
      </c>
      <c r="AG533" s="13" t="s">
        <v>2419</v>
      </c>
      <c r="AH533" s="13" t="s">
        <v>2420</v>
      </c>
      <c r="AI533" s="13" t="s">
        <v>2421</v>
      </c>
      <c r="AJ533" s="13" t="s">
        <v>2422</v>
      </c>
      <c r="AK533" s="13" t="s">
        <v>2416</v>
      </c>
      <c r="AL533" s="13" t="s">
        <v>2077</v>
      </c>
      <c r="AM533" s="13" t="s">
        <v>2077</v>
      </c>
      <c r="AN533" s="13" t="s">
        <v>2077</v>
      </c>
      <c r="AO533" s="13" t="s">
        <v>2077</v>
      </c>
      <c r="AP533" s="13" t="s">
        <v>2077</v>
      </c>
      <c r="AQ533" s="13" t="s">
        <v>2077</v>
      </c>
      <c r="AR533" s="13" t="s">
        <v>2418</v>
      </c>
      <c r="AS533" s="13" t="s">
        <v>2419</v>
      </c>
      <c r="AT533" s="13" t="s">
        <v>2420</v>
      </c>
      <c r="AU533" s="13" t="s">
        <v>2421</v>
      </c>
      <c r="AV533" s="13" t="s">
        <v>2422</v>
      </c>
      <c r="AW533" s="13" t="s">
        <v>2416</v>
      </c>
      <c r="AX533" s="13" t="s">
        <v>2073</v>
      </c>
      <c r="AY533" s="13" t="s">
        <v>2073</v>
      </c>
      <c r="AZ533" s="13" t="s">
        <v>2073</v>
      </c>
      <c r="BA533" s="13" t="s">
        <v>2073</v>
      </c>
      <c r="BB533" s="13" t="s">
        <v>2073</v>
      </c>
      <c r="BC533" s="13" t="s">
        <v>2073</v>
      </c>
    </row>
    <row r="534" spans="1:55" ht="15.75" customHeight="1">
      <c r="A534" s="6">
        <v>2000</v>
      </c>
      <c r="B534" s="7" t="s">
        <v>1179</v>
      </c>
      <c r="C534" s="211" t="s">
        <v>2412</v>
      </c>
      <c r="D534" s="13" t="e">
        <f>VLOOKUP($B534,#REF!,2,FALSE)</f>
        <v>#REF!</v>
      </c>
      <c r="E534" s="13" t="e">
        <f>VLOOKUP($B534,#REF!,10,FALSE)</f>
        <v>#REF!</v>
      </c>
      <c r="F534" s="211" t="s">
        <v>2413</v>
      </c>
      <c r="G534" s="13" t="s">
        <v>2414</v>
      </c>
      <c r="H534" s="13" t="s">
        <v>2077</v>
      </c>
      <c r="I534" s="13" t="s">
        <v>2077</v>
      </c>
      <c r="J534" s="13" t="s">
        <v>2077</v>
      </c>
      <c r="K534" s="13" t="s">
        <v>2077</v>
      </c>
      <c r="L534" s="13" t="s">
        <v>2077</v>
      </c>
      <c r="M534" s="13" t="s">
        <v>2077</v>
      </c>
      <c r="N534" s="211" t="s">
        <v>2415</v>
      </c>
      <c r="O534" s="13" t="s">
        <v>2416</v>
      </c>
      <c r="P534" s="69" t="e">
        <f>VLOOKUP($B534,#REF!,2,FALSE)</f>
        <v>#REF!</v>
      </c>
      <c r="Q534" s="13" t="e">
        <f t="shared" si="399"/>
        <v>#REF!</v>
      </c>
      <c r="R534" s="216" t="e">
        <f>VLOOKUP($B534,#REF!,6,FALSE)</f>
        <v>#REF!</v>
      </c>
      <c r="S534" s="213" t="e">
        <f>VLOOKUP($B534,#REF!,7,FALSE)</f>
        <v>#REF!</v>
      </c>
      <c r="T534" s="13">
        <v>85</v>
      </c>
      <c r="U534" s="167" t="e">
        <f>VLOOKUP($B534,#REF!,9,FALSE)</f>
        <v>#REF!</v>
      </c>
      <c r="V534" s="13">
        <v>1</v>
      </c>
      <c r="W534" s="13" t="s">
        <v>2417</v>
      </c>
      <c r="X534" s="13" t="s">
        <v>1924</v>
      </c>
      <c r="Y534" s="13" t="s">
        <v>2073</v>
      </c>
      <c r="Z534" s="13" t="s">
        <v>2073</v>
      </c>
      <c r="AA534" s="13" t="s">
        <v>2073</v>
      </c>
      <c r="AB534" s="13" t="s">
        <v>1924</v>
      </c>
      <c r="AC534" s="211" t="s">
        <v>2415</v>
      </c>
      <c r="AD534" s="13" t="s">
        <v>2416</v>
      </c>
      <c r="AE534" s="69" t="e">
        <f>VLOOKUP($B534,#REF!,4,FALSE)</f>
        <v>#REF!</v>
      </c>
      <c r="AF534" s="13" t="s">
        <v>2418</v>
      </c>
      <c r="AG534" s="13" t="s">
        <v>2419</v>
      </c>
      <c r="AH534" s="13" t="s">
        <v>2420</v>
      </c>
      <c r="AI534" s="13" t="s">
        <v>2421</v>
      </c>
      <c r="AJ534" s="13" t="s">
        <v>2422</v>
      </c>
      <c r="AK534" s="13" t="s">
        <v>2416</v>
      </c>
      <c r="AL534" s="13" t="s">
        <v>2077</v>
      </c>
      <c r="AM534" s="13" t="s">
        <v>2077</v>
      </c>
      <c r="AN534" s="13" t="s">
        <v>2077</v>
      </c>
      <c r="AO534" s="13" t="s">
        <v>2077</v>
      </c>
      <c r="AP534" s="13" t="s">
        <v>2077</v>
      </c>
      <c r="AQ534" s="13" t="s">
        <v>2077</v>
      </c>
      <c r="AR534" s="13" t="s">
        <v>2418</v>
      </c>
      <c r="AS534" s="13" t="s">
        <v>2419</v>
      </c>
      <c r="AT534" s="13" t="s">
        <v>2420</v>
      </c>
      <c r="AU534" s="13" t="s">
        <v>2421</v>
      </c>
      <c r="AV534" s="13" t="s">
        <v>2422</v>
      </c>
      <c r="AW534" s="13" t="s">
        <v>2416</v>
      </c>
      <c r="AX534" s="13" t="s">
        <v>2073</v>
      </c>
      <c r="AY534" s="13" t="s">
        <v>2073</v>
      </c>
      <c r="AZ534" s="13" t="s">
        <v>2073</v>
      </c>
      <c r="BA534" s="13" t="s">
        <v>2073</v>
      </c>
      <c r="BB534" s="13" t="s">
        <v>2073</v>
      </c>
      <c r="BC534" s="13" t="s">
        <v>2073</v>
      </c>
    </row>
    <row r="535" spans="1:55" ht="15.75" customHeight="1">
      <c r="A535" s="6">
        <v>2000</v>
      </c>
      <c r="B535" s="7" t="s">
        <v>1183</v>
      </c>
      <c r="C535" s="211" t="s">
        <v>2412</v>
      </c>
      <c r="D535" s="13" t="e">
        <f>VLOOKUP($B535,#REF!,2,FALSE)</f>
        <v>#REF!</v>
      </c>
      <c r="E535" s="13" t="e">
        <f>VLOOKUP($B535,#REF!,10,FALSE)</f>
        <v>#REF!</v>
      </c>
      <c r="F535" s="211" t="s">
        <v>2413</v>
      </c>
      <c r="G535" s="13" t="s">
        <v>2414</v>
      </c>
      <c r="H535" s="13" t="s">
        <v>2077</v>
      </c>
      <c r="I535" s="13" t="s">
        <v>2077</v>
      </c>
      <c r="J535" s="13" t="s">
        <v>2077</v>
      </c>
      <c r="K535" s="13" t="s">
        <v>2077</v>
      </c>
      <c r="L535" s="13" t="s">
        <v>2077</v>
      </c>
      <c r="M535" s="13" t="s">
        <v>2077</v>
      </c>
      <c r="N535" s="211" t="s">
        <v>2415</v>
      </c>
      <c r="O535" s="13" t="s">
        <v>2416</v>
      </c>
      <c r="P535" s="69" t="e">
        <f>VLOOKUP($B535,#REF!,2,FALSE)</f>
        <v>#REF!</v>
      </c>
      <c r="Q535" s="13" t="e">
        <f t="shared" si="399"/>
        <v>#REF!</v>
      </c>
      <c r="R535" s="215" t="e">
        <f>VLOOKUP($B535,#REF!,6,FALSE)</f>
        <v>#REF!</v>
      </c>
      <c r="S535" s="213" t="e">
        <f>VLOOKUP($B535,#REF!,7,FALSE)</f>
        <v>#REF!</v>
      </c>
      <c r="T535" s="13">
        <v>85</v>
      </c>
      <c r="U535" s="167" t="e">
        <f>VLOOKUP($B535,#REF!,9,FALSE)</f>
        <v>#REF!</v>
      </c>
      <c r="V535" s="13">
        <v>1</v>
      </c>
      <c r="W535" s="13" t="s">
        <v>2417</v>
      </c>
      <c r="X535" s="13" t="s">
        <v>1924</v>
      </c>
      <c r="Y535" s="13" t="s">
        <v>2073</v>
      </c>
      <c r="Z535" s="13" t="s">
        <v>2073</v>
      </c>
      <c r="AA535" s="13" t="s">
        <v>2073</v>
      </c>
      <c r="AB535" s="13" t="s">
        <v>1924</v>
      </c>
      <c r="AC535" s="211" t="s">
        <v>2415</v>
      </c>
      <c r="AD535" s="13" t="s">
        <v>2416</v>
      </c>
      <c r="AE535" s="69" t="e">
        <f>VLOOKUP($B535,#REF!,4,FALSE)</f>
        <v>#REF!</v>
      </c>
      <c r="AF535" s="13" t="s">
        <v>2418</v>
      </c>
      <c r="AG535" s="13" t="s">
        <v>2419</v>
      </c>
      <c r="AH535" s="13" t="s">
        <v>2420</v>
      </c>
      <c r="AI535" s="13" t="s">
        <v>2421</v>
      </c>
      <c r="AJ535" s="13" t="s">
        <v>2422</v>
      </c>
      <c r="AK535" s="13" t="s">
        <v>2416</v>
      </c>
      <c r="AL535" s="13" t="s">
        <v>2077</v>
      </c>
      <c r="AM535" s="13" t="s">
        <v>2077</v>
      </c>
      <c r="AN535" s="13" t="s">
        <v>2077</v>
      </c>
      <c r="AO535" s="13" t="s">
        <v>2077</v>
      </c>
      <c r="AP535" s="13" t="s">
        <v>2077</v>
      </c>
      <c r="AQ535" s="13" t="s">
        <v>2077</v>
      </c>
      <c r="AR535" s="13" t="s">
        <v>2418</v>
      </c>
      <c r="AS535" s="13" t="s">
        <v>2419</v>
      </c>
      <c r="AT535" s="13" t="s">
        <v>2420</v>
      </c>
      <c r="AU535" s="13" t="s">
        <v>2421</v>
      </c>
      <c r="AV535" s="13" t="s">
        <v>2422</v>
      </c>
      <c r="AW535" s="13" t="s">
        <v>2416</v>
      </c>
      <c r="AX535" s="13" t="s">
        <v>2073</v>
      </c>
      <c r="AY535" s="13" t="s">
        <v>2073</v>
      </c>
      <c r="AZ535" s="13" t="s">
        <v>2073</v>
      </c>
      <c r="BA535" s="13" t="s">
        <v>2073</v>
      </c>
      <c r="BB535" s="13" t="s">
        <v>2073</v>
      </c>
      <c r="BC535" s="13" t="s">
        <v>2073</v>
      </c>
    </row>
    <row r="536" spans="1:55" ht="15.75" customHeight="1">
      <c r="A536" s="6">
        <v>2000</v>
      </c>
      <c r="B536" s="7" t="s">
        <v>1187</v>
      </c>
      <c r="C536" s="211" t="s">
        <v>2412</v>
      </c>
      <c r="D536" s="13" t="e">
        <f>VLOOKUP($B536,#REF!,2,FALSE)</f>
        <v>#REF!</v>
      </c>
      <c r="E536" s="13" t="e">
        <f>VLOOKUP($B536,#REF!,10,FALSE)</f>
        <v>#REF!</v>
      </c>
      <c r="F536" s="211" t="s">
        <v>2413</v>
      </c>
      <c r="G536" s="13" t="s">
        <v>2414</v>
      </c>
      <c r="H536" s="13" t="s">
        <v>2077</v>
      </c>
      <c r="I536" s="13" t="s">
        <v>2077</v>
      </c>
      <c r="J536" s="13" t="s">
        <v>2077</v>
      </c>
      <c r="K536" s="13" t="s">
        <v>2077</v>
      </c>
      <c r="L536" s="13" t="s">
        <v>2077</v>
      </c>
      <c r="M536" s="13" t="s">
        <v>2077</v>
      </c>
      <c r="N536" s="211" t="s">
        <v>2415</v>
      </c>
      <c r="O536" s="13" t="s">
        <v>2416</v>
      </c>
      <c r="P536" s="69" t="e">
        <f>VLOOKUP($B536,#REF!,2,FALSE)</f>
        <v>#REF!</v>
      </c>
      <c r="Q536" s="13" t="e">
        <f t="shared" si="399"/>
        <v>#REF!</v>
      </c>
      <c r="R536" s="215" t="e">
        <f>VLOOKUP($B536,#REF!,6,FALSE)</f>
        <v>#REF!</v>
      </c>
      <c r="S536" s="213" t="e">
        <f>VLOOKUP($B536,#REF!,7,FALSE)</f>
        <v>#REF!</v>
      </c>
      <c r="T536" s="13">
        <v>85</v>
      </c>
      <c r="U536" s="167" t="e">
        <f>VLOOKUP($B536,#REF!,9,FALSE)</f>
        <v>#REF!</v>
      </c>
      <c r="V536" s="13">
        <v>1</v>
      </c>
      <c r="W536" s="13" t="s">
        <v>2417</v>
      </c>
      <c r="X536" s="13" t="s">
        <v>1924</v>
      </c>
      <c r="Y536" s="13" t="s">
        <v>2073</v>
      </c>
      <c r="Z536" s="13" t="s">
        <v>2073</v>
      </c>
      <c r="AA536" s="13" t="s">
        <v>2073</v>
      </c>
      <c r="AB536" s="13" t="s">
        <v>1924</v>
      </c>
      <c r="AC536" s="211" t="s">
        <v>2415</v>
      </c>
      <c r="AD536" s="13" t="s">
        <v>2416</v>
      </c>
      <c r="AE536" s="69" t="e">
        <f>VLOOKUP($B536,#REF!,4,FALSE)</f>
        <v>#REF!</v>
      </c>
      <c r="AF536" s="13" t="s">
        <v>2418</v>
      </c>
      <c r="AG536" s="13" t="s">
        <v>2419</v>
      </c>
      <c r="AH536" s="13" t="s">
        <v>2420</v>
      </c>
      <c r="AI536" s="13" t="s">
        <v>2421</v>
      </c>
      <c r="AJ536" s="13" t="s">
        <v>2422</v>
      </c>
      <c r="AK536" s="13" t="s">
        <v>2416</v>
      </c>
      <c r="AL536" s="13" t="s">
        <v>2077</v>
      </c>
      <c r="AM536" s="13" t="s">
        <v>2077</v>
      </c>
      <c r="AN536" s="13" t="s">
        <v>2077</v>
      </c>
      <c r="AO536" s="13" t="s">
        <v>2077</v>
      </c>
      <c r="AP536" s="13" t="s">
        <v>2077</v>
      </c>
      <c r="AQ536" s="13" t="s">
        <v>2077</v>
      </c>
      <c r="AR536" s="13" t="s">
        <v>2418</v>
      </c>
      <c r="AS536" s="13" t="s">
        <v>2419</v>
      </c>
      <c r="AT536" s="13" t="s">
        <v>2420</v>
      </c>
      <c r="AU536" s="13" t="s">
        <v>2421</v>
      </c>
      <c r="AV536" s="13" t="s">
        <v>2422</v>
      </c>
      <c r="AW536" s="13" t="s">
        <v>2416</v>
      </c>
      <c r="AX536" s="13" t="s">
        <v>2073</v>
      </c>
      <c r="AY536" s="13" t="s">
        <v>2073</v>
      </c>
      <c r="AZ536" s="13" t="s">
        <v>2073</v>
      </c>
      <c r="BA536" s="13" t="s">
        <v>2073</v>
      </c>
      <c r="BB536" s="13" t="s">
        <v>2073</v>
      </c>
      <c r="BC536" s="13" t="s">
        <v>2073</v>
      </c>
    </row>
    <row r="537" spans="1:55" ht="15.75" customHeight="1">
      <c r="A537" s="6">
        <v>2000</v>
      </c>
      <c r="B537" s="7" t="s">
        <v>1191</v>
      </c>
      <c r="C537" s="211" t="s">
        <v>2412</v>
      </c>
      <c r="D537" s="13" t="e">
        <f>VLOOKUP($B537,#REF!,2,FALSE)</f>
        <v>#REF!</v>
      </c>
      <c r="E537" s="13" t="e">
        <f>VLOOKUP($B537,#REF!,10,FALSE)</f>
        <v>#REF!</v>
      </c>
      <c r="F537" s="211" t="s">
        <v>2413</v>
      </c>
      <c r="G537" s="13" t="s">
        <v>2414</v>
      </c>
      <c r="H537" s="13" t="s">
        <v>2077</v>
      </c>
      <c r="I537" s="13" t="s">
        <v>2077</v>
      </c>
      <c r="J537" s="13" t="s">
        <v>2077</v>
      </c>
      <c r="K537" s="13" t="s">
        <v>2077</v>
      </c>
      <c r="L537" s="13" t="s">
        <v>2077</v>
      </c>
      <c r="M537" s="13" t="s">
        <v>2077</v>
      </c>
      <c r="N537" s="211" t="s">
        <v>2415</v>
      </c>
      <c r="O537" s="13" t="s">
        <v>2416</v>
      </c>
      <c r="P537" s="69" t="e">
        <f>VLOOKUP($B537,#REF!,2,FALSE)</f>
        <v>#REF!</v>
      </c>
      <c r="Q537" s="13" t="e">
        <f t="shared" si="399"/>
        <v>#REF!</v>
      </c>
      <c r="R537" s="215" t="e">
        <f>VLOOKUP($B537,#REF!,6,FALSE)</f>
        <v>#REF!</v>
      </c>
      <c r="S537" s="213" t="e">
        <f>VLOOKUP($B537,#REF!,7,FALSE)</f>
        <v>#REF!</v>
      </c>
      <c r="T537" s="13">
        <v>85</v>
      </c>
      <c r="U537" s="167" t="e">
        <f>VLOOKUP($B537,#REF!,9,FALSE)</f>
        <v>#REF!</v>
      </c>
      <c r="V537" s="13">
        <v>1</v>
      </c>
      <c r="W537" s="13" t="s">
        <v>2417</v>
      </c>
      <c r="X537" s="13" t="s">
        <v>1924</v>
      </c>
      <c r="Y537" s="13" t="s">
        <v>2073</v>
      </c>
      <c r="Z537" s="13" t="s">
        <v>2073</v>
      </c>
      <c r="AA537" s="13" t="s">
        <v>2073</v>
      </c>
      <c r="AB537" s="13" t="s">
        <v>1924</v>
      </c>
      <c r="AC537" s="211" t="s">
        <v>2415</v>
      </c>
      <c r="AD537" s="13" t="s">
        <v>2416</v>
      </c>
      <c r="AE537" s="69" t="e">
        <f>VLOOKUP($B537,#REF!,4,FALSE)</f>
        <v>#REF!</v>
      </c>
      <c r="AF537" s="13" t="s">
        <v>2418</v>
      </c>
      <c r="AG537" s="13" t="s">
        <v>2419</v>
      </c>
      <c r="AH537" s="13" t="s">
        <v>2420</v>
      </c>
      <c r="AI537" s="13" t="s">
        <v>2421</v>
      </c>
      <c r="AJ537" s="13" t="s">
        <v>2422</v>
      </c>
      <c r="AK537" s="13" t="s">
        <v>2416</v>
      </c>
      <c r="AL537" s="13" t="s">
        <v>2077</v>
      </c>
      <c r="AM537" s="13" t="s">
        <v>2077</v>
      </c>
      <c r="AN537" s="13" t="s">
        <v>2077</v>
      </c>
      <c r="AO537" s="13" t="s">
        <v>2077</v>
      </c>
      <c r="AP537" s="13" t="s">
        <v>2077</v>
      </c>
      <c r="AQ537" s="13" t="s">
        <v>2077</v>
      </c>
      <c r="AR537" s="13" t="s">
        <v>2418</v>
      </c>
      <c r="AS537" s="13" t="s">
        <v>2419</v>
      </c>
      <c r="AT537" s="13" t="s">
        <v>2420</v>
      </c>
      <c r="AU537" s="13" t="s">
        <v>2421</v>
      </c>
      <c r="AV537" s="13" t="s">
        <v>2422</v>
      </c>
      <c r="AW537" s="13" t="s">
        <v>2416</v>
      </c>
      <c r="AX537" s="13" t="s">
        <v>2073</v>
      </c>
      <c r="AY537" s="13" t="s">
        <v>2073</v>
      </c>
      <c r="AZ537" s="13" t="s">
        <v>2073</v>
      </c>
      <c r="BA537" s="13" t="s">
        <v>2073</v>
      </c>
      <c r="BB537" s="13" t="s">
        <v>2073</v>
      </c>
      <c r="BC537" s="13" t="s">
        <v>2073</v>
      </c>
    </row>
    <row r="538" spans="1:55" ht="15.75" customHeight="1">
      <c r="A538" s="6">
        <v>2000</v>
      </c>
      <c r="B538" s="7" t="s">
        <v>1195</v>
      </c>
      <c r="C538" s="211" t="s">
        <v>2412</v>
      </c>
      <c r="D538" s="13" t="e">
        <f>VLOOKUP($B538,#REF!,2,FALSE)</f>
        <v>#REF!</v>
      </c>
      <c r="E538" s="13" t="e">
        <f>VLOOKUP($B538,#REF!,10,FALSE)</f>
        <v>#REF!</v>
      </c>
      <c r="F538" s="211" t="s">
        <v>2413</v>
      </c>
      <c r="G538" s="13" t="s">
        <v>2414</v>
      </c>
      <c r="H538" s="13" t="s">
        <v>2077</v>
      </c>
      <c r="I538" s="13" t="s">
        <v>2077</v>
      </c>
      <c r="J538" s="13" t="s">
        <v>2077</v>
      </c>
      <c r="K538" s="13" t="s">
        <v>2077</v>
      </c>
      <c r="L538" s="13" t="s">
        <v>2077</v>
      </c>
      <c r="M538" s="13" t="s">
        <v>2077</v>
      </c>
      <c r="N538" s="211" t="s">
        <v>2415</v>
      </c>
      <c r="O538" s="13" t="s">
        <v>2416</v>
      </c>
      <c r="P538" s="69" t="e">
        <f>VLOOKUP($B538,#REF!,2,FALSE)</f>
        <v>#REF!</v>
      </c>
      <c r="Q538" s="13" t="e">
        <f t="shared" si="399"/>
        <v>#REF!</v>
      </c>
      <c r="R538" s="216" t="e">
        <f>VLOOKUP($B538,#REF!,6,FALSE)</f>
        <v>#REF!</v>
      </c>
      <c r="S538" s="213" t="e">
        <f>VLOOKUP($B538,#REF!,7,FALSE)</f>
        <v>#REF!</v>
      </c>
      <c r="T538" s="13">
        <v>85</v>
      </c>
      <c r="U538" s="167" t="e">
        <f>VLOOKUP($B538,#REF!,9,FALSE)</f>
        <v>#REF!</v>
      </c>
      <c r="V538" s="13">
        <v>1</v>
      </c>
      <c r="W538" s="13" t="s">
        <v>2417</v>
      </c>
      <c r="X538" s="13" t="s">
        <v>1924</v>
      </c>
      <c r="Y538" s="13" t="s">
        <v>2073</v>
      </c>
      <c r="Z538" s="13" t="s">
        <v>2073</v>
      </c>
      <c r="AA538" s="13" t="s">
        <v>2073</v>
      </c>
      <c r="AB538" s="13" t="s">
        <v>1924</v>
      </c>
      <c r="AC538" s="211" t="s">
        <v>2415</v>
      </c>
      <c r="AD538" s="13" t="s">
        <v>2416</v>
      </c>
      <c r="AE538" s="69" t="e">
        <f>VLOOKUP($B538,#REF!,4,FALSE)</f>
        <v>#REF!</v>
      </c>
      <c r="AF538" s="13" t="s">
        <v>2418</v>
      </c>
      <c r="AG538" s="13" t="s">
        <v>2419</v>
      </c>
      <c r="AH538" s="13" t="s">
        <v>2420</v>
      </c>
      <c r="AI538" s="13" t="s">
        <v>2421</v>
      </c>
      <c r="AJ538" s="13" t="s">
        <v>2422</v>
      </c>
      <c r="AK538" s="13" t="s">
        <v>2416</v>
      </c>
      <c r="AL538" s="13" t="s">
        <v>2077</v>
      </c>
      <c r="AM538" s="13" t="s">
        <v>2077</v>
      </c>
      <c r="AN538" s="13" t="s">
        <v>2077</v>
      </c>
      <c r="AO538" s="13" t="s">
        <v>2077</v>
      </c>
      <c r="AP538" s="13" t="s">
        <v>2077</v>
      </c>
      <c r="AQ538" s="13" t="s">
        <v>2077</v>
      </c>
      <c r="AR538" s="13" t="s">
        <v>2418</v>
      </c>
      <c r="AS538" s="13" t="s">
        <v>2419</v>
      </c>
      <c r="AT538" s="13" t="s">
        <v>2420</v>
      </c>
      <c r="AU538" s="13" t="s">
        <v>2421</v>
      </c>
      <c r="AV538" s="13" t="s">
        <v>2422</v>
      </c>
      <c r="AW538" s="13" t="s">
        <v>2416</v>
      </c>
      <c r="AX538" s="13" t="s">
        <v>2073</v>
      </c>
      <c r="AY538" s="13" t="s">
        <v>2073</v>
      </c>
      <c r="AZ538" s="13" t="s">
        <v>2073</v>
      </c>
      <c r="BA538" s="13" t="s">
        <v>2073</v>
      </c>
      <c r="BB538" s="13" t="s">
        <v>2073</v>
      </c>
      <c r="BC538" s="13" t="s">
        <v>2073</v>
      </c>
    </row>
    <row r="539" spans="1:55" ht="15.75" customHeight="1">
      <c r="A539" s="6">
        <v>2000</v>
      </c>
      <c r="B539" s="7" t="s">
        <v>1221</v>
      </c>
      <c r="C539" s="211" t="s">
        <v>2412</v>
      </c>
      <c r="D539" s="13" t="e">
        <f>VLOOKUP($B539,#REF!,2,FALSE)</f>
        <v>#REF!</v>
      </c>
      <c r="E539" s="13" t="e">
        <f>VLOOKUP($B539,#REF!,10,FALSE)</f>
        <v>#REF!</v>
      </c>
      <c r="F539" s="211" t="s">
        <v>2413</v>
      </c>
      <c r="G539" s="13" t="s">
        <v>2414</v>
      </c>
      <c r="H539" s="13" t="s">
        <v>2077</v>
      </c>
      <c r="I539" s="13" t="s">
        <v>2077</v>
      </c>
      <c r="J539" s="13" t="s">
        <v>2077</v>
      </c>
      <c r="K539" s="13" t="s">
        <v>2077</v>
      </c>
      <c r="L539" s="13" t="s">
        <v>2077</v>
      </c>
      <c r="M539" s="13" t="s">
        <v>2077</v>
      </c>
      <c r="N539" s="211" t="s">
        <v>2415</v>
      </c>
      <c r="O539" s="13" t="s">
        <v>2416</v>
      </c>
      <c r="P539" s="69" t="e">
        <f>VLOOKUP($B539,#REF!,2,FALSE)</f>
        <v>#REF!</v>
      </c>
      <c r="Q539" s="13" t="e">
        <f t="shared" si="399"/>
        <v>#REF!</v>
      </c>
      <c r="R539" s="216" t="e">
        <f>VLOOKUP($B539,#REF!,6,FALSE)</f>
        <v>#REF!</v>
      </c>
      <c r="S539" s="213" t="e">
        <f>VLOOKUP($B539,#REF!,7,FALSE)</f>
        <v>#REF!</v>
      </c>
      <c r="T539" s="13">
        <v>85</v>
      </c>
      <c r="U539" s="167" t="e">
        <f>VLOOKUP($B539,#REF!,9,FALSE)</f>
        <v>#REF!</v>
      </c>
      <c r="V539" s="13">
        <v>1</v>
      </c>
      <c r="W539" s="13" t="s">
        <v>2417</v>
      </c>
      <c r="X539" s="13" t="s">
        <v>1924</v>
      </c>
      <c r="Y539" s="13" t="s">
        <v>2073</v>
      </c>
      <c r="Z539" s="13" t="s">
        <v>2073</v>
      </c>
      <c r="AA539" s="13" t="s">
        <v>2073</v>
      </c>
      <c r="AB539" s="13" t="s">
        <v>1924</v>
      </c>
      <c r="AC539" s="211" t="s">
        <v>2415</v>
      </c>
      <c r="AD539" s="13" t="s">
        <v>2416</v>
      </c>
      <c r="AE539" s="69" t="e">
        <f>VLOOKUP($B539,#REF!,4,FALSE)</f>
        <v>#REF!</v>
      </c>
      <c r="AF539" s="13" t="s">
        <v>2418</v>
      </c>
      <c r="AG539" s="13" t="s">
        <v>2419</v>
      </c>
      <c r="AH539" s="13" t="s">
        <v>2420</v>
      </c>
      <c r="AI539" s="13" t="s">
        <v>2421</v>
      </c>
      <c r="AJ539" s="13" t="s">
        <v>2422</v>
      </c>
      <c r="AK539" s="13" t="s">
        <v>2416</v>
      </c>
      <c r="AL539" s="13" t="s">
        <v>2077</v>
      </c>
      <c r="AM539" s="13" t="s">
        <v>2077</v>
      </c>
      <c r="AN539" s="13" t="s">
        <v>2077</v>
      </c>
      <c r="AO539" s="13" t="s">
        <v>2077</v>
      </c>
      <c r="AP539" s="13" t="s">
        <v>2077</v>
      </c>
      <c r="AQ539" s="13" t="s">
        <v>2077</v>
      </c>
      <c r="AR539" s="13" t="s">
        <v>2418</v>
      </c>
      <c r="AS539" s="13" t="s">
        <v>2419</v>
      </c>
      <c r="AT539" s="13" t="s">
        <v>2420</v>
      </c>
      <c r="AU539" s="13" t="s">
        <v>2421</v>
      </c>
      <c r="AV539" s="13" t="s">
        <v>2422</v>
      </c>
      <c r="AW539" s="13" t="s">
        <v>2416</v>
      </c>
      <c r="AX539" s="13" t="s">
        <v>2073</v>
      </c>
      <c r="AY539" s="13" t="s">
        <v>2073</v>
      </c>
      <c r="AZ539" s="13" t="s">
        <v>2073</v>
      </c>
      <c r="BA539" s="13" t="s">
        <v>2073</v>
      </c>
      <c r="BB539" s="13" t="s">
        <v>2073</v>
      </c>
      <c r="BC539" s="13" t="s">
        <v>2073</v>
      </c>
    </row>
    <row r="540" spans="1:55" ht="15.75" customHeight="1">
      <c r="A540" s="6">
        <v>2000</v>
      </c>
      <c r="B540" s="7" t="s">
        <v>1229</v>
      </c>
      <c r="C540" s="211" t="s">
        <v>2412</v>
      </c>
      <c r="D540" s="13" t="e">
        <f>VLOOKUP($B540,#REF!,2,FALSE)</f>
        <v>#REF!</v>
      </c>
      <c r="E540" s="13" t="e">
        <f>VLOOKUP($B540,#REF!,10,FALSE)</f>
        <v>#REF!</v>
      </c>
      <c r="F540" s="211" t="s">
        <v>2413</v>
      </c>
      <c r="G540" s="13" t="s">
        <v>2414</v>
      </c>
      <c r="H540" s="13" t="s">
        <v>2077</v>
      </c>
      <c r="I540" s="13" t="s">
        <v>2077</v>
      </c>
      <c r="J540" s="13" t="s">
        <v>2077</v>
      </c>
      <c r="K540" s="13" t="s">
        <v>2077</v>
      </c>
      <c r="L540" s="13" t="s">
        <v>2077</v>
      </c>
      <c r="M540" s="13" t="s">
        <v>2077</v>
      </c>
      <c r="N540" s="211" t="s">
        <v>2415</v>
      </c>
      <c r="O540" s="13" t="s">
        <v>2416</v>
      </c>
      <c r="P540" s="69" t="e">
        <f>VLOOKUP($B540,#REF!,2,FALSE)</f>
        <v>#REF!</v>
      </c>
      <c r="Q540" s="13" t="e">
        <f t="shared" si="399"/>
        <v>#REF!</v>
      </c>
      <c r="R540" s="216" t="e">
        <f>VLOOKUP($B540,#REF!,6,FALSE)</f>
        <v>#REF!</v>
      </c>
      <c r="S540" s="213" t="e">
        <f>VLOOKUP($B540,#REF!,7,FALSE)</f>
        <v>#REF!</v>
      </c>
      <c r="T540" s="13">
        <v>85</v>
      </c>
      <c r="U540" s="167" t="e">
        <f>VLOOKUP($B540,#REF!,9,FALSE)</f>
        <v>#REF!</v>
      </c>
      <c r="V540" s="13">
        <v>1</v>
      </c>
      <c r="W540" s="13" t="s">
        <v>2417</v>
      </c>
      <c r="X540" s="13" t="s">
        <v>1924</v>
      </c>
      <c r="Y540" s="13" t="s">
        <v>2073</v>
      </c>
      <c r="Z540" s="13" t="s">
        <v>2073</v>
      </c>
      <c r="AA540" s="13" t="s">
        <v>2073</v>
      </c>
      <c r="AB540" s="13" t="s">
        <v>1924</v>
      </c>
      <c r="AC540" s="211" t="s">
        <v>2415</v>
      </c>
      <c r="AD540" s="13" t="s">
        <v>2416</v>
      </c>
      <c r="AE540" s="69" t="e">
        <f>VLOOKUP($B540,#REF!,4,FALSE)</f>
        <v>#REF!</v>
      </c>
      <c r="AF540" s="13" t="s">
        <v>2418</v>
      </c>
      <c r="AG540" s="13" t="s">
        <v>2419</v>
      </c>
      <c r="AH540" s="13" t="s">
        <v>2420</v>
      </c>
      <c r="AI540" s="13" t="s">
        <v>2421</v>
      </c>
      <c r="AJ540" s="13" t="s">
        <v>2422</v>
      </c>
      <c r="AK540" s="13" t="s">
        <v>2416</v>
      </c>
      <c r="AL540" s="13" t="s">
        <v>2077</v>
      </c>
      <c r="AM540" s="13" t="s">
        <v>2077</v>
      </c>
      <c r="AN540" s="13" t="s">
        <v>2077</v>
      </c>
      <c r="AO540" s="13" t="s">
        <v>2077</v>
      </c>
      <c r="AP540" s="13" t="s">
        <v>2077</v>
      </c>
      <c r="AQ540" s="13" t="s">
        <v>2077</v>
      </c>
      <c r="AR540" s="13" t="s">
        <v>2418</v>
      </c>
      <c r="AS540" s="13" t="s">
        <v>2419</v>
      </c>
      <c r="AT540" s="13" t="s">
        <v>2420</v>
      </c>
      <c r="AU540" s="13" t="s">
        <v>2421</v>
      </c>
      <c r="AV540" s="13" t="s">
        <v>2422</v>
      </c>
      <c r="AW540" s="13" t="s">
        <v>2416</v>
      </c>
      <c r="AX540" s="13" t="s">
        <v>2073</v>
      </c>
      <c r="AY540" s="13" t="s">
        <v>2073</v>
      </c>
      <c r="AZ540" s="13" t="s">
        <v>2073</v>
      </c>
      <c r="BA540" s="13" t="s">
        <v>2073</v>
      </c>
      <c r="BB540" s="13" t="s">
        <v>2073</v>
      </c>
      <c r="BC540" s="13" t="s">
        <v>2073</v>
      </c>
    </row>
    <row r="541" spans="1:55" ht="15.75" customHeight="1">
      <c r="A541" s="6">
        <v>2000</v>
      </c>
      <c r="B541" s="7" t="s">
        <v>1233</v>
      </c>
      <c r="C541" s="211" t="s">
        <v>2412</v>
      </c>
      <c r="D541" s="13" t="e">
        <f>VLOOKUP($B541,#REF!,2,FALSE)</f>
        <v>#REF!</v>
      </c>
      <c r="E541" s="13" t="e">
        <f>VLOOKUP($B541,#REF!,10,FALSE)</f>
        <v>#REF!</v>
      </c>
      <c r="F541" s="211" t="s">
        <v>2413</v>
      </c>
      <c r="G541" s="13" t="s">
        <v>2414</v>
      </c>
      <c r="H541" s="13" t="s">
        <v>2077</v>
      </c>
      <c r="I541" s="13" t="s">
        <v>2077</v>
      </c>
      <c r="J541" s="13" t="s">
        <v>2077</v>
      </c>
      <c r="K541" s="13" t="s">
        <v>2077</v>
      </c>
      <c r="L541" s="13" t="s">
        <v>2077</v>
      </c>
      <c r="M541" s="13" t="s">
        <v>2077</v>
      </c>
      <c r="N541" s="211" t="s">
        <v>2415</v>
      </c>
      <c r="O541" s="13" t="s">
        <v>2416</v>
      </c>
      <c r="P541" s="69" t="e">
        <f>VLOOKUP($B541,#REF!,2,FALSE)</f>
        <v>#REF!</v>
      </c>
      <c r="Q541" s="13" t="e">
        <f t="shared" si="399"/>
        <v>#REF!</v>
      </c>
      <c r="R541" s="216" t="e">
        <f>VLOOKUP($B541,#REF!,6,FALSE)</f>
        <v>#REF!</v>
      </c>
      <c r="S541" s="213" t="e">
        <f>VLOOKUP($B541,#REF!,7,FALSE)</f>
        <v>#REF!</v>
      </c>
      <c r="T541" s="13">
        <v>85</v>
      </c>
      <c r="U541" s="167" t="e">
        <f>VLOOKUP($B541,#REF!,9,FALSE)</f>
        <v>#REF!</v>
      </c>
      <c r="V541" s="13">
        <v>1</v>
      </c>
      <c r="W541" s="13" t="s">
        <v>2417</v>
      </c>
      <c r="X541" s="13" t="s">
        <v>1924</v>
      </c>
      <c r="Y541" s="13" t="s">
        <v>2073</v>
      </c>
      <c r="Z541" s="13" t="s">
        <v>2073</v>
      </c>
      <c r="AA541" s="13" t="s">
        <v>2073</v>
      </c>
      <c r="AB541" s="13" t="s">
        <v>1924</v>
      </c>
      <c r="AC541" s="211" t="s">
        <v>2415</v>
      </c>
      <c r="AD541" s="13" t="s">
        <v>2416</v>
      </c>
      <c r="AE541" s="69" t="e">
        <f>VLOOKUP($B541,#REF!,4,FALSE)</f>
        <v>#REF!</v>
      </c>
      <c r="AF541" s="13" t="s">
        <v>2418</v>
      </c>
      <c r="AG541" s="13" t="s">
        <v>2419</v>
      </c>
      <c r="AH541" s="13" t="s">
        <v>2420</v>
      </c>
      <c r="AI541" s="13" t="s">
        <v>2421</v>
      </c>
      <c r="AJ541" s="13" t="s">
        <v>2422</v>
      </c>
      <c r="AK541" s="13" t="s">
        <v>2416</v>
      </c>
      <c r="AL541" s="13" t="s">
        <v>2077</v>
      </c>
      <c r="AM541" s="13" t="s">
        <v>2077</v>
      </c>
      <c r="AN541" s="13" t="s">
        <v>2077</v>
      </c>
      <c r="AO541" s="13" t="s">
        <v>2077</v>
      </c>
      <c r="AP541" s="13" t="s">
        <v>2077</v>
      </c>
      <c r="AQ541" s="13" t="s">
        <v>2077</v>
      </c>
      <c r="AR541" s="13" t="s">
        <v>2418</v>
      </c>
      <c r="AS541" s="13" t="s">
        <v>2419</v>
      </c>
      <c r="AT541" s="13" t="s">
        <v>2420</v>
      </c>
      <c r="AU541" s="13" t="s">
        <v>2421</v>
      </c>
      <c r="AV541" s="13" t="s">
        <v>2422</v>
      </c>
      <c r="AW541" s="13" t="s">
        <v>2416</v>
      </c>
      <c r="AX541" s="13" t="s">
        <v>2073</v>
      </c>
      <c r="AY541" s="13" t="s">
        <v>2073</v>
      </c>
      <c r="AZ541" s="13" t="s">
        <v>2073</v>
      </c>
      <c r="BA541" s="13" t="s">
        <v>2073</v>
      </c>
      <c r="BB541" s="13" t="s">
        <v>2073</v>
      </c>
      <c r="BC541" s="13" t="s">
        <v>2073</v>
      </c>
    </row>
    <row r="542" spans="1:55" ht="15.75" customHeight="1">
      <c r="A542" s="6">
        <v>2000</v>
      </c>
      <c r="B542" s="7" t="s">
        <v>1237</v>
      </c>
      <c r="C542" s="211" t="s">
        <v>2412</v>
      </c>
      <c r="D542" s="13" t="e">
        <f>VLOOKUP($B542,#REF!,2,FALSE)</f>
        <v>#REF!</v>
      </c>
      <c r="E542" s="13" t="e">
        <f>VLOOKUP($B542,#REF!,10,FALSE)</f>
        <v>#REF!</v>
      </c>
      <c r="F542" s="211" t="s">
        <v>2413</v>
      </c>
      <c r="G542" s="13" t="s">
        <v>2414</v>
      </c>
      <c r="H542" s="13" t="s">
        <v>2077</v>
      </c>
      <c r="I542" s="13" t="s">
        <v>2077</v>
      </c>
      <c r="J542" s="13" t="s">
        <v>2077</v>
      </c>
      <c r="K542" s="13" t="s">
        <v>2077</v>
      </c>
      <c r="L542" s="13" t="s">
        <v>2077</v>
      </c>
      <c r="M542" s="13" t="s">
        <v>2077</v>
      </c>
      <c r="N542" s="211" t="s">
        <v>2415</v>
      </c>
      <c r="O542" s="13" t="s">
        <v>2416</v>
      </c>
      <c r="P542" s="69" t="e">
        <f>VLOOKUP($B542,#REF!,2,FALSE)</f>
        <v>#REF!</v>
      </c>
      <c r="Q542" s="13" t="e">
        <f t="shared" si="399"/>
        <v>#REF!</v>
      </c>
      <c r="R542" s="216" t="e">
        <f>VLOOKUP($B542,#REF!,6,FALSE)</f>
        <v>#REF!</v>
      </c>
      <c r="S542" s="213" t="e">
        <f>VLOOKUP($B542,#REF!,7,FALSE)</f>
        <v>#REF!</v>
      </c>
      <c r="T542" s="13">
        <v>85</v>
      </c>
      <c r="U542" s="167" t="e">
        <f>VLOOKUP($B542,#REF!,9,FALSE)</f>
        <v>#REF!</v>
      </c>
      <c r="V542" s="13">
        <v>1</v>
      </c>
      <c r="W542" s="13" t="s">
        <v>2417</v>
      </c>
      <c r="X542" s="13" t="s">
        <v>1924</v>
      </c>
      <c r="Y542" s="13" t="s">
        <v>2073</v>
      </c>
      <c r="Z542" s="13" t="s">
        <v>2073</v>
      </c>
      <c r="AA542" s="13" t="s">
        <v>2073</v>
      </c>
      <c r="AB542" s="13" t="s">
        <v>1924</v>
      </c>
      <c r="AC542" s="211" t="s">
        <v>2415</v>
      </c>
      <c r="AD542" s="13" t="s">
        <v>2416</v>
      </c>
      <c r="AE542" s="69" t="e">
        <f>VLOOKUP($B542,#REF!,4,FALSE)</f>
        <v>#REF!</v>
      </c>
      <c r="AF542" s="13" t="s">
        <v>2418</v>
      </c>
      <c r="AG542" s="13" t="s">
        <v>2419</v>
      </c>
      <c r="AH542" s="13" t="s">
        <v>2420</v>
      </c>
      <c r="AI542" s="13" t="s">
        <v>2421</v>
      </c>
      <c r="AJ542" s="13" t="s">
        <v>2422</v>
      </c>
      <c r="AK542" s="13" t="s">
        <v>2416</v>
      </c>
      <c r="AL542" s="13" t="s">
        <v>2077</v>
      </c>
      <c r="AM542" s="13" t="s">
        <v>2077</v>
      </c>
      <c r="AN542" s="13" t="s">
        <v>2077</v>
      </c>
      <c r="AO542" s="13" t="s">
        <v>2077</v>
      </c>
      <c r="AP542" s="13" t="s">
        <v>2077</v>
      </c>
      <c r="AQ542" s="13" t="s">
        <v>2077</v>
      </c>
      <c r="AR542" s="13" t="s">
        <v>2418</v>
      </c>
      <c r="AS542" s="13" t="s">
        <v>2419</v>
      </c>
      <c r="AT542" s="13" t="s">
        <v>2420</v>
      </c>
      <c r="AU542" s="13" t="s">
        <v>2421</v>
      </c>
      <c r="AV542" s="13" t="s">
        <v>2422</v>
      </c>
      <c r="AW542" s="13" t="s">
        <v>2416</v>
      </c>
      <c r="AX542" s="13" t="s">
        <v>2073</v>
      </c>
      <c r="AY542" s="13" t="s">
        <v>2073</v>
      </c>
      <c r="AZ542" s="13" t="s">
        <v>2073</v>
      </c>
      <c r="BA542" s="13" t="s">
        <v>2073</v>
      </c>
      <c r="BB542" s="13" t="s">
        <v>2073</v>
      </c>
      <c r="BC542" s="13" t="s">
        <v>2073</v>
      </c>
    </row>
    <row r="543" spans="1:55" ht="15.75" customHeight="1">
      <c r="A543" s="6">
        <v>2000</v>
      </c>
      <c r="B543" s="7" t="s">
        <v>1241</v>
      </c>
      <c r="C543" s="211" t="s">
        <v>2412</v>
      </c>
      <c r="D543" s="13" t="e">
        <f>VLOOKUP($B543,#REF!,2,FALSE)</f>
        <v>#REF!</v>
      </c>
      <c r="E543" s="13" t="e">
        <f>VLOOKUP($B543,#REF!,10,FALSE)</f>
        <v>#REF!</v>
      </c>
      <c r="F543" s="211" t="s">
        <v>2413</v>
      </c>
      <c r="G543" s="13" t="s">
        <v>2414</v>
      </c>
      <c r="H543" s="13" t="s">
        <v>2077</v>
      </c>
      <c r="I543" s="13" t="s">
        <v>2077</v>
      </c>
      <c r="J543" s="13" t="s">
        <v>2077</v>
      </c>
      <c r="K543" s="13" t="s">
        <v>2077</v>
      </c>
      <c r="L543" s="13" t="s">
        <v>2077</v>
      </c>
      <c r="M543" s="13" t="s">
        <v>2077</v>
      </c>
      <c r="N543" s="211" t="s">
        <v>2415</v>
      </c>
      <c r="O543" s="13" t="s">
        <v>2416</v>
      </c>
      <c r="P543" s="69" t="e">
        <f>VLOOKUP($B543,#REF!,2,FALSE)</f>
        <v>#REF!</v>
      </c>
      <c r="Q543" s="13" t="e">
        <f t="shared" si="399"/>
        <v>#REF!</v>
      </c>
      <c r="R543" s="216" t="e">
        <f>VLOOKUP($B543,#REF!,6,FALSE)</f>
        <v>#REF!</v>
      </c>
      <c r="S543" s="213" t="e">
        <f>VLOOKUP($B543,#REF!,7,FALSE)</f>
        <v>#REF!</v>
      </c>
      <c r="T543" s="13">
        <v>85</v>
      </c>
      <c r="U543" s="167" t="e">
        <f>VLOOKUP($B543,#REF!,9,FALSE)</f>
        <v>#REF!</v>
      </c>
      <c r="V543" s="13">
        <v>1</v>
      </c>
      <c r="W543" s="13" t="s">
        <v>2417</v>
      </c>
      <c r="X543" s="13" t="s">
        <v>1924</v>
      </c>
      <c r="Y543" s="13" t="s">
        <v>2073</v>
      </c>
      <c r="Z543" s="13" t="s">
        <v>2073</v>
      </c>
      <c r="AA543" s="13" t="s">
        <v>2073</v>
      </c>
      <c r="AB543" s="13" t="s">
        <v>1924</v>
      </c>
      <c r="AC543" s="211" t="s">
        <v>2415</v>
      </c>
      <c r="AD543" s="13" t="s">
        <v>2416</v>
      </c>
      <c r="AE543" s="69" t="e">
        <f>VLOOKUP($B543,#REF!,4,FALSE)</f>
        <v>#REF!</v>
      </c>
      <c r="AF543" s="13" t="s">
        <v>2418</v>
      </c>
      <c r="AG543" s="13" t="s">
        <v>2419</v>
      </c>
      <c r="AH543" s="13" t="s">
        <v>2420</v>
      </c>
      <c r="AI543" s="13" t="s">
        <v>2421</v>
      </c>
      <c r="AJ543" s="13" t="s">
        <v>2422</v>
      </c>
      <c r="AK543" s="13" t="s">
        <v>2416</v>
      </c>
      <c r="AL543" s="13" t="s">
        <v>2077</v>
      </c>
      <c r="AM543" s="13" t="s">
        <v>2077</v>
      </c>
      <c r="AN543" s="13" t="s">
        <v>2077</v>
      </c>
      <c r="AO543" s="13" t="s">
        <v>2077</v>
      </c>
      <c r="AP543" s="13" t="s">
        <v>2077</v>
      </c>
      <c r="AQ543" s="13" t="s">
        <v>2077</v>
      </c>
      <c r="AR543" s="13" t="s">
        <v>2418</v>
      </c>
      <c r="AS543" s="13" t="s">
        <v>2419</v>
      </c>
      <c r="AT543" s="13" t="s">
        <v>2420</v>
      </c>
      <c r="AU543" s="13" t="s">
        <v>2421</v>
      </c>
      <c r="AV543" s="13" t="s">
        <v>2422</v>
      </c>
      <c r="AW543" s="13" t="s">
        <v>2416</v>
      </c>
      <c r="AX543" s="13" t="s">
        <v>2073</v>
      </c>
      <c r="AY543" s="13" t="s">
        <v>2073</v>
      </c>
      <c r="AZ543" s="13" t="s">
        <v>2073</v>
      </c>
      <c r="BA543" s="13" t="s">
        <v>2073</v>
      </c>
      <c r="BB543" s="13" t="s">
        <v>2073</v>
      </c>
      <c r="BC543" s="13" t="s">
        <v>2073</v>
      </c>
    </row>
    <row r="544" spans="1:55" ht="15.75" customHeight="1">
      <c r="A544" s="6">
        <v>2000</v>
      </c>
      <c r="B544" s="7" t="s">
        <v>1245</v>
      </c>
      <c r="C544" s="211" t="s">
        <v>2412</v>
      </c>
      <c r="D544" s="13" t="e">
        <f>VLOOKUP($B544,#REF!,2,FALSE)</f>
        <v>#REF!</v>
      </c>
      <c r="E544" s="13" t="e">
        <f>VLOOKUP($B544,#REF!,10,FALSE)</f>
        <v>#REF!</v>
      </c>
      <c r="F544" s="211" t="s">
        <v>2413</v>
      </c>
      <c r="G544" s="13" t="s">
        <v>2414</v>
      </c>
      <c r="H544" s="13" t="s">
        <v>2077</v>
      </c>
      <c r="I544" s="13" t="s">
        <v>2077</v>
      </c>
      <c r="J544" s="13" t="s">
        <v>2077</v>
      </c>
      <c r="K544" s="13" t="s">
        <v>2077</v>
      </c>
      <c r="L544" s="13" t="s">
        <v>2077</v>
      </c>
      <c r="M544" s="13" t="s">
        <v>2077</v>
      </c>
      <c r="N544" s="211" t="s">
        <v>2415</v>
      </c>
      <c r="O544" s="13" t="s">
        <v>2416</v>
      </c>
      <c r="P544" s="69" t="e">
        <f>VLOOKUP($B544,#REF!,2,FALSE)</f>
        <v>#REF!</v>
      </c>
      <c r="Q544" s="13" t="e">
        <f t="shared" si="399"/>
        <v>#REF!</v>
      </c>
      <c r="R544" s="216" t="e">
        <f>VLOOKUP($B544,#REF!,6,FALSE)</f>
        <v>#REF!</v>
      </c>
      <c r="S544" s="213" t="e">
        <f>VLOOKUP($B544,#REF!,7,FALSE)</f>
        <v>#REF!</v>
      </c>
      <c r="T544" s="13">
        <v>85</v>
      </c>
      <c r="U544" s="167" t="e">
        <f>VLOOKUP($B544,#REF!,9,FALSE)</f>
        <v>#REF!</v>
      </c>
      <c r="V544" s="13">
        <v>1</v>
      </c>
      <c r="W544" s="13" t="s">
        <v>2417</v>
      </c>
      <c r="X544" s="13" t="s">
        <v>1924</v>
      </c>
      <c r="Y544" s="13" t="s">
        <v>2073</v>
      </c>
      <c r="Z544" s="13" t="s">
        <v>2073</v>
      </c>
      <c r="AA544" s="13" t="s">
        <v>2073</v>
      </c>
      <c r="AB544" s="13" t="s">
        <v>1924</v>
      </c>
      <c r="AC544" s="211" t="s">
        <v>2415</v>
      </c>
      <c r="AD544" s="13" t="s">
        <v>2416</v>
      </c>
      <c r="AE544" s="69" t="e">
        <f>VLOOKUP($B544,#REF!,4,FALSE)</f>
        <v>#REF!</v>
      </c>
      <c r="AF544" s="13" t="s">
        <v>2418</v>
      </c>
      <c r="AG544" s="13" t="s">
        <v>2419</v>
      </c>
      <c r="AH544" s="13" t="s">
        <v>2420</v>
      </c>
      <c r="AI544" s="13" t="s">
        <v>2421</v>
      </c>
      <c r="AJ544" s="13" t="s">
        <v>2422</v>
      </c>
      <c r="AK544" s="13" t="s">
        <v>2416</v>
      </c>
      <c r="AL544" s="13" t="s">
        <v>2077</v>
      </c>
      <c r="AM544" s="13" t="s">
        <v>2077</v>
      </c>
      <c r="AN544" s="13" t="s">
        <v>2077</v>
      </c>
      <c r="AO544" s="13" t="s">
        <v>2077</v>
      </c>
      <c r="AP544" s="13" t="s">
        <v>2077</v>
      </c>
      <c r="AQ544" s="13" t="s">
        <v>2077</v>
      </c>
      <c r="AR544" s="13" t="s">
        <v>2418</v>
      </c>
      <c r="AS544" s="13" t="s">
        <v>2419</v>
      </c>
      <c r="AT544" s="13" t="s">
        <v>2420</v>
      </c>
      <c r="AU544" s="13" t="s">
        <v>2421</v>
      </c>
      <c r="AV544" s="13" t="s">
        <v>2422</v>
      </c>
      <c r="AW544" s="13" t="s">
        <v>2416</v>
      </c>
      <c r="AX544" s="13" t="s">
        <v>2073</v>
      </c>
      <c r="AY544" s="13" t="s">
        <v>2073</v>
      </c>
      <c r="AZ544" s="13" t="s">
        <v>2073</v>
      </c>
      <c r="BA544" s="13" t="s">
        <v>2073</v>
      </c>
      <c r="BB544" s="13" t="s">
        <v>2073</v>
      </c>
      <c r="BC544" s="13" t="s">
        <v>2073</v>
      </c>
    </row>
    <row r="545" spans="1:55" ht="15.75" customHeight="1">
      <c r="A545" s="6">
        <v>2000</v>
      </c>
      <c r="B545" s="7" t="s">
        <v>1280</v>
      </c>
      <c r="C545" s="211" t="s">
        <v>2412</v>
      </c>
      <c r="D545" s="13" t="e">
        <f>VLOOKUP($B545,#REF!,2,FALSE)</f>
        <v>#REF!</v>
      </c>
      <c r="E545" s="13" t="e">
        <f>VLOOKUP($B545,#REF!,10,FALSE)</f>
        <v>#REF!</v>
      </c>
      <c r="F545" s="211" t="s">
        <v>2413</v>
      </c>
      <c r="G545" s="13" t="s">
        <v>2414</v>
      </c>
      <c r="H545" s="13" t="s">
        <v>2077</v>
      </c>
      <c r="I545" s="13" t="s">
        <v>2077</v>
      </c>
      <c r="J545" s="13" t="s">
        <v>2077</v>
      </c>
      <c r="K545" s="13" t="s">
        <v>2077</v>
      </c>
      <c r="L545" s="13" t="s">
        <v>2077</v>
      </c>
      <c r="M545" s="13" t="s">
        <v>2077</v>
      </c>
      <c r="N545" s="211" t="s">
        <v>2415</v>
      </c>
      <c r="O545" s="13" t="s">
        <v>2416</v>
      </c>
      <c r="P545" s="69" t="e">
        <f>VLOOKUP($B545,#REF!,2,FALSE)</f>
        <v>#REF!</v>
      </c>
      <c r="Q545" s="13" t="e">
        <f t="shared" si="399"/>
        <v>#REF!</v>
      </c>
      <c r="R545" s="215" t="e">
        <f>VLOOKUP($B545,#REF!,6,FALSE)</f>
        <v>#REF!</v>
      </c>
      <c r="S545" s="213" t="e">
        <f>VLOOKUP($B545,#REF!,7,FALSE)</f>
        <v>#REF!</v>
      </c>
      <c r="T545" s="13">
        <v>85</v>
      </c>
      <c r="U545" s="167" t="e">
        <f>VLOOKUP($B545,#REF!,9,FALSE)</f>
        <v>#REF!</v>
      </c>
      <c r="V545" s="13">
        <v>1</v>
      </c>
      <c r="W545" s="13" t="s">
        <v>2417</v>
      </c>
      <c r="X545" s="13" t="s">
        <v>1924</v>
      </c>
      <c r="Y545" s="13" t="s">
        <v>2073</v>
      </c>
      <c r="Z545" s="13" t="s">
        <v>2073</v>
      </c>
      <c r="AA545" s="13" t="s">
        <v>2073</v>
      </c>
      <c r="AB545" s="13" t="s">
        <v>1924</v>
      </c>
      <c r="AC545" s="211" t="s">
        <v>2415</v>
      </c>
      <c r="AD545" s="13" t="s">
        <v>2416</v>
      </c>
      <c r="AE545" s="69" t="e">
        <f>VLOOKUP($B545,#REF!,4,FALSE)</f>
        <v>#REF!</v>
      </c>
      <c r="AF545" s="13" t="s">
        <v>2418</v>
      </c>
      <c r="AG545" s="13" t="s">
        <v>2419</v>
      </c>
      <c r="AH545" s="13" t="s">
        <v>2420</v>
      </c>
      <c r="AI545" s="13" t="s">
        <v>2421</v>
      </c>
      <c r="AJ545" s="13" t="s">
        <v>2422</v>
      </c>
      <c r="AK545" s="13" t="s">
        <v>2416</v>
      </c>
      <c r="AL545" s="13" t="s">
        <v>2077</v>
      </c>
      <c r="AM545" s="13" t="s">
        <v>2077</v>
      </c>
      <c r="AN545" s="13" t="s">
        <v>2077</v>
      </c>
      <c r="AO545" s="13" t="s">
        <v>2077</v>
      </c>
      <c r="AP545" s="13" t="s">
        <v>2077</v>
      </c>
      <c r="AQ545" s="13" t="s">
        <v>2077</v>
      </c>
      <c r="AR545" s="13" t="s">
        <v>2418</v>
      </c>
      <c r="AS545" s="13" t="s">
        <v>2419</v>
      </c>
      <c r="AT545" s="13" t="s">
        <v>2420</v>
      </c>
      <c r="AU545" s="13" t="s">
        <v>2421</v>
      </c>
      <c r="AV545" s="13" t="s">
        <v>2422</v>
      </c>
      <c r="AW545" s="13" t="s">
        <v>2416</v>
      </c>
      <c r="AX545" s="13" t="s">
        <v>2073</v>
      </c>
      <c r="AY545" s="13" t="s">
        <v>2073</v>
      </c>
      <c r="AZ545" s="13" t="s">
        <v>2073</v>
      </c>
      <c r="BA545" s="13" t="s">
        <v>2073</v>
      </c>
      <c r="BB545" s="13" t="s">
        <v>2073</v>
      </c>
      <c r="BC545" s="13" t="s">
        <v>2073</v>
      </c>
    </row>
    <row r="546" spans="1:55" ht="15.75" customHeight="1">
      <c r="A546" s="6">
        <v>2000</v>
      </c>
      <c r="B546" s="7" t="s">
        <v>1285</v>
      </c>
      <c r="C546" s="211" t="s">
        <v>2412</v>
      </c>
      <c r="D546" s="13" t="e">
        <f>VLOOKUP($B546,#REF!,2,FALSE)</f>
        <v>#REF!</v>
      </c>
      <c r="E546" s="13" t="e">
        <f>VLOOKUP($B546,#REF!,10,FALSE)</f>
        <v>#REF!</v>
      </c>
      <c r="F546" s="211" t="s">
        <v>2413</v>
      </c>
      <c r="G546" s="13" t="s">
        <v>2414</v>
      </c>
      <c r="H546" s="13" t="s">
        <v>2077</v>
      </c>
      <c r="I546" s="13" t="s">
        <v>2077</v>
      </c>
      <c r="J546" s="13" t="s">
        <v>2077</v>
      </c>
      <c r="K546" s="13" t="s">
        <v>2077</v>
      </c>
      <c r="L546" s="13" t="s">
        <v>2077</v>
      </c>
      <c r="M546" s="13" t="s">
        <v>2077</v>
      </c>
      <c r="N546" s="211" t="s">
        <v>2415</v>
      </c>
      <c r="O546" s="13" t="s">
        <v>2416</v>
      </c>
      <c r="P546" s="69" t="e">
        <f>VLOOKUP($B546,#REF!,2,FALSE)</f>
        <v>#REF!</v>
      </c>
      <c r="Q546" s="13" t="e">
        <f t="shared" si="399"/>
        <v>#REF!</v>
      </c>
      <c r="R546" s="215" t="e">
        <f>VLOOKUP($B546,#REF!,6,FALSE)</f>
        <v>#REF!</v>
      </c>
      <c r="S546" s="213" t="e">
        <f>VLOOKUP($B546,#REF!,7,FALSE)</f>
        <v>#REF!</v>
      </c>
      <c r="T546" s="13">
        <v>85</v>
      </c>
      <c r="U546" s="167" t="e">
        <f>VLOOKUP($B546,#REF!,9,FALSE)</f>
        <v>#REF!</v>
      </c>
      <c r="V546" s="13">
        <v>1</v>
      </c>
      <c r="W546" s="13" t="s">
        <v>2417</v>
      </c>
      <c r="X546" s="13" t="s">
        <v>1924</v>
      </c>
      <c r="Y546" s="13" t="s">
        <v>2073</v>
      </c>
      <c r="Z546" s="13" t="s">
        <v>2073</v>
      </c>
      <c r="AA546" s="13" t="s">
        <v>2073</v>
      </c>
      <c r="AB546" s="13" t="s">
        <v>1924</v>
      </c>
      <c r="AC546" s="211" t="s">
        <v>2415</v>
      </c>
      <c r="AD546" s="13" t="s">
        <v>2416</v>
      </c>
      <c r="AE546" s="69" t="e">
        <f>VLOOKUP($B546,#REF!,4,FALSE)</f>
        <v>#REF!</v>
      </c>
      <c r="AF546" s="13" t="s">
        <v>2418</v>
      </c>
      <c r="AG546" s="13" t="s">
        <v>2419</v>
      </c>
      <c r="AH546" s="13" t="s">
        <v>2420</v>
      </c>
      <c r="AI546" s="13" t="s">
        <v>2421</v>
      </c>
      <c r="AJ546" s="13" t="s">
        <v>2422</v>
      </c>
      <c r="AK546" s="13" t="s">
        <v>2416</v>
      </c>
      <c r="AL546" s="13" t="s">
        <v>2077</v>
      </c>
      <c r="AM546" s="13" t="s">
        <v>2077</v>
      </c>
      <c r="AN546" s="13" t="s">
        <v>2077</v>
      </c>
      <c r="AO546" s="13" t="s">
        <v>2077</v>
      </c>
      <c r="AP546" s="13" t="s">
        <v>2077</v>
      </c>
      <c r="AQ546" s="13" t="s">
        <v>2077</v>
      </c>
      <c r="AR546" s="13" t="s">
        <v>2418</v>
      </c>
      <c r="AS546" s="13" t="s">
        <v>2419</v>
      </c>
      <c r="AT546" s="13" t="s">
        <v>2420</v>
      </c>
      <c r="AU546" s="13" t="s">
        <v>2421</v>
      </c>
      <c r="AV546" s="13" t="s">
        <v>2422</v>
      </c>
      <c r="AW546" s="13" t="s">
        <v>2416</v>
      </c>
      <c r="AX546" s="13" t="s">
        <v>2073</v>
      </c>
      <c r="AY546" s="13" t="s">
        <v>2073</v>
      </c>
      <c r="AZ546" s="13" t="s">
        <v>2073</v>
      </c>
      <c r="BA546" s="13" t="s">
        <v>2073</v>
      </c>
      <c r="BB546" s="13" t="s">
        <v>2073</v>
      </c>
      <c r="BC546" s="13" t="s">
        <v>2073</v>
      </c>
    </row>
    <row r="547" spans="1:55" ht="15.75" customHeight="1">
      <c r="A547" s="6">
        <v>2000</v>
      </c>
      <c r="B547" s="7" t="s">
        <v>1290</v>
      </c>
      <c r="C547" s="211" t="s">
        <v>2412</v>
      </c>
      <c r="D547" s="13" t="e">
        <f>VLOOKUP($B547,#REF!,2,FALSE)</f>
        <v>#REF!</v>
      </c>
      <c r="E547" s="13" t="e">
        <f>VLOOKUP($B547,#REF!,10,FALSE)</f>
        <v>#REF!</v>
      </c>
      <c r="F547" s="211" t="s">
        <v>2413</v>
      </c>
      <c r="G547" s="13" t="s">
        <v>2414</v>
      </c>
      <c r="H547" s="13" t="s">
        <v>2077</v>
      </c>
      <c r="I547" s="13" t="s">
        <v>2077</v>
      </c>
      <c r="J547" s="13" t="s">
        <v>2077</v>
      </c>
      <c r="K547" s="13" t="s">
        <v>2077</v>
      </c>
      <c r="L547" s="13" t="s">
        <v>2077</v>
      </c>
      <c r="M547" s="13" t="s">
        <v>2077</v>
      </c>
      <c r="N547" s="211" t="s">
        <v>2415</v>
      </c>
      <c r="O547" s="13" t="s">
        <v>2416</v>
      </c>
      <c r="P547" s="69" t="e">
        <f>VLOOKUP($B547,#REF!,2,FALSE)</f>
        <v>#REF!</v>
      </c>
      <c r="Q547" s="13" t="e">
        <f t="shared" si="399"/>
        <v>#REF!</v>
      </c>
      <c r="R547" s="215" t="e">
        <f>VLOOKUP($B547,#REF!,6,FALSE)</f>
        <v>#REF!</v>
      </c>
      <c r="S547" s="213" t="e">
        <f>VLOOKUP($B547,#REF!,7,FALSE)</f>
        <v>#REF!</v>
      </c>
      <c r="T547" s="13">
        <v>85</v>
      </c>
      <c r="U547" s="167" t="e">
        <f>VLOOKUP($B547,#REF!,9,FALSE)</f>
        <v>#REF!</v>
      </c>
      <c r="V547" s="13">
        <v>1</v>
      </c>
      <c r="W547" s="13" t="s">
        <v>2417</v>
      </c>
      <c r="X547" s="13" t="s">
        <v>1924</v>
      </c>
      <c r="Y547" s="13" t="s">
        <v>2073</v>
      </c>
      <c r="Z547" s="13" t="s">
        <v>2073</v>
      </c>
      <c r="AA547" s="13" t="s">
        <v>2073</v>
      </c>
      <c r="AB547" s="13" t="s">
        <v>1924</v>
      </c>
      <c r="AC547" s="211" t="s">
        <v>2415</v>
      </c>
      <c r="AD547" s="13" t="s">
        <v>2416</v>
      </c>
      <c r="AE547" s="69" t="e">
        <f>VLOOKUP($B547,#REF!,4,FALSE)</f>
        <v>#REF!</v>
      </c>
      <c r="AF547" s="13" t="s">
        <v>2418</v>
      </c>
      <c r="AG547" s="13" t="s">
        <v>2419</v>
      </c>
      <c r="AH547" s="13" t="s">
        <v>2420</v>
      </c>
      <c r="AI547" s="13" t="s">
        <v>2421</v>
      </c>
      <c r="AJ547" s="13" t="s">
        <v>2422</v>
      </c>
      <c r="AK547" s="13" t="s">
        <v>2416</v>
      </c>
      <c r="AL547" s="13" t="s">
        <v>2077</v>
      </c>
      <c r="AM547" s="13" t="s">
        <v>2077</v>
      </c>
      <c r="AN547" s="13" t="s">
        <v>2077</v>
      </c>
      <c r="AO547" s="13" t="s">
        <v>2077</v>
      </c>
      <c r="AP547" s="13" t="s">
        <v>2077</v>
      </c>
      <c r="AQ547" s="13" t="s">
        <v>2077</v>
      </c>
      <c r="AR547" s="13" t="s">
        <v>2418</v>
      </c>
      <c r="AS547" s="13" t="s">
        <v>2419</v>
      </c>
      <c r="AT547" s="13" t="s">
        <v>2420</v>
      </c>
      <c r="AU547" s="13" t="s">
        <v>2421</v>
      </c>
      <c r="AV547" s="13" t="s">
        <v>2422</v>
      </c>
      <c r="AW547" s="13" t="s">
        <v>2416</v>
      </c>
      <c r="AX547" s="13" t="s">
        <v>2073</v>
      </c>
      <c r="AY547" s="13" t="s">
        <v>2073</v>
      </c>
      <c r="AZ547" s="13" t="s">
        <v>2073</v>
      </c>
      <c r="BA547" s="13" t="s">
        <v>2073</v>
      </c>
      <c r="BB547" s="13" t="s">
        <v>2073</v>
      </c>
      <c r="BC547" s="13" t="s">
        <v>2073</v>
      </c>
    </row>
    <row r="548" spans="1:55" ht="15.75" customHeight="1">
      <c r="A548" s="6">
        <v>2000</v>
      </c>
      <c r="B548" s="7" t="s">
        <v>1295</v>
      </c>
      <c r="C548" s="211" t="s">
        <v>2412</v>
      </c>
      <c r="D548" s="13" t="e">
        <f>VLOOKUP($B548,#REF!,2,FALSE)</f>
        <v>#REF!</v>
      </c>
      <c r="E548" s="13" t="e">
        <f>VLOOKUP($B548,#REF!,10,FALSE)</f>
        <v>#REF!</v>
      </c>
      <c r="F548" s="211" t="s">
        <v>2413</v>
      </c>
      <c r="G548" s="13" t="s">
        <v>2414</v>
      </c>
      <c r="H548" s="13" t="s">
        <v>2077</v>
      </c>
      <c r="I548" s="13" t="s">
        <v>2077</v>
      </c>
      <c r="J548" s="13" t="s">
        <v>2077</v>
      </c>
      <c r="K548" s="13" t="s">
        <v>2077</v>
      </c>
      <c r="L548" s="13" t="s">
        <v>2077</v>
      </c>
      <c r="M548" s="13" t="s">
        <v>2077</v>
      </c>
      <c r="N548" s="211" t="s">
        <v>2415</v>
      </c>
      <c r="O548" s="13" t="s">
        <v>2416</v>
      </c>
      <c r="P548" s="69" t="e">
        <f>VLOOKUP($B548,#REF!,2,FALSE)</f>
        <v>#REF!</v>
      </c>
      <c r="Q548" s="13" t="e">
        <f t="shared" si="399"/>
        <v>#REF!</v>
      </c>
      <c r="R548" s="215" t="e">
        <f>VLOOKUP($B548,#REF!,6,FALSE)</f>
        <v>#REF!</v>
      </c>
      <c r="S548" s="213" t="e">
        <f>VLOOKUP($B548,#REF!,7,FALSE)</f>
        <v>#REF!</v>
      </c>
      <c r="T548" s="13">
        <v>85</v>
      </c>
      <c r="U548" s="167" t="e">
        <f>VLOOKUP($B548,#REF!,9,FALSE)</f>
        <v>#REF!</v>
      </c>
      <c r="V548" s="13">
        <v>1</v>
      </c>
      <c r="W548" s="13" t="s">
        <v>2417</v>
      </c>
      <c r="X548" s="13" t="s">
        <v>1924</v>
      </c>
      <c r="Y548" s="13" t="s">
        <v>2073</v>
      </c>
      <c r="Z548" s="13" t="s">
        <v>2073</v>
      </c>
      <c r="AA548" s="13" t="s">
        <v>2073</v>
      </c>
      <c r="AB548" s="13" t="s">
        <v>1924</v>
      </c>
      <c r="AC548" s="211" t="s">
        <v>2415</v>
      </c>
      <c r="AD548" s="13" t="s">
        <v>2416</v>
      </c>
      <c r="AE548" s="69" t="e">
        <f>VLOOKUP($B548,#REF!,4,FALSE)</f>
        <v>#REF!</v>
      </c>
      <c r="AF548" s="13" t="s">
        <v>2418</v>
      </c>
      <c r="AG548" s="13" t="s">
        <v>2419</v>
      </c>
      <c r="AH548" s="13" t="s">
        <v>2420</v>
      </c>
      <c r="AI548" s="13" t="s">
        <v>2421</v>
      </c>
      <c r="AJ548" s="13" t="s">
        <v>2422</v>
      </c>
      <c r="AK548" s="13" t="s">
        <v>2416</v>
      </c>
      <c r="AL548" s="13" t="s">
        <v>2077</v>
      </c>
      <c r="AM548" s="13" t="s">
        <v>2077</v>
      </c>
      <c r="AN548" s="13" t="s">
        <v>2077</v>
      </c>
      <c r="AO548" s="13" t="s">
        <v>2077</v>
      </c>
      <c r="AP548" s="13" t="s">
        <v>2077</v>
      </c>
      <c r="AQ548" s="13" t="s">
        <v>2077</v>
      </c>
      <c r="AR548" s="13" t="s">
        <v>2418</v>
      </c>
      <c r="AS548" s="13" t="s">
        <v>2419</v>
      </c>
      <c r="AT548" s="13" t="s">
        <v>2420</v>
      </c>
      <c r="AU548" s="13" t="s">
        <v>2421</v>
      </c>
      <c r="AV548" s="13" t="s">
        <v>2422</v>
      </c>
      <c r="AW548" s="13" t="s">
        <v>2416</v>
      </c>
      <c r="AX548" s="13" t="s">
        <v>2073</v>
      </c>
      <c r="AY548" s="13" t="s">
        <v>2073</v>
      </c>
      <c r="AZ548" s="13" t="s">
        <v>2073</v>
      </c>
      <c r="BA548" s="13" t="s">
        <v>2073</v>
      </c>
      <c r="BB548" s="13" t="s">
        <v>2073</v>
      </c>
      <c r="BC548" s="13" t="s">
        <v>2073</v>
      </c>
    </row>
    <row r="549" spans="1:55" ht="15.75" customHeight="1">
      <c r="A549" s="6">
        <v>2000</v>
      </c>
      <c r="B549" s="7" t="s">
        <v>1300</v>
      </c>
      <c r="C549" s="211" t="s">
        <v>2412</v>
      </c>
      <c r="D549" s="13" t="e">
        <f>VLOOKUP($B549,#REF!,2,FALSE)</f>
        <v>#REF!</v>
      </c>
      <c r="E549" s="13" t="e">
        <f>VLOOKUP($B549,#REF!,10,FALSE)</f>
        <v>#REF!</v>
      </c>
      <c r="F549" s="211" t="s">
        <v>2413</v>
      </c>
      <c r="G549" s="13" t="s">
        <v>2414</v>
      </c>
      <c r="H549" s="13" t="s">
        <v>2077</v>
      </c>
      <c r="I549" s="13" t="s">
        <v>2077</v>
      </c>
      <c r="J549" s="13" t="s">
        <v>2077</v>
      </c>
      <c r="K549" s="13" t="s">
        <v>2077</v>
      </c>
      <c r="L549" s="13" t="s">
        <v>2077</v>
      </c>
      <c r="M549" s="13" t="s">
        <v>2077</v>
      </c>
      <c r="N549" s="211" t="s">
        <v>2415</v>
      </c>
      <c r="O549" s="13" t="s">
        <v>2416</v>
      </c>
      <c r="P549" s="69" t="e">
        <f>VLOOKUP($B549,#REF!,2,FALSE)</f>
        <v>#REF!</v>
      </c>
      <c r="Q549" s="13" t="e">
        <f t="shared" si="399"/>
        <v>#REF!</v>
      </c>
      <c r="R549" s="215" t="e">
        <f>VLOOKUP($B549,#REF!,6,FALSE)</f>
        <v>#REF!</v>
      </c>
      <c r="S549" s="213" t="e">
        <f>VLOOKUP($B549,#REF!,7,FALSE)</f>
        <v>#REF!</v>
      </c>
      <c r="T549" s="13">
        <v>85</v>
      </c>
      <c r="U549" s="167" t="e">
        <f>VLOOKUP($B549,#REF!,9,FALSE)</f>
        <v>#REF!</v>
      </c>
      <c r="V549" s="13">
        <v>1</v>
      </c>
      <c r="W549" s="13" t="s">
        <v>2417</v>
      </c>
      <c r="X549" s="13" t="s">
        <v>1924</v>
      </c>
      <c r="Y549" s="13" t="s">
        <v>2073</v>
      </c>
      <c r="Z549" s="13" t="s">
        <v>2073</v>
      </c>
      <c r="AA549" s="13" t="s">
        <v>2073</v>
      </c>
      <c r="AB549" s="13" t="s">
        <v>1924</v>
      </c>
      <c r="AC549" s="211" t="s">
        <v>2415</v>
      </c>
      <c r="AD549" s="13" t="s">
        <v>2416</v>
      </c>
      <c r="AE549" s="69" t="e">
        <f>VLOOKUP($B549,#REF!,4,FALSE)</f>
        <v>#REF!</v>
      </c>
      <c r="AF549" s="13" t="s">
        <v>2418</v>
      </c>
      <c r="AG549" s="13" t="s">
        <v>2419</v>
      </c>
      <c r="AH549" s="13" t="s">
        <v>2420</v>
      </c>
      <c r="AI549" s="13" t="s">
        <v>2421</v>
      </c>
      <c r="AJ549" s="13" t="s">
        <v>2422</v>
      </c>
      <c r="AK549" s="13" t="s">
        <v>2416</v>
      </c>
      <c r="AL549" s="13" t="s">
        <v>2077</v>
      </c>
      <c r="AM549" s="13" t="s">
        <v>2077</v>
      </c>
      <c r="AN549" s="13" t="s">
        <v>2077</v>
      </c>
      <c r="AO549" s="13" t="s">
        <v>2077</v>
      </c>
      <c r="AP549" s="13" t="s">
        <v>2077</v>
      </c>
      <c r="AQ549" s="13" t="s">
        <v>2077</v>
      </c>
      <c r="AR549" s="13" t="s">
        <v>2418</v>
      </c>
      <c r="AS549" s="13" t="s">
        <v>2419</v>
      </c>
      <c r="AT549" s="13" t="s">
        <v>2420</v>
      </c>
      <c r="AU549" s="13" t="s">
        <v>2421</v>
      </c>
      <c r="AV549" s="13" t="s">
        <v>2422</v>
      </c>
      <c r="AW549" s="13" t="s">
        <v>2416</v>
      </c>
      <c r="AX549" s="13" t="s">
        <v>2073</v>
      </c>
      <c r="AY549" s="13" t="s">
        <v>2073</v>
      </c>
      <c r="AZ549" s="13" t="s">
        <v>2073</v>
      </c>
      <c r="BA549" s="13" t="s">
        <v>2073</v>
      </c>
      <c r="BB549" s="13" t="s">
        <v>2073</v>
      </c>
      <c r="BC549" s="13" t="s">
        <v>2073</v>
      </c>
    </row>
    <row r="550" spans="1:55" ht="15.75" customHeight="1">
      <c r="A550" s="6">
        <v>2000</v>
      </c>
      <c r="B550" s="7" t="s">
        <v>1305</v>
      </c>
      <c r="C550" s="211" t="s">
        <v>2412</v>
      </c>
      <c r="D550" s="13" t="e">
        <f>VLOOKUP($B550,#REF!,2,FALSE)</f>
        <v>#REF!</v>
      </c>
      <c r="E550" s="13" t="e">
        <f>VLOOKUP($B550,#REF!,10,FALSE)</f>
        <v>#REF!</v>
      </c>
      <c r="F550" s="211" t="s">
        <v>2413</v>
      </c>
      <c r="G550" s="13" t="s">
        <v>2414</v>
      </c>
      <c r="H550" s="13" t="s">
        <v>2077</v>
      </c>
      <c r="I550" s="13" t="s">
        <v>2077</v>
      </c>
      <c r="J550" s="13" t="s">
        <v>2077</v>
      </c>
      <c r="K550" s="13" t="s">
        <v>2077</v>
      </c>
      <c r="L550" s="13" t="s">
        <v>2077</v>
      </c>
      <c r="M550" s="13" t="s">
        <v>2077</v>
      </c>
      <c r="N550" s="211" t="s">
        <v>2415</v>
      </c>
      <c r="O550" s="13" t="s">
        <v>2416</v>
      </c>
      <c r="P550" s="69" t="e">
        <f>VLOOKUP($B550,#REF!,2,FALSE)</f>
        <v>#REF!</v>
      </c>
      <c r="Q550" s="13" t="e">
        <f t="shared" si="399"/>
        <v>#REF!</v>
      </c>
      <c r="R550" s="215" t="e">
        <f>VLOOKUP($B550,#REF!,6,FALSE)</f>
        <v>#REF!</v>
      </c>
      <c r="S550" s="213" t="e">
        <f>VLOOKUP($B550,#REF!,7,FALSE)</f>
        <v>#REF!</v>
      </c>
      <c r="T550" s="13">
        <v>85</v>
      </c>
      <c r="U550" s="167" t="e">
        <f>VLOOKUP($B550,#REF!,9,FALSE)</f>
        <v>#REF!</v>
      </c>
      <c r="V550" s="13">
        <v>1</v>
      </c>
      <c r="W550" s="13" t="s">
        <v>2417</v>
      </c>
      <c r="X550" s="13" t="s">
        <v>1924</v>
      </c>
      <c r="Y550" s="13" t="s">
        <v>2073</v>
      </c>
      <c r="Z550" s="13" t="s">
        <v>2073</v>
      </c>
      <c r="AA550" s="13" t="s">
        <v>2073</v>
      </c>
      <c r="AB550" s="13" t="s">
        <v>1924</v>
      </c>
      <c r="AC550" s="211" t="s">
        <v>2415</v>
      </c>
      <c r="AD550" s="13" t="s">
        <v>2416</v>
      </c>
      <c r="AE550" s="69" t="e">
        <f>VLOOKUP($B550,#REF!,4,FALSE)</f>
        <v>#REF!</v>
      </c>
      <c r="AF550" s="13" t="s">
        <v>2418</v>
      </c>
      <c r="AG550" s="13" t="s">
        <v>2419</v>
      </c>
      <c r="AH550" s="13" t="s">
        <v>2420</v>
      </c>
      <c r="AI550" s="13" t="s">
        <v>2421</v>
      </c>
      <c r="AJ550" s="13" t="s">
        <v>2422</v>
      </c>
      <c r="AK550" s="13" t="s">
        <v>2416</v>
      </c>
      <c r="AL550" s="13" t="s">
        <v>2077</v>
      </c>
      <c r="AM550" s="13" t="s">
        <v>2077</v>
      </c>
      <c r="AN550" s="13" t="s">
        <v>2077</v>
      </c>
      <c r="AO550" s="13" t="s">
        <v>2077</v>
      </c>
      <c r="AP550" s="13" t="s">
        <v>2077</v>
      </c>
      <c r="AQ550" s="13" t="s">
        <v>2077</v>
      </c>
      <c r="AR550" s="13" t="s">
        <v>2418</v>
      </c>
      <c r="AS550" s="13" t="s">
        <v>2419</v>
      </c>
      <c r="AT550" s="13" t="s">
        <v>2420</v>
      </c>
      <c r="AU550" s="13" t="s">
        <v>2421</v>
      </c>
      <c r="AV550" s="13" t="s">
        <v>2422</v>
      </c>
      <c r="AW550" s="13" t="s">
        <v>2416</v>
      </c>
      <c r="AX550" s="13" t="s">
        <v>2073</v>
      </c>
      <c r="AY550" s="13" t="s">
        <v>2073</v>
      </c>
      <c r="AZ550" s="13" t="s">
        <v>2073</v>
      </c>
      <c r="BA550" s="13" t="s">
        <v>2073</v>
      </c>
      <c r="BB550" s="13" t="s">
        <v>2073</v>
      </c>
      <c r="BC550" s="13" t="s">
        <v>2073</v>
      </c>
    </row>
    <row r="551" spans="1:55" ht="15.75" customHeight="1">
      <c r="A551" s="6">
        <v>2000</v>
      </c>
      <c r="B551" s="7" t="s">
        <v>1309</v>
      </c>
      <c r="C551" s="211" t="s">
        <v>2412</v>
      </c>
      <c r="D551" s="13" t="e">
        <f>VLOOKUP($B551,#REF!,2,FALSE)</f>
        <v>#REF!</v>
      </c>
      <c r="E551" s="13" t="e">
        <f>VLOOKUP($B551,#REF!,10,FALSE)</f>
        <v>#REF!</v>
      </c>
      <c r="F551" s="211" t="s">
        <v>2413</v>
      </c>
      <c r="G551" s="13" t="s">
        <v>2414</v>
      </c>
      <c r="H551" s="13" t="s">
        <v>2077</v>
      </c>
      <c r="I551" s="13" t="s">
        <v>2077</v>
      </c>
      <c r="J551" s="13" t="s">
        <v>2077</v>
      </c>
      <c r="K551" s="13" t="s">
        <v>2077</v>
      </c>
      <c r="L551" s="13" t="s">
        <v>2077</v>
      </c>
      <c r="M551" s="13" t="s">
        <v>2077</v>
      </c>
      <c r="N551" s="211" t="s">
        <v>2415</v>
      </c>
      <c r="O551" s="13" t="s">
        <v>2416</v>
      </c>
      <c r="P551" s="69" t="e">
        <f>VLOOKUP($B551,#REF!,2,FALSE)</f>
        <v>#REF!</v>
      </c>
      <c r="Q551" s="13" t="e">
        <f t="shared" si="399"/>
        <v>#REF!</v>
      </c>
      <c r="R551" s="215" t="e">
        <f>VLOOKUP($B551,#REF!,6,FALSE)</f>
        <v>#REF!</v>
      </c>
      <c r="S551" s="213" t="e">
        <f>VLOOKUP($B551,#REF!,7,FALSE)</f>
        <v>#REF!</v>
      </c>
      <c r="T551" s="13">
        <v>85</v>
      </c>
      <c r="U551" s="167" t="e">
        <f>VLOOKUP($B551,#REF!,9,FALSE)</f>
        <v>#REF!</v>
      </c>
      <c r="V551" s="13">
        <v>1</v>
      </c>
      <c r="W551" s="13" t="s">
        <v>2417</v>
      </c>
      <c r="X551" s="13" t="s">
        <v>1924</v>
      </c>
      <c r="Y551" s="13" t="s">
        <v>2073</v>
      </c>
      <c r="Z551" s="13" t="s">
        <v>2073</v>
      </c>
      <c r="AA551" s="13" t="s">
        <v>2073</v>
      </c>
      <c r="AB551" s="13" t="s">
        <v>1924</v>
      </c>
      <c r="AC551" s="211" t="s">
        <v>2415</v>
      </c>
      <c r="AD551" s="13" t="s">
        <v>2416</v>
      </c>
      <c r="AE551" s="69" t="e">
        <f>VLOOKUP($B551,#REF!,4,FALSE)</f>
        <v>#REF!</v>
      </c>
      <c r="AF551" s="13" t="s">
        <v>2418</v>
      </c>
      <c r="AG551" s="13" t="s">
        <v>2419</v>
      </c>
      <c r="AH551" s="13" t="s">
        <v>2420</v>
      </c>
      <c r="AI551" s="13" t="s">
        <v>2421</v>
      </c>
      <c r="AJ551" s="13" t="s">
        <v>2422</v>
      </c>
      <c r="AK551" s="13" t="s">
        <v>2416</v>
      </c>
      <c r="AL551" s="13" t="s">
        <v>2077</v>
      </c>
      <c r="AM551" s="13" t="s">
        <v>2077</v>
      </c>
      <c r="AN551" s="13" t="s">
        <v>2077</v>
      </c>
      <c r="AO551" s="13" t="s">
        <v>2077</v>
      </c>
      <c r="AP551" s="13" t="s">
        <v>2077</v>
      </c>
      <c r="AQ551" s="13" t="s">
        <v>2077</v>
      </c>
      <c r="AR551" s="13" t="s">
        <v>2418</v>
      </c>
      <c r="AS551" s="13" t="s">
        <v>2419</v>
      </c>
      <c r="AT551" s="13" t="s">
        <v>2420</v>
      </c>
      <c r="AU551" s="13" t="s">
        <v>2421</v>
      </c>
      <c r="AV551" s="13" t="s">
        <v>2422</v>
      </c>
      <c r="AW551" s="13" t="s">
        <v>2416</v>
      </c>
      <c r="AX551" s="13" t="s">
        <v>2073</v>
      </c>
      <c r="AY551" s="13" t="s">
        <v>2073</v>
      </c>
      <c r="AZ551" s="13" t="s">
        <v>2073</v>
      </c>
      <c r="BA551" s="13" t="s">
        <v>2073</v>
      </c>
      <c r="BB551" s="13" t="s">
        <v>2073</v>
      </c>
      <c r="BC551" s="13" t="s">
        <v>2073</v>
      </c>
    </row>
    <row r="552" spans="1:55" ht="15.75" customHeight="1">
      <c r="A552" s="6">
        <v>2000</v>
      </c>
      <c r="B552" s="7" t="s">
        <v>1313</v>
      </c>
      <c r="C552" s="211" t="s">
        <v>2412</v>
      </c>
      <c r="D552" s="13" t="e">
        <f>VLOOKUP($B552,#REF!,2,FALSE)</f>
        <v>#REF!</v>
      </c>
      <c r="E552" s="13" t="e">
        <f>VLOOKUP($B552,#REF!,10,FALSE)</f>
        <v>#REF!</v>
      </c>
      <c r="F552" s="211" t="s">
        <v>2413</v>
      </c>
      <c r="G552" s="13" t="s">
        <v>2414</v>
      </c>
      <c r="H552" s="13" t="s">
        <v>2077</v>
      </c>
      <c r="I552" s="13" t="s">
        <v>2077</v>
      </c>
      <c r="J552" s="13" t="s">
        <v>2077</v>
      </c>
      <c r="K552" s="13" t="s">
        <v>2077</v>
      </c>
      <c r="L552" s="13" t="s">
        <v>2077</v>
      </c>
      <c r="M552" s="13" t="s">
        <v>2077</v>
      </c>
      <c r="N552" s="211" t="s">
        <v>2415</v>
      </c>
      <c r="O552" s="13" t="s">
        <v>2416</v>
      </c>
      <c r="P552" s="69" t="e">
        <f>VLOOKUP($B552,#REF!,2,FALSE)</f>
        <v>#REF!</v>
      </c>
      <c r="Q552" s="13" t="e">
        <f t="shared" si="399"/>
        <v>#REF!</v>
      </c>
      <c r="R552" s="215" t="e">
        <f>VLOOKUP($B552,#REF!,6,FALSE)</f>
        <v>#REF!</v>
      </c>
      <c r="S552" s="213" t="e">
        <f>VLOOKUP($B552,#REF!,7,FALSE)</f>
        <v>#REF!</v>
      </c>
      <c r="T552" s="13">
        <v>85</v>
      </c>
      <c r="U552" s="167" t="e">
        <f>VLOOKUP($B552,#REF!,9,FALSE)</f>
        <v>#REF!</v>
      </c>
      <c r="V552" s="13">
        <v>1</v>
      </c>
      <c r="W552" s="13" t="s">
        <v>2417</v>
      </c>
      <c r="X552" s="13" t="s">
        <v>1924</v>
      </c>
      <c r="Y552" s="13" t="s">
        <v>2073</v>
      </c>
      <c r="Z552" s="13" t="s">
        <v>2073</v>
      </c>
      <c r="AA552" s="13" t="s">
        <v>2073</v>
      </c>
      <c r="AB552" s="13" t="s">
        <v>1924</v>
      </c>
      <c r="AC552" s="211" t="s">
        <v>2415</v>
      </c>
      <c r="AD552" s="13" t="s">
        <v>2416</v>
      </c>
      <c r="AE552" s="69" t="e">
        <f>VLOOKUP($B552,#REF!,4,FALSE)</f>
        <v>#REF!</v>
      </c>
      <c r="AF552" s="13" t="s">
        <v>2418</v>
      </c>
      <c r="AG552" s="13" t="s">
        <v>2419</v>
      </c>
      <c r="AH552" s="13" t="s">
        <v>2420</v>
      </c>
      <c r="AI552" s="13" t="s">
        <v>2421</v>
      </c>
      <c r="AJ552" s="13" t="s">
        <v>2422</v>
      </c>
      <c r="AK552" s="13" t="s">
        <v>2416</v>
      </c>
      <c r="AL552" s="13" t="s">
        <v>2077</v>
      </c>
      <c r="AM552" s="13" t="s">
        <v>2077</v>
      </c>
      <c r="AN552" s="13" t="s">
        <v>2077</v>
      </c>
      <c r="AO552" s="13" t="s">
        <v>2077</v>
      </c>
      <c r="AP552" s="13" t="s">
        <v>2077</v>
      </c>
      <c r="AQ552" s="13" t="s">
        <v>2077</v>
      </c>
      <c r="AR552" s="13" t="s">
        <v>2418</v>
      </c>
      <c r="AS552" s="13" t="s">
        <v>2419</v>
      </c>
      <c r="AT552" s="13" t="s">
        <v>2420</v>
      </c>
      <c r="AU552" s="13" t="s">
        <v>2421</v>
      </c>
      <c r="AV552" s="13" t="s">
        <v>2422</v>
      </c>
      <c r="AW552" s="13" t="s">
        <v>2416</v>
      </c>
      <c r="AX552" s="13" t="s">
        <v>2073</v>
      </c>
      <c r="AY552" s="13" t="s">
        <v>2073</v>
      </c>
      <c r="AZ552" s="13" t="s">
        <v>2073</v>
      </c>
      <c r="BA552" s="13" t="s">
        <v>2073</v>
      </c>
      <c r="BB552" s="13" t="s">
        <v>2073</v>
      </c>
      <c r="BC552" s="13" t="s">
        <v>2073</v>
      </c>
    </row>
    <row r="553" spans="1:55" ht="15.75" customHeight="1">
      <c r="A553" s="6">
        <v>2000</v>
      </c>
      <c r="B553" s="7" t="s">
        <v>1317</v>
      </c>
      <c r="C553" s="211" t="s">
        <v>2412</v>
      </c>
      <c r="D553" s="13" t="e">
        <f>VLOOKUP($B553,#REF!,2,FALSE)</f>
        <v>#REF!</v>
      </c>
      <c r="E553" s="13" t="e">
        <f>VLOOKUP($B553,#REF!,10,FALSE)</f>
        <v>#REF!</v>
      </c>
      <c r="F553" s="211" t="s">
        <v>2413</v>
      </c>
      <c r="G553" s="13" t="s">
        <v>2414</v>
      </c>
      <c r="H553" s="13" t="s">
        <v>2077</v>
      </c>
      <c r="I553" s="13" t="s">
        <v>2077</v>
      </c>
      <c r="J553" s="13" t="s">
        <v>2077</v>
      </c>
      <c r="K553" s="13" t="s">
        <v>2077</v>
      </c>
      <c r="L553" s="13" t="s">
        <v>2077</v>
      </c>
      <c r="M553" s="13" t="s">
        <v>2077</v>
      </c>
      <c r="N553" s="211" t="s">
        <v>2415</v>
      </c>
      <c r="O553" s="13" t="s">
        <v>2416</v>
      </c>
      <c r="P553" s="69" t="e">
        <f>VLOOKUP($B553,#REF!,2,FALSE)</f>
        <v>#REF!</v>
      </c>
      <c r="Q553" s="13" t="e">
        <f t="shared" si="399"/>
        <v>#REF!</v>
      </c>
      <c r="R553" s="215" t="e">
        <f>VLOOKUP($B553,#REF!,6,FALSE)</f>
        <v>#REF!</v>
      </c>
      <c r="S553" s="213" t="e">
        <f>VLOOKUP($B553,#REF!,7,FALSE)</f>
        <v>#REF!</v>
      </c>
      <c r="T553" s="13">
        <v>85</v>
      </c>
      <c r="U553" s="167" t="e">
        <f>VLOOKUP($B553,#REF!,9,FALSE)</f>
        <v>#REF!</v>
      </c>
      <c r="V553" s="13">
        <v>1</v>
      </c>
      <c r="W553" s="13" t="s">
        <v>2417</v>
      </c>
      <c r="X553" s="13" t="s">
        <v>1924</v>
      </c>
      <c r="Y553" s="13" t="s">
        <v>2073</v>
      </c>
      <c r="Z553" s="13" t="s">
        <v>2073</v>
      </c>
      <c r="AA553" s="13" t="s">
        <v>2073</v>
      </c>
      <c r="AB553" s="13" t="s">
        <v>1924</v>
      </c>
      <c r="AC553" s="211" t="s">
        <v>2415</v>
      </c>
      <c r="AD553" s="13" t="s">
        <v>2416</v>
      </c>
      <c r="AE553" s="69" t="e">
        <f>VLOOKUP($B553,#REF!,4,FALSE)</f>
        <v>#REF!</v>
      </c>
      <c r="AF553" s="13" t="s">
        <v>2418</v>
      </c>
      <c r="AG553" s="13" t="s">
        <v>2419</v>
      </c>
      <c r="AH553" s="13" t="s">
        <v>2420</v>
      </c>
      <c r="AI553" s="13" t="s">
        <v>2421</v>
      </c>
      <c r="AJ553" s="13" t="s">
        <v>2422</v>
      </c>
      <c r="AK553" s="13" t="s">
        <v>2416</v>
      </c>
      <c r="AL553" s="13" t="s">
        <v>2077</v>
      </c>
      <c r="AM553" s="13" t="s">
        <v>2077</v>
      </c>
      <c r="AN553" s="13" t="s">
        <v>2077</v>
      </c>
      <c r="AO553" s="13" t="s">
        <v>2077</v>
      </c>
      <c r="AP553" s="13" t="s">
        <v>2077</v>
      </c>
      <c r="AQ553" s="13" t="s">
        <v>2077</v>
      </c>
      <c r="AR553" s="13" t="s">
        <v>2418</v>
      </c>
      <c r="AS553" s="13" t="s">
        <v>2419</v>
      </c>
      <c r="AT553" s="13" t="s">
        <v>2420</v>
      </c>
      <c r="AU553" s="13" t="s">
        <v>2421</v>
      </c>
      <c r="AV553" s="13" t="s">
        <v>2422</v>
      </c>
      <c r="AW553" s="13" t="s">
        <v>2416</v>
      </c>
      <c r="AX553" s="13" t="s">
        <v>2073</v>
      </c>
      <c r="AY553" s="13" t="s">
        <v>2073</v>
      </c>
      <c r="AZ553" s="13" t="s">
        <v>2073</v>
      </c>
      <c r="BA553" s="13" t="s">
        <v>2073</v>
      </c>
      <c r="BB553" s="13" t="s">
        <v>2073</v>
      </c>
      <c r="BC553" s="13" t="s">
        <v>2073</v>
      </c>
    </row>
    <row r="554" spans="1:55" ht="15.75" customHeight="1">
      <c r="A554" s="6">
        <v>2000</v>
      </c>
      <c r="B554" s="7" t="s">
        <v>1321</v>
      </c>
      <c r="C554" s="211" t="s">
        <v>2412</v>
      </c>
      <c r="D554" s="13" t="e">
        <f>VLOOKUP($B554,#REF!,2,FALSE)</f>
        <v>#REF!</v>
      </c>
      <c r="E554" s="13" t="e">
        <f>VLOOKUP($B554,#REF!,10,FALSE)</f>
        <v>#REF!</v>
      </c>
      <c r="F554" s="211" t="s">
        <v>2413</v>
      </c>
      <c r="G554" s="13" t="s">
        <v>2414</v>
      </c>
      <c r="H554" s="13" t="s">
        <v>2077</v>
      </c>
      <c r="I554" s="13" t="s">
        <v>2077</v>
      </c>
      <c r="J554" s="13" t="s">
        <v>2077</v>
      </c>
      <c r="K554" s="13" t="s">
        <v>2077</v>
      </c>
      <c r="L554" s="13" t="s">
        <v>2077</v>
      </c>
      <c r="M554" s="13" t="s">
        <v>2077</v>
      </c>
      <c r="N554" s="211" t="s">
        <v>2415</v>
      </c>
      <c r="O554" s="13" t="s">
        <v>2416</v>
      </c>
      <c r="P554" s="69" t="e">
        <f>VLOOKUP($B554,#REF!,2,FALSE)</f>
        <v>#REF!</v>
      </c>
      <c r="Q554" s="13" t="e">
        <f t="shared" si="399"/>
        <v>#REF!</v>
      </c>
      <c r="R554" s="215" t="e">
        <f>VLOOKUP($B554,#REF!,6,FALSE)</f>
        <v>#REF!</v>
      </c>
      <c r="S554" s="213" t="e">
        <f>VLOOKUP($B554,#REF!,7,FALSE)</f>
        <v>#REF!</v>
      </c>
      <c r="T554" s="13">
        <v>85</v>
      </c>
      <c r="U554" s="167" t="e">
        <f>VLOOKUP($B554,#REF!,9,FALSE)</f>
        <v>#REF!</v>
      </c>
      <c r="V554" s="13">
        <v>1</v>
      </c>
      <c r="W554" s="13" t="s">
        <v>2417</v>
      </c>
      <c r="X554" s="13" t="s">
        <v>1924</v>
      </c>
      <c r="Y554" s="13" t="s">
        <v>2073</v>
      </c>
      <c r="Z554" s="13" t="s">
        <v>2073</v>
      </c>
      <c r="AA554" s="13" t="s">
        <v>2073</v>
      </c>
      <c r="AB554" s="13" t="s">
        <v>1924</v>
      </c>
      <c r="AC554" s="211" t="s">
        <v>2415</v>
      </c>
      <c r="AD554" s="13" t="s">
        <v>2416</v>
      </c>
      <c r="AE554" s="69" t="e">
        <f>VLOOKUP($B554,#REF!,4,FALSE)</f>
        <v>#REF!</v>
      </c>
      <c r="AF554" s="13" t="s">
        <v>2418</v>
      </c>
      <c r="AG554" s="13" t="s">
        <v>2419</v>
      </c>
      <c r="AH554" s="13" t="s">
        <v>2420</v>
      </c>
      <c r="AI554" s="13" t="s">
        <v>2421</v>
      </c>
      <c r="AJ554" s="13" t="s">
        <v>2422</v>
      </c>
      <c r="AK554" s="13" t="s">
        <v>2416</v>
      </c>
      <c r="AL554" s="13" t="s">
        <v>2077</v>
      </c>
      <c r="AM554" s="13" t="s">
        <v>2077</v>
      </c>
      <c r="AN554" s="13" t="s">
        <v>2077</v>
      </c>
      <c r="AO554" s="13" t="s">
        <v>2077</v>
      </c>
      <c r="AP554" s="13" t="s">
        <v>2077</v>
      </c>
      <c r="AQ554" s="13" t="s">
        <v>2077</v>
      </c>
      <c r="AR554" s="13" t="s">
        <v>2418</v>
      </c>
      <c r="AS554" s="13" t="s">
        <v>2419</v>
      </c>
      <c r="AT554" s="13" t="s">
        <v>2420</v>
      </c>
      <c r="AU554" s="13" t="s">
        <v>2421</v>
      </c>
      <c r="AV554" s="13" t="s">
        <v>2422</v>
      </c>
      <c r="AW554" s="13" t="s">
        <v>2416</v>
      </c>
      <c r="AX554" s="13" t="s">
        <v>2073</v>
      </c>
      <c r="AY554" s="13" t="s">
        <v>2073</v>
      </c>
      <c r="AZ554" s="13" t="s">
        <v>2073</v>
      </c>
      <c r="BA554" s="13" t="s">
        <v>2073</v>
      </c>
      <c r="BB554" s="13" t="s">
        <v>2073</v>
      </c>
      <c r="BC554" s="13" t="s">
        <v>2073</v>
      </c>
    </row>
    <row r="555" spans="1:55" ht="15.75" customHeight="1">
      <c r="A555" s="6">
        <v>2000</v>
      </c>
      <c r="B555" s="7" t="s">
        <v>1325</v>
      </c>
      <c r="C555" s="211" t="s">
        <v>2412</v>
      </c>
      <c r="D555" s="13" t="e">
        <f>VLOOKUP($B555,#REF!,2,FALSE)</f>
        <v>#REF!</v>
      </c>
      <c r="E555" s="13" t="e">
        <f>VLOOKUP($B555,#REF!,10,FALSE)</f>
        <v>#REF!</v>
      </c>
      <c r="F555" s="211" t="s">
        <v>2413</v>
      </c>
      <c r="G555" s="13" t="s">
        <v>2414</v>
      </c>
      <c r="H555" s="13" t="s">
        <v>2077</v>
      </c>
      <c r="I555" s="13" t="s">
        <v>2077</v>
      </c>
      <c r="J555" s="13" t="s">
        <v>2077</v>
      </c>
      <c r="K555" s="13" t="s">
        <v>2077</v>
      </c>
      <c r="L555" s="13" t="s">
        <v>2077</v>
      </c>
      <c r="M555" s="13" t="s">
        <v>2077</v>
      </c>
      <c r="N555" s="211" t="s">
        <v>2415</v>
      </c>
      <c r="O555" s="13" t="s">
        <v>2416</v>
      </c>
      <c r="P555" s="69" t="e">
        <f>VLOOKUP($B555,#REF!,2,FALSE)</f>
        <v>#REF!</v>
      </c>
      <c r="Q555" s="13" t="e">
        <f t="shared" si="399"/>
        <v>#REF!</v>
      </c>
      <c r="R555" s="215" t="e">
        <f>VLOOKUP($B555,#REF!,6,FALSE)</f>
        <v>#REF!</v>
      </c>
      <c r="S555" s="213" t="e">
        <f>VLOOKUP($B555,#REF!,7,FALSE)</f>
        <v>#REF!</v>
      </c>
      <c r="T555" s="13">
        <v>85</v>
      </c>
      <c r="U555" s="167" t="e">
        <f>VLOOKUP($B555,#REF!,9,FALSE)</f>
        <v>#REF!</v>
      </c>
      <c r="V555" s="13">
        <v>1</v>
      </c>
      <c r="W555" s="13" t="s">
        <v>2417</v>
      </c>
      <c r="X555" s="13" t="s">
        <v>1924</v>
      </c>
      <c r="Y555" s="13" t="s">
        <v>2073</v>
      </c>
      <c r="Z555" s="13" t="s">
        <v>2073</v>
      </c>
      <c r="AA555" s="13" t="s">
        <v>2073</v>
      </c>
      <c r="AB555" s="13" t="s">
        <v>1924</v>
      </c>
      <c r="AC555" s="211" t="s">
        <v>2415</v>
      </c>
      <c r="AD555" s="13" t="s">
        <v>2416</v>
      </c>
      <c r="AE555" s="69" t="e">
        <f>VLOOKUP($B555,#REF!,4,FALSE)</f>
        <v>#REF!</v>
      </c>
      <c r="AF555" s="13" t="s">
        <v>2418</v>
      </c>
      <c r="AG555" s="13" t="s">
        <v>2419</v>
      </c>
      <c r="AH555" s="13" t="s">
        <v>2420</v>
      </c>
      <c r="AI555" s="13" t="s">
        <v>2421</v>
      </c>
      <c r="AJ555" s="13" t="s">
        <v>2422</v>
      </c>
      <c r="AK555" s="13" t="s">
        <v>2416</v>
      </c>
      <c r="AL555" s="13" t="s">
        <v>2077</v>
      </c>
      <c r="AM555" s="13" t="s">
        <v>2077</v>
      </c>
      <c r="AN555" s="13" t="s">
        <v>2077</v>
      </c>
      <c r="AO555" s="13" t="s">
        <v>2077</v>
      </c>
      <c r="AP555" s="13" t="s">
        <v>2077</v>
      </c>
      <c r="AQ555" s="13" t="s">
        <v>2077</v>
      </c>
      <c r="AR555" s="13" t="s">
        <v>2418</v>
      </c>
      <c r="AS555" s="13" t="s">
        <v>2419</v>
      </c>
      <c r="AT555" s="13" t="s">
        <v>2420</v>
      </c>
      <c r="AU555" s="13" t="s">
        <v>2421</v>
      </c>
      <c r="AV555" s="13" t="s">
        <v>2422</v>
      </c>
      <c r="AW555" s="13" t="s">
        <v>2416</v>
      </c>
      <c r="AX555" s="13" t="s">
        <v>2073</v>
      </c>
      <c r="AY555" s="13" t="s">
        <v>2073</v>
      </c>
      <c r="AZ555" s="13" t="s">
        <v>2073</v>
      </c>
      <c r="BA555" s="13" t="s">
        <v>2073</v>
      </c>
      <c r="BB555" s="13" t="s">
        <v>2073</v>
      </c>
      <c r="BC555" s="13" t="s">
        <v>2073</v>
      </c>
    </row>
    <row r="556" spans="1:55" ht="15.75" customHeight="1">
      <c r="A556" s="6">
        <v>2000</v>
      </c>
      <c r="B556" s="7" t="s">
        <v>1329</v>
      </c>
      <c r="C556" s="211" t="s">
        <v>2412</v>
      </c>
      <c r="D556" s="13" t="e">
        <f>VLOOKUP($B556,#REF!,2,FALSE)</f>
        <v>#REF!</v>
      </c>
      <c r="E556" s="13" t="e">
        <f>VLOOKUP($B556,#REF!,10,FALSE)</f>
        <v>#REF!</v>
      </c>
      <c r="F556" s="211" t="s">
        <v>2413</v>
      </c>
      <c r="G556" s="13" t="s">
        <v>2414</v>
      </c>
      <c r="H556" s="13" t="s">
        <v>2077</v>
      </c>
      <c r="I556" s="13" t="s">
        <v>2077</v>
      </c>
      <c r="J556" s="13" t="s">
        <v>2077</v>
      </c>
      <c r="K556" s="13" t="s">
        <v>2077</v>
      </c>
      <c r="L556" s="13" t="s">
        <v>2077</v>
      </c>
      <c r="M556" s="13" t="s">
        <v>2077</v>
      </c>
      <c r="N556" s="211" t="s">
        <v>2415</v>
      </c>
      <c r="O556" s="13" t="s">
        <v>2416</v>
      </c>
      <c r="P556" s="69" t="e">
        <f>VLOOKUP($B556,#REF!,2,FALSE)</f>
        <v>#REF!</v>
      </c>
      <c r="Q556" s="13" t="e">
        <f t="shared" si="399"/>
        <v>#REF!</v>
      </c>
      <c r="R556" s="215" t="e">
        <f>VLOOKUP($B556,#REF!,6,FALSE)</f>
        <v>#REF!</v>
      </c>
      <c r="S556" s="213" t="e">
        <f>VLOOKUP($B556,#REF!,7,FALSE)</f>
        <v>#REF!</v>
      </c>
      <c r="T556" s="13">
        <v>85</v>
      </c>
      <c r="U556" s="167" t="e">
        <f>VLOOKUP($B556,#REF!,9,FALSE)</f>
        <v>#REF!</v>
      </c>
      <c r="V556" s="13">
        <v>1</v>
      </c>
      <c r="W556" s="13" t="s">
        <v>2417</v>
      </c>
      <c r="X556" s="13" t="s">
        <v>1924</v>
      </c>
      <c r="Y556" s="13" t="s">
        <v>2073</v>
      </c>
      <c r="Z556" s="13" t="s">
        <v>2073</v>
      </c>
      <c r="AA556" s="13" t="s">
        <v>2073</v>
      </c>
      <c r="AB556" s="13" t="s">
        <v>1924</v>
      </c>
      <c r="AC556" s="211" t="s">
        <v>2415</v>
      </c>
      <c r="AD556" s="13" t="s">
        <v>2416</v>
      </c>
      <c r="AE556" s="69" t="e">
        <f>VLOOKUP($B556,#REF!,4,FALSE)</f>
        <v>#REF!</v>
      </c>
      <c r="AF556" s="13" t="s">
        <v>2418</v>
      </c>
      <c r="AG556" s="13" t="s">
        <v>2419</v>
      </c>
      <c r="AH556" s="13" t="s">
        <v>2420</v>
      </c>
      <c r="AI556" s="13" t="s">
        <v>2421</v>
      </c>
      <c r="AJ556" s="13" t="s">
        <v>2422</v>
      </c>
      <c r="AK556" s="13" t="s">
        <v>2416</v>
      </c>
      <c r="AL556" s="13" t="s">
        <v>2077</v>
      </c>
      <c r="AM556" s="13" t="s">
        <v>2077</v>
      </c>
      <c r="AN556" s="13" t="s">
        <v>2077</v>
      </c>
      <c r="AO556" s="13" t="s">
        <v>2077</v>
      </c>
      <c r="AP556" s="13" t="s">
        <v>2077</v>
      </c>
      <c r="AQ556" s="13" t="s">
        <v>2077</v>
      </c>
      <c r="AR556" s="13" t="s">
        <v>2418</v>
      </c>
      <c r="AS556" s="13" t="s">
        <v>2419</v>
      </c>
      <c r="AT556" s="13" t="s">
        <v>2420</v>
      </c>
      <c r="AU556" s="13" t="s">
        <v>2421</v>
      </c>
      <c r="AV556" s="13" t="s">
        <v>2422</v>
      </c>
      <c r="AW556" s="13" t="s">
        <v>2416</v>
      </c>
      <c r="AX556" s="13" t="s">
        <v>2073</v>
      </c>
      <c r="AY556" s="13" t="s">
        <v>2073</v>
      </c>
      <c r="AZ556" s="13" t="s">
        <v>2073</v>
      </c>
      <c r="BA556" s="13" t="s">
        <v>2073</v>
      </c>
      <c r="BB556" s="13" t="s">
        <v>2073</v>
      </c>
      <c r="BC556" s="13" t="s">
        <v>2073</v>
      </c>
    </row>
    <row r="557" spans="1:55" ht="15.75" customHeight="1">
      <c r="A557" s="6">
        <v>2000</v>
      </c>
      <c r="B557" s="7" t="s">
        <v>1333</v>
      </c>
      <c r="C557" s="211" t="s">
        <v>2412</v>
      </c>
      <c r="D557" s="13" t="e">
        <f>VLOOKUP($B557,#REF!,2,FALSE)</f>
        <v>#REF!</v>
      </c>
      <c r="E557" s="13" t="e">
        <f>VLOOKUP($B557,#REF!,10,FALSE)</f>
        <v>#REF!</v>
      </c>
      <c r="F557" s="211" t="s">
        <v>2413</v>
      </c>
      <c r="G557" s="13" t="s">
        <v>2414</v>
      </c>
      <c r="H557" s="13" t="s">
        <v>2077</v>
      </c>
      <c r="I557" s="13" t="s">
        <v>2077</v>
      </c>
      <c r="J557" s="13" t="s">
        <v>2077</v>
      </c>
      <c r="K557" s="13" t="s">
        <v>2077</v>
      </c>
      <c r="L557" s="13" t="s">
        <v>2077</v>
      </c>
      <c r="M557" s="13" t="s">
        <v>2077</v>
      </c>
      <c r="N557" s="211" t="s">
        <v>2415</v>
      </c>
      <c r="O557" s="13" t="s">
        <v>2416</v>
      </c>
      <c r="P557" s="69" t="e">
        <f>VLOOKUP($B557,#REF!,2,FALSE)</f>
        <v>#REF!</v>
      </c>
      <c r="Q557" s="13" t="e">
        <f t="shared" si="399"/>
        <v>#REF!</v>
      </c>
      <c r="R557" s="215" t="e">
        <f>VLOOKUP($B557,#REF!,6,FALSE)</f>
        <v>#REF!</v>
      </c>
      <c r="S557" s="213" t="e">
        <f>VLOOKUP($B557,#REF!,7,FALSE)</f>
        <v>#REF!</v>
      </c>
      <c r="T557" s="13">
        <v>85</v>
      </c>
      <c r="U557" s="167" t="e">
        <f>VLOOKUP($B557,#REF!,9,FALSE)</f>
        <v>#REF!</v>
      </c>
      <c r="V557" s="13">
        <v>1</v>
      </c>
      <c r="W557" s="13" t="s">
        <v>2417</v>
      </c>
      <c r="X557" s="13" t="s">
        <v>1924</v>
      </c>
      <c r="Y557" s="13" t="s">
        <v>2073</v>
      </c>
      <c r="Z557" s="13" t="s">
        <v>2073</v>
      </c>
      <c r="AA557" s="13" t="s">
        <v>2073</v>
      </c>
      <c r="AB557" s="13" t="s">
        <v>1924</v>
      </c>
      <c r="AC557" s="211" t="s">
        <v>2415</v>
      </c>
      <c r="AD557" s="13" t="s">
        <v>2416</v>
      </c>
      <c r="AE557" s="69" t="e">
        <f>VLOOKUP($B557,#REF!,4,FALSE)</f>
        <v>#REF!</v>
      </c>
      <c r="AF557" s="13" t="s">
        <v>2418</v>
      </c>
      <c r="AG557" s="13" t="s">
        <v>2419</v>
      </c>
      <c r="AH557" s="13" t="s">
        <v>2420</v>
      </c>
      <c r="AI557" s="13" t="s">
        <v>2421</v>
      </c>
      <c r="AJ557" s="13" t="s">
        <v>2422</v>
      </c>
      <c r="AK557" s="13" t="s">
        <v>2416</v>
      </c>
      <c r="AL557" s="13" t="s">
        <v>2077</v>
      </c>
      <c r="AM557" s="13" t="s">
        <v>2077</v>
      </c>
      <c r="AN557" s="13" t="s">
        <v>2077</v>
      </c>
      <c r="AO557" s="13" t="s">
        <v>2077</v>
      </c>
      <c r="AP557" s="13" t="s">
        <v>2077</v>
      </c>
      <c r="AQ557" s="13" t="s">
        <v>2077</v>
      </c>
      <c r="AR557" s="13" t="s">
        <v>2418</v>
      </c>
      <c r="AS557" s="13" t="s">
        <v>2419</v>
      </c>
      <c r="AT557" s="13" t="s">
        <v>2420</v>
      </c>
      <c r="AU557" s="13" t="s">
        <v>2421</v>
      </c>
      <c r="AV557" s="13" t="s">
        <v>2422</v>
      </c>
      <c r="AW557" s="13" t="s">
        <v>2416</v>
      </c>
      <c r="AX557" s="13" t="s">
        <v>2073</v>
      </c>
      <c r="AY557" s="13" t="s">
        <v>2073</v>
      </c>
      <c r="AZ557" s="13" t="s">
        <v>2073</v>
      </c>
      <c r="BA557" s="13" t="s">
        <v>2073</v>
      </c>
      <c r="BB557" s="13" t="s">
        <v>2073</v>
      </c>
      <c r="BC557" s="13" t="s">
        <v>2073</v>
      </c>
    </row>
    <row r="558" spans="1:55" ht="15.75" customHeight="1">
      <c r="A558" s="6">
        <v>2000</v>
      </c>
      <c r="B558" s="7" t="s">
        <v>1337</v>
      </c>
      <c r="C558" s="211" t="s">
        <v>2412</v>
      </c>
      <c r="D558" s="13" t="e">
        <f>VLOOKUP($B558,#REF!,2,FALSE)</f>
        <v>#REF!</v>
      </c>
      <c r="E558" s="13" t="e">
        <f>VLOOKUP($B558,#REF!,10,FALSE)</f>
        <v>#REF!</v>
      </c>
      <c r="F558" s="211" t="s">
        <v>2413</v>
      </c>
      <c r="G558" s="13" t="s">
        <v>2414</v>
      </c>
      <c r="H558" s="13" t="s">
        <v>2077</v>
      </c>
      <c r="I558" s="13" t="s">
        <v>2077</v>
      </c>
      <c r="J558" s="13" t="s">
        <v>2077</v>
      </c>
      <c r="K558" s="13" t="s">
        <v>2077</v>
      </c>
      <c r="L558" s="13" t="s">
        <v>2077</v>
      </c>
      <c r="M558" s="13" t="s">
        <v>2077</v>
      </c>
      <c r="N558" s="211" t="s">
        <v>2415</v>
      </c>
      <c r="O558" s="13" t="s">
        <v>2416</v>
      </c>
      <c r="P558" s="69" t="e">
        <f>VLOOKUP($B558,#REF!,2,FALSE)</f>
        <v>#REF!</v>
      </c>
      <c r="Q558" s="13" t="e">
        <f t="shared" si="399"/>
        <v>#REF!</v>
      </c>
      <c r="R558" s="215" t="e">
        <f>VLOOKUP($B558,#REF!,6,FALSE)</f>
        <v>#REF!</v>
      </c>
      <c r="S558" s="213" t="e">
        <f>VLOOKUP($B558,#REF!,7,FALSE)</f>
        <v>#REF!</v>
      </c>
      <c r="T558" s="13">
        <v>85</v>
      </c>
      <c r="U558" s="167" t="e">
        <f>VLOOKUP($B558,#REF!,9,FALSE)</f>
        <v>#REF!</v>
      </c>
      <c r="V558" s="13">
        <v>1</v>
      </c>
      <c r="W558" s="13" t="s">
        <v>2417</v>
      </c>
      <c r="X558" s="13" t="s">
        <v>1924</v>
      </c>
      <c r="Y558" s="13" t="s">
        <v>2073</v>
      </c>
      <c r="Z558" s="13" t="s">
        <v>2073</v>
      </c>
      <c r="AA558" s="13" t="s">
        <v>2073</v>
      </c>
      <c r="AB558" s="13" t="s">
        <v>1924</v>
      </c>
      <c r="AC558" s="211" t="s">
        <v>2415</v>
      </c>
      <c r="AD558" s="13" t="s">
        <v>2416</v>
      </c>
      <c r="AE558" s="69" t="e">
        <f>VLOOKUP($B558,#REF!,4,FALSE)</f>
        <v>#REF!</v>
      </c>
      <c r="AF558" s="13" t="s">
        <v>2418</v>
      </c>
      <c r="AG558" s="13" t="s">
        <v>2419</v>
      </c>
      <c r="AH558" s="13" t="s">
        <v>2420</v>
      </c>
      <c r="AI558" s="13" t="s">
        <v>2421</v>
      </c>
      <c r="AJ558" s="13" t="s">
        <v>2422</v>
      </c>
      <c r="AK558" s="13" t="s">
        <v>2416</v>
      </c>
      <c r="AL558" s="13" t="s">
        <v>2077</v>
      </c>
      <c r="AM558" s="13" t="s">
        <v>2077</v>
      </c>
      <c r="AN558" s="13" t="s">
        <v>2077</v>
      </c>
      <c r="AO558" s="13" t="s">
        <v>2077</v>
      </c>
      <c r="AP558" s="13" t="s">
        <v>2077</v>
      </c>
      <c r="AQ558" s="13" t="s">
        <v>2077</v>
      </c>
      <c r="AR558" s="13" t="s">
        <v>2418</v>
      </c>
      <c r="AS558" s="13" t="s">
        <v>2419</v>
      </c>
      <c r="AT558" s="13" t="s">
        <v>2420</v>
      </c>
      <c r="AU558" s="13" t="s">
        <v>2421</v>
      </c>
      <c r="AV558" s="13" t="s">
        <v>2422</v>
      </c>
      <c r="AW558" s="13" t="s">
        <v>2416</v>
      </c>
      <c r="AX558" s="13" t="s">
        <v>2073</v>
      </c>
      <c r="AY558" s="13" t="s">
        <v>2073</v>
      </c>
      <c r="AZ558" s="13" t="s">
        <v>2073</v>
      </c>
      <c r="BA558" s="13" t="s">
        <v>2073</v>
      </c>
      <c r="BB558" s="13" t="s">
        <v>2073</v>
      </c>
      <c r="BC558" s="13" t="s">
        <v>2073</v>
      </c>
    </row>
    <row r="559" spans="1:55" ht="15.75" customHeight="1">
      <c r="A559" s="6">
        <v>2000</v>
      </c>
      <c r="B559" s="7" t="s">
        <v>1341</v>
      </c>
      <c r="C559" s="211" t="s">
        <v>2412</v>
      </c>
      <c r="D559" s="13" t="e">
        <f>VLOOKUP($B559,#REF!,2,FALSE)</f>
        <v>#REF!</v>
      </c>
      <c r="E559" s="13" t="e">
        <f>VLOOKUP($B559,#REF!,10,FALSE)</f>
        <v>#REF!</v>
      </c>
      <c r="F559" s="211" t="s">
        <v>2413</v>
      </c>
      <c r="G559" s="13" t="s">
        <v>2414</v>
      </c>
      <c r="H559" s="13" t="s">
        <v>2077</v>
      </c>
      <c r="I559" s="13" t="s">
        <v>2077</v>
      </c>
      <c r="J559" s="13" t="s">
        <v>2077</v>
      </c>
      <c r="K559" s="13" t="s">
        <v>2077</v>
      </c>
      <c r="L559" s="13" t="s">
        <v>2077</v>
      </c>
      <c r="M559" s="13" t="s">
        <v>2077</v>
      </c>
      <c r="N559" s="211" t="s">
        <v>2415</v>
      </c>
      <c r="O559" s="13" t="s">
        <v>2416</v>
      </c>
      <c r="P559" s="69" t="e">
        <f>VLOOKUP($B559,#REF!,2,FALSE)</f>
        <v>#REF!</v>
      </c>
      <c r="Q559" s="13" t="e">
        <f t="shared" si="399"/>
        <v>#REF!</v>
      </c>
      <c r="R559" s="215" t="e">
        <f>VLOOKUP($B559,#REF!,6,FALSE)</f>
        <v>#REF!</v>
      </c>
      <c r="S559" s="213" t="e">
        <f>VLOOKUP($B559,#REF!,7,FALSE)</f>
        <v>#REF!</v>
      </c>
      <c r="T559" s="13">
        <v>85</v>
      </c>
      <c r="U559" s="167" t="e">
        <f>VLOOKUP($B559,#REF!,9,FALSE)</f>
        <v>#REF!</v>
      </c>
      <c r="V559" s="13">
        <v>1</v>
      </c>
      <c r="W559" s="13" t="s">
        <v>2417</v>
      </c>
      <c r="X559" s="13" t="s">
        <v>1924</v>
      </c>
      <c r="Y559" s="13" t="s">
        <v>2073</v>
      </c>
      <c r="Z559" s="13" t="s">
        <v>2073</v>
      </c>
      <c r="AA559" s="13" t="s">
        <v>2073</v>
      </c>
      <c r="AB559" s="13" t="s">
        <v>1924</v>
      </c>
      <c r="AC559" s="211" t="s">
        <v>2415</v>
      </c>
      <c r="AD559" s="13" t="s">
        <v>2416</v>
      </c>
      <c r="AE559" s="69" t="e">
        <f>VLOOKUP($B559,#REF!,4,FALSE)</f>
        <v>#REF!</v>
      </c>
      <c r="AF559" s="13" t="s">
        <v>2418</v>
      </c>
      <c r="AG559" s="13" t="s">
        <v>2419</v>
      </c>
      <c r="AH559" s="13" t="s">
        <v>2420</v>
      </c>
      <c r="AI559" s="13" t="s">
        <v>2421</v>
      </c>
      <c r="AJ559" s="13" t="s">
        <v>2422</v>
      </c>
      <c r="AK559" s="13" t="s">
        <v>2416</v>
      </c>
      <c r="AL559" s="13" t="s">
        <v>2077</v>
      </c>
      <c r="AM559" s="13" t="s">
        <v>2077</v>
      </c>
      <c r="AN559" s="13" t="s">
        <v>2077</v>
      </c>
      <c r="AO559" s="13" t="s">
        <v>2077</v>
      </c>
      <c r="AP559" s="13" t="s">
        <v>2077</v>
      </c>
      <c r="AQ559" s="13" t="s">
        <v>2077</v>
      </c>
      <c r="AR559" s="13" t="s">
        <v>2418</v>
      </c>
      <c r="AS559" s="13" t="s">
        <v>2419</v>
      </c>
      <c r="AT559" s="13" t="s">
        <v>2420</v>
      </c>
      <c r="AU559" s="13" t="s">
        <v>2421</v>
      </c>
      <c r="AV559" s="13" t="s">
        <v>2422</v>
      </c>
      <c r="AW559" s="13" t="s">
        <v>2416</v>
      </c>
      <c r="AX559" s="13" t="s">
        <v>2073</v>
      </c>
      <c r="AY559" s="13" t="s">
        <v>2073</v>
      </c>
      <c r="AZ559" s="13" t="s">
        <v>2073</v>
      </c>
      <c r="BA559" s="13" t="s">
        <v>2073</v>
      </c>
      <c r="BB559" s="13" t="s">
        <v>2073</v>
      </c>
      <c r="BC559" s="13" t="s">
        <v>2073</v>
      </c>
    </row>
    <row r="560" spans="1:55" ht="15.75" customHeight="1">
      <c r="A560" s="6">
        <v>2000</v>
      </c>
      <c r="B560" s="7" t="s">
        <v>1345</v>
      </c>
      <c r="C560" s="211" t="s">
        <v>2412</v>
      </c>
      <c r="D560" s="13" t="e">
        <f>VLOOKUP($B560,#REF!,2,FALSE)</f>
        <v>#REF!</v>
      </c>
      <c r="E560" s="13" t="e">
        <f>VLOOKUP($B560,#REF!,10,FALSE)</f>
        <v>#REF!</v>
      </c>
      <c r="F560" s="211" t="s">
        <v>2413</v>
      </c>
      <c r="G560" s="13" t="s">
        <v>2414</v>
      </c>
      <c r="H560" s="13" t="s">
        <v>2077</v>
      </c>
      <c r="I560" s="13" t="s">
        <v>2077</v>
      </c>
      <c r="J560" s="13" t="s">
        <v>2077</v>
      </c>
      <c r="K560" s="13" t="s">
        <v>2077</v>
      </c>
      <c r="L560" s="13" t="s">
        <v>2077</v>
      </c>
      <c r="M560" s="13" t="s">
        <v>2077</v>
      </c>
      <c r="N560" s="211" t="s">
        <v>2415</v>
      </c>
      <c r="O560" s="13" t="s">
        <v>2416</v>
      </c>
      <c r="P560" s="69" t="e">
        <f>VLOOKUP($B560,#REF!,2,FALSE)</f>
        <v>#REF!</v>
      </c>
      <c r="Q560" s="13" t="e">
        <f t="shared" si="399"/>
        <v>#REF!</v>
      </c>
      <c r="R560" s="215" t="e">
        <f>VLOOKUP($B560,#REF!,6,FALSE)</f>
        <v>#REF!</v>
      </c>
      <c r="S560" s="213" t="e">
        <f>VLOOKUP($B560,#REF!,7,FALSE)</f>
        <v>#REF!</v>
      </c>
      <c r="T560" s="13">
        <v>85</v>
      </c>
      <c r="U560" s="167" t="e">
        <f>VLOOKUP($B560,#REF!,9,FALSE)</f>
        <v>#REF!</v>
      </c>
      <c r="V560" s="13">
        <v>1</v>
      </c>
      <c r="W560" s="13" t="s">
        <v>2417</v>
      </c>
      <c r="X560" s="13" t="s">
        <v>1924</v>
      </c>
      <c r="Y560" s="13" t="s">
        <v>2073</v>
      </c>
      <c r="Z560" s="13" t="s">
        <v>2073</v>
      </c>
      <c r="AA560" s="13" t="s">
        <v>2073</v>
      </c>
      <c r="AB560" s="13" t="s">
        <v>1924</v>
      </c>
      <c r="AC560" s="211" t="s">
        <v>2415</v>
      </c>
      <c r="AD560" s="13" t="s">
        <v>2416</v>
      </c>
      <c r="AE560" s="69" t="e">
        <f>VLOOKUP($B560,#REF!,4,FALSE)</f>
        <v>#REF!</v>
      </c>
      <c r="AF560" s="13" t="s">
        <v>2418</v>
      </c>
      <c r="AG560" s="13" t="s">
        <v>2419</v>
      </c>
      <c r="AH560" s="13" t="s">
        <v>2420</v>
      </c>
      <c r="AI560" s="13" t="s">
        <v>2421</v>
      </c>
      <c r="AJ560" s="13" t="s">
        <v>2422</v>
      </c>
      <c r="AK560" s="13" t="s">
        <v>2416</v>
      </c>
      <c r="AL560" s="13" t="s">
        <v>2077</v>
      </c>
      <c r="AM560" s="13" t="s">
        <v>2077</v>
      </c>
      <c r="AN560" s="13" t="s">
        <v>2077</v>
      </c>
      <c r="AO560" s="13" t="s">
        <v>2077</v>
      </c>
      <c r="AP560" s="13" t="s">
        <v>2077</v>
      </c>
      <c r="AQ560" s="13" t="s">
        <v>2077</v>
      </c>
      <c r="AR560" s="13" t="s">
        <v>2418</v>
      </c>
      <c r="AS560" s="13" t="s">
        <v>2419</v>
      </c>
      <c r="AT560" s="13" t="s">
        <v>2420</v>
      </c>
      <c r="AU560" s="13" t="s">
        <v>2421</v>
      </c>
      <c r="AV560" s="13" t="s">
        <v>2422</v>
      </c>
      <c r="AW560" s="13" t="s">
        <v>2416</v>
      </c>
      <c r="AX560" s="13" t="s">
        <v>2073</v>
      </c>
      <c r="AY560" s="13" t="s">
        <v>2073</v>
      </c>
      <c r="AZ560" s="13" t="s">
        <v>2073</v>
      </c>
      <c r="BA560" s="13" t="s">
        <v>2073</v>
      </c>
      <c r="BB560" s="13" t="s">
        <v>2073</v>
      </c>
      <c r="BC560" s="13" t="s">
        <v>2073</v>
      </c>
    </row>
    <row r="561" spans="1:55" ht="15.75" customHeight="1">
      <c r="A561" s="6">
        <v>2000</v>
      </c>
      <c r="B561" s="7" t="s">
        <v>1349</v>
      </c>
      <c r="C561" s="211" t="s">
        <v>2412</v>
      </c>
      <c r="D561" s="13" t="e">
        <f>VLOOKUP($B561,#REF!,2,FALSE)</f>
        <v>#REF!</v>
      </c>
      <c r="E561" s="13" t="e">
        <f>VLOOKUP($B561,#REF!,10,FALSE)</f>
        <v>#REF!</v>
      </c>
      <c r="F561" s="211" t="s">
        <v>2413</v>
      </c>
      <c r="G561" s="13" t="s">
        <v>2414</v>
      </c>
      <c r="H561" s="13" t="s">
        <v>2077</v>
      </c>
      <c r="I561" s="13" t="s">
        <v>2077</v>
      </c>
      <c r="J561" s="13" t="s">
        <v>2077</v>
      </c>
      <c r="K561" s="13" t="s">
        <v>2077</v>
      </c>
      <c r="L561" s="13" t="s">
        <v>2077</v>
      </c>
      <c r="M561" s="13" t="s">
        <v>2077</v>
      </c>
      <c r="N561" s="211" t="s">
        <v>2415</v>
      </c>
      <c r="O561" s="13" t="s">
        <v>2416</v>
      </c>
      <c r="P561" s="69" t="e">
        <f>VLOOKUP($B561,#REF!,2,FALSE)</f>
        <v>#REF!</v>
      </c>
      <c r="Q561" s="13" t="e">
        <f t="shared" si="399"/>
        <v>#REF!</v>
      </c>
      <c r="R561" s="215" t="e">
        <f>VLOOKUP($B561,#REF!,6,FALSE)</f>
        <v>#REF!</v>
      </c>
      <c r="S561" s="213" t="e">
        <f>VLOOKUP($B561,#REF!,7,FALSE)</f>
        <v>#REF!</v>
      </c>
      <c r="T561" s="13">
        <v>85</v>
      </c>
      <c r="U561" s="167" t="e">
        <f>VLOOKUP($B561,#REF!,9,FALSE)</f>
        <v>#REF!</v>
      </c>
      <c r="V561" s="13">
        <v>1</v>
      </c>
      <c r="W561" s="13" t="s">
        <v>2417</v>
      </c>
      <c r="X561" s="13" t="s">
        <v>1924</v>
      </c>
      <c r="Y561" s="13" t="s">
        <v>2073</v>
      </c>
      <c r="Z561" s="13" t="s">
        <v>2073</v>
      </c>
      <c r="AA561" s="13" t="s">
        <v>2073</v>
      </c>
      <c r="AB561" s="13" t="s">
        <v>1924</v>
      </c>
      <c r="AC561" s="211" t="s">
        <v>2415</v>
      </c>
      <c r="AD561" s="13" t="s">
        <v>2416</v>
      </c>
      <c r="AE561" s="69" t="e">
        <f>VLOOKUP($B561,#REF!,4,FALSE)</f>
        <v>#REF!</v>
      </c>
      <c r="AF561" s="13" t="s">
        <v>2418</v>
      </c>
      <c r="AG561" s="13" t="s">
        <v>2419</v>
      </c>
      <c r="AH561" s="13" t="s">
        <v>2420</v>
      </c>
      <c r="AI561" s="13" t="s">
        <v>2421</v>
      </c>
      <c r="AJ561" s="13" t="s">
        <v>2422</v>
      </c>
      <c r="AK561" s="13" t="s">
        <v>2416</v>
      </c>
      <c r="AL561" s="13" t="s">
        <v>2077</v>
      </c>
      <c r="AM561" s="13" t="s">
        <v>2077</v>
      </c>
      <c r="AN561" s="13" t="s">
        <v>2077</v>
      </c>
      <c r="AO561" s="13" t="s">
        <v>2077</v>
      </c>
      <c r="AP561" s="13" t="s">
        <v>2077</v>
      </c>
      <c r="AQ561" s="13" t="s">
        <v>2077</v>
      </c>
      <c r="AR561" s="13" t="s">
        <v>2418</v>
      </c>
      <c r="AS561" s="13" t="s">
        <v>2419</v>
      </c>
      <c r="AT561" s="13" t="s">
        <v>2420</v>
      </c>
      <c r="AU561" s="13" t="s">
        <v>2421</v>
      </c>
      <c r="AV561" s="13" t="s">
        <v>2422</v>
      </c>
      <c r="AW561" s="13" t="s">
        <v>2416</v>
      </c>
      <c r="AX561" s="13" t="s">
        <v>2073</v>
      </c>
      <c r="AY561" s="13" t="s">
        <v>2073</v>
      </c>
      <c r="AZ561" s="13" t="s">
        <v>2073</v>
      </c>
      <c r="BA561" s="13" t="s">
        <v>2073</v>
      </c>
      <c r="BB561" s="13" t="s">
        <v>2073</v>
      </c>
      <c r="BC561" s="13" t="s">
        <v>2073</v>
      </c>
    </row>
    <row r="562" spans="1:55" ht="15.75" customHeight="1">
      <c r="A562" s="6">
        <v>2000</v>
      </c>
      <c r="B562" s="7" t="s">
        <v>1733</v>
      </c>
      <c r="C562" s="211" t="s">
        <v>2412</v>
      </c>
      <c r="D562" s="13" t="e">
        <f>VLOOKUP($B562,#REF!,2,FALSE)</f>
        <v>#REF!</v>
      </c>
      <c r="E562" s="13" t="e">
        <f>VLOOKUP($B562,#REF!,10,FALSE)</f>
        <v>#REF!</v>
      </c>
      <c r="F562" s="211" t="s">
        <v>2413</v>
      </c>
      <c r="G562" s="13" t="s">
        <v>2414</v>
      </c>
      <c r="H562" s="13" t="s">
        <v>2077</v>
      </c>
      <c r="I562" s="13" t="s">
        <v>2077</v>
      </c>
      <c r="J562" s="13" t="s">
        <v>2077</v>
      </c>
      <c r="K562" s="13" t="s">
        <v>2077</v>
      </c>
      <c r="L562" s="13" t="s">
        <v>2077</v>
      </c>
      <c r="M562" s="13" t="s">
        <v>2077</v>
      </c>
      <c r="N562" s="211" t="s">
        <v>2415</v>
      </c>
      <c r="O562" s="13" t="s">
        <v>2416</v>
      </c>
      <c r="P562" s="69" t="e">
        <f>VLOOKUP($B562,#REF!,2,FALSE)</f>
        <v>#REF!</v>
      </c>
      <c r="Q562" s="13" t="e">
        <f t="shared" si="399"/>
        <v>#REF!</v>
      </c>
      <c r="R562" s="218" t="e">
        <f>VLOOKUP($B562,#REF!,6,FALSE)</f>
        <v>#REF!</v>
      </c>
      <c r="S562" s="213" t="e">
        <f>VLOOKUP($B562,#REF!,7,FALSE)</f>
        <v>#REF!</v>
      </c>
      <c r="T562" s="13">
        <v>85</v>
      </c>
      <c r="U562" s="167" t="e">
        <f>VLOOKUP($B562,#REF!,9,FALSE)</f>
        <v>#REF!</v>
      </c>
      <c r="V562" s="13">
        <v>1</v>
      </c>
      <c r="W562" s="13" t="s">
        <v>2417</v>
      </c>
      <c r="X562" s="13" t="s">
        <v>1924</v>
      </c>
      <c r="Y562" s="13" t="s">
        <v>2073</v>
      </c>
      <c r="Z562" s="13" t="s">
        <v>2073</v>
      </c>
      <c r="AA562" s="13" t="s">
        <v>2073</v>
      </c>
      <c r="AB562" s="13" t="s">
        <v>1924</v>
      </c>
      <c r="AC562" s="211" t="s">
        <v>2415</v>
      </c>
      <c r="AD562" s="13" t="s">
        <v>2416</v>
      </c>
      <c r="AE562" s="69" t="e">
        <f>VLOOKUP($B562,#REF!,4,FALSE)</f>
        <v>#REF!</v>
      </c>
      <c r="AF562" s="13" t="s">
        <v>2418</v>
      </c>
      <c r="AG562" s="13" t="s">
        <v>2419</v>
      </c>
      <c r="AH562" s="13" t="s">
        <v>2420</v>
      </c>
      <c r="AI562" s="13" t="s">
        <v>2421</v>
      </c>
      <c r="AJ562" s="13" t="s">
        <v>2422</v>
      </c>
      <c r="AK562" s="13" t="s">
        <v>2416</v>
      </c>
      <c r="AL562" s="13" t="s">
        <v>2077</v>
      </c>
      <c r="AM562" s="13" t="s">
        <v>2077</v>
      </c>
      <c r="AN562" s="13" t="s">
        <v>2077</v>
      </c>
      <c r="AO562" s="13" t="s">
        <v>2077</v>
      </c>
      <c r="AP562" s="13" t="s">
        <v>2077</v>
      </c>
      <c r="AQ562" s="13" t="s">
        <v>2077</v>
      </c>
      <c r="AR562" s="13" t="s">
        <v>2418</v>
      </c>
      <c r="AS562" s="13" t="s">
        <v>2419</v>
      </c>
      <c r="AT562" s="13" t="s">
        <v>2420</v>
      </c>
      <c r="AU562" s="13" t="s">
        <v>2421</v>
      </c>
      <c r="AV562" s="13" t="s">
        <v>2422</v>
      </c>
      <c r="AW562" s="13" t="s">
        <v>2416</v>
      </c>
      <c r="AX562" s="13" t="s">
        <v>2073</v>
      </c>
      <c r="AY562" s="13" t="s">
        <v>2073</v>
      </c>
      <c r="AZ562" s="13" t="s">
        <v>2073</v>
      </c>
      <c r="BA562" s="13" t="s">
        <v>2073</v>
      </c>
      <c r="BB562" s="13" t="s">
        <v>2073</v>
      </c>
      <c r="BC562" s="13" t="s">
        <v>2073</v>
      </c>
    </row>
    <row r="563" spans="1:55" ht="15.75" customHeight="1">
      <c r="A563" s="6">
        <v>2000</v>
      </c>
      <c r="B563" s="7" t="s">
        <v>1735</v>
      </c>
      <c r="C563" s="211" t="s">
        <v>2412</v>
      </c>
      <c r="D563" s="13" t="e">
        <f>VLOOKUP($B563,#REF!,2,FALSE)</f>
        <v>#REF!</v>
      </c>
      <c r="E563" s="13" t="e">
        <f>VLOOKUP($B563,#REF!,10,FALSE)</f>
        <v>#REF!</v>
      </c>
      <c r="F563" s="211" t="s">
        <v>2413</v>
      </c>
      <c r="G563" s="13" t="s">
        <v>2414</v>
      </c>
      <c r="H563" s="13" t="s">
        <v>2077</v>
      </c>
      <c r="I563" s="13" t="s">
        <v>2077</v>
      </c>
      <c r="J563" s="13" t="s">
        <v>2077</v>
      </c>
      <c r="K563" s="13" t="s">
        <v>2077</v>
      </c>
      <c r="L563" s="13" t="s">
        <v>2077</v>
      </c>
      <c r="M563" s="13" t="s">
        <v>2077</v>
      </c>
      <c r="N563" s="211" t="s">
        <v>2415</v>
      </c>
      <c r="O563" s="13" t="s">
        <v>2416</v>
      </c>
      <c r="P563" s="69" t="e">
        <f>VLOOKUP($B563,#REF!,2,FALSE)</f>
        <v>#REF!</v>
      </c>
      <c r="Q563" s="13" t="e">
        <f t="shared" si="399"/>
        <v>#REF!</v>
      </c>
      <c r="R563" s="218" t="e">
        <f>VLOOKUP($B563,#REF!,6,FALSE)</f>
        <v>#REF!</v>
      </c>
      <c r="S563" s="213" t="e">
        <f>VLOOKUP($B563,#REF!,7,FALSE)</f>
        <v>#REF!</v>
      </c>
      <c r="T563" s="13">
        <v>85</v>
      </c>
      <c r="U563" s="167" t="e">
        <f>VLOOKUP($B563,#REF!,9,FALSE)</f>
        <v>#REF!</v>
      </c>
      <c r="V563" s="13">
        <v>1</v>
      </c>
      <c r="W563" s="13" t="s">
        <v>2417</v>
      </c>
      <c r="X563" s="13" t="s">
        <v>1924</v>
      </c>
      <c r="Y563" s="13" t="s">
        <v>2073</v>
      </c>
      <c r="Z563" s="13" t="s">
        <v>2073</v>
      </c>
      <c r="AA563" s="13" t="s">
        <v>2073</v>
      </c>
      <c r="AB563" s="13" t="s">
        <v>1924</v>
      </c>
      <c r="AC563" s="211" t="s">
        <v>2415</v>
      </c>
      <c r="AD563" s="13" t="s">
        <v>2416</v>
      </c>
      <c r="AE563" s="69" t="e">
        <f>VLOOKUP($B563,#REF!,4,FALSE)</f>
        <v>#REF!</v>
      </c>
      <c r="AF563" s="13" t="s">
        <v>2418</v>
      </c>
      <c r="AG563" s="13" t="s">
        <v>2419</v>
      </c>
      <c r="AH563" s="13" t="s">
        <v>2420</v>
      </c>
      <c r="AI563" s="13" t="s">
        <v>2421</v>
      </c>
      <c r="AJ563" s="13" t="s">
        <v>2422</v>
      </c>
      <c r="AK563" s="13" t="s">
        <v>2416</v>
      </c>
      <c r="AL563" s="13" t="s">
        <v>2077</v>
      </c>
      <c r="AM563" s="13" t="s">
        <v>2077</v>
      </c>
      <c r="AN563" s="13" t="s">
        <v>2077</v>
      </c>
      <c r="AO563" s="13" t="s">
        <v>2077</v>
      </c>
      <c r="AP563" s="13" t="s">
        <v>2077</v>
      </c>
      <c r="AQ563" s="13" t="s">
        <v>2077</v>
      </c>
      <c r="AR563" s="13" t="s">
        <v>2418</v>
      </c>
      <c r="AS563" s="13" t="s">
        <v>2419</v>
      </c>
      <c r="AT563" s="13" t="s">
        <v>2420</v>
      </c>
      <c r="AU563" s="13" t="s">
        <v>2421</v>
      </c>
      <c r="AV563" s="13" t="s">
        <v>2422</v>
      </c>
      <c r="AW563" s="13" t="s">
        <v>2416</v>
      </c>
      <c r="AX563" s="13" t="s">
        <v>2073</v>
      </c>
      <c r="AY563" s="13" t="s">
        <v>2073</v>
      </c>
      <c r="AZ563" s="13" t="s">
        <v>2073</v>
      </c>
      <c r="BA563" s="13" t="s">
        <v>2073</v>
      </c>
      <c r="BB563" s="13" t="s">
        <v>2073</v>
      </c>
      <c r="BC563" s="13" t="s">
        <v>2073</v>
      </c>
    </row>
    <row r="564" spans="1:55" ht="15.75" customHeight="1">
      <c r="A564" s="6">
        <v>2000</v>
      </c>
      <c r="B564" s="7" t="s">
        <v>1737</v>
      </c>
      <c r="C564" s="211" t="s">
        <v>2412</v>
      </c>
      <c r="D564" s="13" t="e">
        <f>VLOOKUP($B564,#REF!,2,FALSE)</f>
        <v>#REF!</v>
      </c>
      <c r="E564" s="13" t="e">
        <f>VLOOKUP($B564,#REF!,10,FALSE)</f>
        <v>#REF!</v>
      </c>
      <c r="F564" s="211" t="s">
        <v>2413</v>
      </c>
      <c r="G564" s="13" t="s">
        <v>2414</v>
      </c>
      <c r="H564" s="13" t="s">
        <v>2077</v>
      </c>
      <c r="I564" s="13" t="s">
        <v>2077</v>
      </c>
      <c r="J564" s="13" t="s">
        <v>2077</v>
      </c>
      <c r="K564" s="13" t="s">
        <v>2077</v>
      </c>
      <c r="L564" s="13" t="s">
        <v>2077</v>
      </c>
      <c r="M564" s="13" t="s">
        <v>2077</v>
      </c>
      <c r="N564" s="211" t="s">
        <v>2415</v>
      </c>
      <c r="O564" s="13" t="s">
        <v>2416</v>
      </c>
      <c r="P564" s="69" t="e">
        <f>VLOOKUP($B564,#REF!,2,FALSE)</f>
        <v>#REF!</v>
      </c>
      <c r="Q564" s="13" t="e">
        <f t="shared" si="399"/>
        <v>#REF!</v>
      </c>
      <c r="R564" s="218" t="e">
        <f>VLOOKUP($B564,#REF!,6,FALSE)</f>
        <v>#REF!</v>
      </c>
      <c r="S564" s="213" t="e">
        <f>VLOOKUP($B564,#REF!,7,FALSE)</f>
        <v>#REF!</v>
      </c>
      <c r="T564" s="13">
        <v>85</v>
      </c>
      <c r="U564" s="167" t="e">
        <f>VLOOKUP($B564,#REF!,9,FALSE)</f>
        <v>#REF!</v>
      </c>
      <c r="V564" s="13">
        <v>1</v>
      </c>
      <c r="W564" s="13" t="s">
        <v>2417</v>
      </c>
      <c r="X564" s="13" t="s">
        <v>1924</v>
      </c>
      <c r="Y564" s="13" t="s">
        <v>2073</v>
      </c>
      <c r="Z564" s="13" t="s">
        <v>2073</v>
      </c>
      <c r="AA564" s="13" t="s">
        <v>2073</v>
      </c>
      <c r="AB564" s="13" t="s">
        <v>1924</v>
      </c>
      <c r="AC564" s="211" t="s">
        <v>2415</v>
      </c>
      <c r="AD564" s="13" t="s">
        <v>2416</v>
      </c>
      <c r="AE564" s="69" t="e">
        <f>VLOOKUP($B564,#REF!,4,FALSE)</f>
        <v>#REF!</v>
      </c>
      <c r="AF564" s="13" t="s">
        <v>2418</v>
      </c>
      <c r="AG564" s="13" t="s">
        <v>2419</v>
      </c>
      <c r="AH564" s="13" t="s">
        <v>2420</v>
      </c>
      <c r="AI564" s="13" t="s">
        <v>2421</v>
      </c>
      <c r="AJ564" s="13" t="s">
        <v>2422</v>
      </c>
      <c r="AK564" s="13" t="s">
        <v>2416</v>
      </c>
      <c r="AL564" s="13" t="s">
        <v>2077</v>
      </c>
      <c r="AM564" s="13" t="s">
        <v>2077</v>
      </c>
      <c r="AN564" s="13" t="s">
        <v>2077</v>
      </c>
      <c r="AO564" s="13" t="s">
        <v>2077</v>
      </c>
      <c r="AP564" s="13" t="s">
        <v>2077</v>
      </c>
      <c r="AQ564" s="13" t="s">
        <v>2077</v>
      </c>
      <c r="AR564" s="13" t="s">
        <v>2418</v>
      </c>
      <c r="AS564" s="13" t="s">
        <v>2419</v>
      </c>
      <c r="AT564" s="13" t="s">
        <v>2420</v>
      </c>
      <c r="AU564" s="13" t="s">
        <v>2421</v>
      </c>
      <c r="AV564" s="13" t="s">
        <v>2422</v>
      </c>
      <c r="AW564" s="13" t="s">
        <v>2416</v>
      </c>
      <c r="AX564" s="13" t="s">
        <v>2073</v>
      </c>
      <c r="AY564" s="13" t="s">
        <v>2073</v>
      </c>
      <c r="AZ564" s="13" t="s">
        <v>2073</v>
      </c>
      <c r="BA564" s="13" t="s">
        <v>2073</v>
      </c>
      <c r="BB564" s="13" t="s">
        <v>2073</v>
      </c>
      <c r="BC564" s="13" t="s">
        <v>2073</v>
      </c>
    </row>
    <row r="565" spans="1:55" ht="15.75" customHeight="1">
      <c r="P565" s="69"/>
      <c r="R565" s="215"/>
      <c r="S565" s="215"/>
      <c r="AE565" s="69"/>
    </row>
    <row r="566" spans="1:55" ht="15.75" customHeight="1">
      <c r="P566" s="69"/>
      <c r="R566" s="215"/>
      <c r="S566" s="215"/>
      <c r="AE566" s="69"/>
    </row>
    <row r="567" spans="1:55" ht="15.75" customHeight="1">
      <c r="P567" s="69"/>
      <c r="R567" s="215"/>
      <c r="S567" s="215"/>
      <c r="AE567" s="69"/>
    </row>
    <row r="568" spans="1:55" ht="15.75" customHeight="1">
      <c r="A568" s="69">
        <v>1000</v>
      </c>
      <c r="B568" s="7" t="s">
        <v>148</v>
      </c>
      <c r="C568" s="211" t="s">
        <v>2412</v>
      </c>
      <c r="D568" s="13" t="s">
        <v>147</v>
      </c>
      <c r="E568" s="13" t="s">
        <v>151</v>
      </c>
      <c r="F568" s="211" t="s">
        <v>2413</v>
      </c>
      <c r="G568" s="13" t="s">
        <v>2414</v>
      </c>
      <c r="H568" s="13" t="s">
        <v>2077</v>
      </c>
      <c r="I568" s="13" t="s">
        <v>2077</v>
      </c>
      <c r="J568" s="13" t="s">
        <v>2077</v>
      </c>
      <c r="K568" s="13" t="s">
        <v>2077</v>
      </c>
      <c r="L568" s="13" t="s">
        <v>2077</v>
      </c>
      <c r="M568" s="13" t="s">
        <v>2077</v>
      </c>
      <c r="N568" s="211" t="s">
        <v>2415</v>
      </c>
      <c r="O568" s="13" t="s">
        <v>2416</v>
      </c>
      <c r="P568" s="69" t="str">
        <f t="shared" ref="P568:Q568" si="400">D568</f>
        <v>Single Rip 1  KMI</v>
      </c>
      <c r="Q568" s="13" t="str">
        <f t="shared" si="400"/>
        <v>1WE</v>
      </c>
      <c r="R568" s="212" t="s">
        <v>23</v>
      </c>
      <c r="S568" s="213">
        <v>0.97916666666666663</v>
      </c>
      <c r="T568" s="13">
        <v>85</v>
      </c>
      <c r="U568" s="211" t="s">
        <v>83</v>
      </c>
      <c r="V568" s="13">
        <v>1</v>
      </c>
      <c r="W568" s="13" t="s">
        <v>2417</v>
      </c>
      <c r="X568" s="13" t="s">
        <v>1924</v>
      </c>
      <c r="Y568" s="13" t="s">
        <v>2073</v>
      </c>
      <c r="Z568" s="13" t="s">
        <v>2073</v>
      </c>
      <c r="AA568" s="13" t="s">
        <v>2073</v>
      </c>
      <c r="AB568" s="13" t="s">
        <v>1924</v>
      </c>
      <c r="AC568" s="211" t="s">
        <v>2415</v>
      </c>
      <c r="AD568" s="13" t="s">
        <v>2416</v>
      </c>
      <c r="AE568" s="69" t="s">
        <v>149</v>
      </c>
      <c r="AF568" s="13" t="s">
        <v>2418</v>
      </c>
      <c r="AG568" s="13" t="s">
        <v>2419</v>
      </c>
      <c r="AH568" s="13" t="s">
        <v>2420</v>
      </c>
      <c r="AI568" s="13" t="s">
        <v>2421</v>
      </c>
      <c r="AJ568" s="13" t="s">
        <v>2422</v>
      </c>
      <c r="AK568" s="13" t="s">
        <v>2416</v>
      </c>
      <c r="AL568" s="13" t="s">
        <v>2077</v>
      </c>
      <c r="AM568" s="13" t="s">
        <v>2077</v>
      </c>
      <c r="AN568" s="13" t="s">
        <v>2077</v>
      </c>
      <c r="AO568" s="13" t="s">
        <v>2077</v>
      </c>
      <c r="AP568" s="13" t="s">
        <v>2077</v>
      </c>
      <c r="AQ568" s="13" t="s">
        <v>2077</v>
      </c>
      <c r="AR568" s="13" t="s">
        <v>2418</v>
      </c>
      <c r="AS568" s="13" t="s">
        <v>2419</v>
      </c>
      <c r="AT568" s="13" t="s">
        <v>2420</v>
      </c>
      <c r="AU568" s="13" t="s">
        <v>2421</v>
      </c>
      <c r="AV568" s="13" t="s">
        <v>2422</v>
      </c>
      <c r="AW568" s="13" t="s">
        <v>2416</v>
      </c>
      <c r="AX568" s="13" t="s">
        <v>2073</v>
      </c>
      <c r="AY568" s="13" t="s">
        <v>2073</v>
      </c>
      <c r="AZ568" s="13" t="s">
        <v>2073</v>
      </c>
      <c r="BA568" s="13" t="s">
        <v>2073</v>
      </c>
      <c r="BB568" s="13" t="s">
        <v>2073</v>
      </c>
      <c r="BC568" s="13" t="s">
        <v>2073</v>
      </c>
    </row>
    <row r="569" spans="1:55" ht="15.75" customHeight="1">
      <c r="A569" s="69">
        <v>1000</v>
      </c>
      <c r="B569" s="7" t="s">
        <v>154</v>
      </c>
      <c r="C569" s="211" t="s">
        <v>2412</v>
      </c>
      <c r="D569" s="13" t="s">
        <v>153</v>
      </c>
      <c r="E569" s="13" t="s">
        <v>151</v>
      </c>
      <c r="F569" s="211" t="s">
        <v>2413</v>
      </c>
      <c r="G569" s="13" t="s">
        <v>2414</v>
      </c>
      <c r="H569" s="13" t="s">
        <v>2077</v>
      </c>
      <c r="I569" s="13" t="s">
        <v>2077</v>
      </c>
      <c r="J569" s="13" t="s">
        <v>2077</v>
      </c>
      <c r="K569" s="13" t="s">
        <v>2077</v>
      </c>
      <c r="L569" s="13" t="s">
        <v>2077</v>
      </c>
      <c r="M569" s="13" t="s">
        <v>2077</v>
      </c>
      <c r="N569" s="211" t="s">
        <v>2415</v>
      </c>
      <c r="O569" s="13" t="s">
        <v>2416</v>
      </c>
      <c r="P569" s="69" t="str">
        <f t="shared" ref="P569:Q569" si="401">D569</f>
        <v>Single Rip 2  KMI</v>
      </c>
      <c r="Q569" s="13" t="str">
        <f t="shared" si="401"/>
        <v>1WE</v>
      </c>
      <c r="R569" s="212" t="s">
        <v>23</v>
      </c>
      <c r="S569" s="213">
        <v>0.97916666666666663</v>
      </c>
      <c r="T569" s="13">
        <v>85</v>
      </c>
      <c r="U569" s="211" t="s">
        <v>83</v>
      </c>
      <c r="V569" s="13">
        <v>1</v>
      </c>
      <c r="W569" s="13" t="s">
        <v>2417</v>
      </c>
      <c r="X569" s="13" t="s">
        <v>1924</v>
      </c>
      <c r="Y569" s="13" t="s">
        <v>2073</v>
      </c>
      <c r="Z569" s="13" t="s">
        <v>2073</v>
      </c>
      <c r="AA569" s="13" t="s">
        <v>2073</v>
      </c>
      <c r="AB569" s="13" t="s">
        <v>1924</v>
      </c>
      <c r="AC569" s="211" t="s">
        <v>2415</v>
      </c>
      <c r="AD569" s="13" t="s">
        <v>2416</v>
      </c>
      <c r="AE569" s="69" t="s">
        <v>149</v>
      </c>
      <c r="AF569" s="13" t="s">
        <v>2418</v>
      </c>
      <c r="AG569" s="13" t="s">
        <v>2419</v>
      </c>
      <c r="AH569" s="13" t="s">
        <v>2420</v>
      </c>
      <c r="AI569" s="13" t="s">
        <v>2421</v>
      </c>
      <c r="AJ569" s="13" t="s">
        <v>2422</v>
      </c>
      <c r="AK569" s="13" t="s">
        <v>2416</v>
      </c>
      <c r="AL569" s="13" t="s">
        <v>2077</v>
      </c>
      <c r="AM569" s="13" t="s">
        <v>2077</v>
      </c>
      <c r="AN569" s="13" t="s">
        <v>2077</v>
      </c>
      <c r="AO569" s="13" t="s">
        <v>2077</v>
      </c>
      <c r="AP569" s="13" t="s">
        <v>2077</v>
      </c>
      <c r="AQ569" s="13" t="s">
        <v>2077</v>
      </c>
      <c r="AR569" s="13" t="s">
        <v>2418</v>
      </c>
      <c r="AS569" s="13" t="s">
        <v>2419</v>
      </c>
      <c r="AT569" s="13" t="s">
        <v>2420</v>
      </c>
      <c r="AU569" s="13" t="s">
        <v>2421</v>
      </c>
      <c r="AV569" s="13" t="s">
        <v>2422</v>
      </c>
      <c r="AW569" s="13" t="s">
        <v>2416</v>
      </c>
      <c r="AX569" s="13" t="s">
        <v>2073</v>
      </c>
      <c r="AY569" s="13" t="s">
        <v>2073</v>
      </c>
      <c r="AZ569" s="13" t="s">
        <v>2073</v>
      </c>
      <c r="BA569" s="13" t="s">
        <v>2073</v>
      </c>
      <c r="BB569" s="13" t="s">
        <v>2073</v>
      </c>
      <c r="BC569" s="13" t="s">
        <v>2073</v>
      </c>
    </row>
    <row r="570" spans="1:55" ht="15.75" customHeight="1">
      <c r="A570" s="69">
        <v>1000</v>
      </c>
      <c r="B570" s="7" t="s">
        <v>157</v>
      </c>
      <c r="C570" s="211" t="s">
        <v>2412</v>
      </c>
      <c r="D570" s="13" t="s">
        <v>156</v>
      </c>
      <c r="E570" s="13" t="s">
        <v>151</v>
      </c>
      <c r="F570" s="211" t="s">
        <v>2413</v>
      </c>
      <c r="G570" s="13" t="s">
        <v>2414</v>
      </c>
      <c r="H570" s="13" t="s">
        <v>2077</v>
      </c>
      <c r="I570" s="13" t="s">
        <v>2077</v>
      </c>
      <c r="J570" s="13" t="s">
        <v>2077</v>
      </c>
      <c r="K570" s="13" t="s">
        <v>2077</v>
      </c>
      <c r="L570" s="13" t="s">
        <v>2077</v>
      </c>
      <c r="M570" s="13" t="s">
        <v>2077</v>
      </c>
      <c r="N570" s="211" t="s">
        <v>2415</v>
      </c>
      <c r="O570" s="13" t="s">
        <v>2416</v>
      </c>
      <c r="P570" s="69" t="str">
        <f t="shared" ref="P570:Q570" si="402">D570</f>
        <v>Single Rip4  KMI</v>
      </c>
      <c r="Q570" s="13" t="str">
        <f t="shared" si="402"/>
        <v>1WE</v>
      </c>
      <c r="R570" s="212" t="s">
        <v>23</v>
      </c>
      <c r="S570" s="213">
        <v>0.64583333333333337</v>
      </c>
      <c r="T570" s="13">
        <v>85</v>
      </c>
      <c r="U570" s="211" t="s">
        <v>24</v>
      </c>
      <c r="V570" s="13">
        <v>1</v>
      </c>
      <c r="W570" s="13" t="s">
        <v>2417</v>
      </c>
      <c r="X570" s="13" t="s">
        <v>1924</v>
      </c>
      <c r="Y570" s="13" t="s">
        <v>2073</v>
      </c>
      <c r="Z570" s="13" t="s">
        <v>2073</v>
      </c>
      <c r="AA570" s="13" t="s">
        <v>2073</v>
      </c>
      <c r="AB570" s="13" t="s">
        <v>1924</v>
      </c>
      <c r="AC570" s="211" t="s">
        <v>2415</v>
      </c>
      <c r="AD570" s="13" t="s">
        <v>2416</v>
      </c>
      <c r="AE570" s="69" t="s">
        <v>149</v>
      </c>
      <c r="AF570" s="13" t="s">
        <v>2418</v>
      </c>
      <c r="AG570" s="13" t="s">
        <v>2419</v>
      </c>
      <c r="AH570" s="13" t="s">
        <v>2420</v>
      </c>
      <c r="AI570" s="13" t="s">
        <v>2421</v>
      </c>
      <c r="AJ570" s="13" t="s">
        <v>2422</v>
      </c>
      <c r="AK570" s="13" t="s">
        <v>2416</v>
      </c>
      <c r="AL570" s="13" t="s">
        <v>2077</v>
      </c>
      <c r="AM570" s="13" t="s">
        <v>2077</v>
      </c>
      <c r="AN570" s="13" t="s">
        <v>2077</v>
      </c>
      <c r="AO570" s="13" t="s">
        <v>2077</v>
      </c>
      <c r="AP570" s="13" t="s">
        <v>2077</v>
      </c>
      <c r="AQ570" s="13" t="s">
        <v>2077</v>
      </c>
      <c r="AR570" s="13" t="s">
        <v>2418</v>
      </c>
      <c r="AS570" s="13" t="s">
        <v>2419</v>
      </c>
      <c r="AT570" s="13" t="s">
        <v>2420</v>
      </c>
      <c r="AU570" s="13" t="s">
        <v>2421</v>
      </c>
      <c r="AV570" s="13" t="s">
        <v>2422</v>
      </c>
      <c r="AW570" s="13" t="s">
        <v>2416</v>
      </c>
      <c r="AX570" s="13" t="s">
        <v>2073</v>
      </c>
      <c r="AY570" s="13" t="s">
        <v>2073</v>
      </c>
      <c r="AZ570" s="13" t="s">
        <v>2073</v>
      </c>
      <c r="BA570" s="13" t="s">
        <v>2073</v>
      </c>
      <c r="BB570" s="13" t="s">
        <v>2073</v>
      </c>
      <c r="BC570" s="13" t="s">
        <v>2073</v>
      </c>
    </row>
    <row r="571" spans="1:55" ht="15.75" customHeight="1">
      <c r="A571" s="69">
        <v>1000</v>
      </c>
      <c r="B571" s="7" t="s">
        <v>161</v>
      </c>
      <c r="C571" s="211" t="s">
        <v>2412</v>
      </c>
      <c r="D571" s="13" t="s">
        <v>160</v>
      </c>
      <c r="E571" s="13" t="s">
        <v>151</v>
      </c>
      <c r="F571" s="211" t="s">
        <v>2413</v>
      </c>
      <c r="G571" s="13" t="s">
        <v>2414</v>
      </c>
      <c r="H571" s="13" t="s">
        <v>2077</v>
      </c>
      <c r="I571" s="13" t="s">
        <v>2077</v>
      </c>
      <c r="J571" s="13" t="s">
        <v>2077</v>
      </c>
      <c r="K571" s="13" t="s">
        <v>2077</v>
      </c>
      <c r="L571" s="13" t="s">
        <v>2077</v>
      </c>
      <c r="M571" s="13" t="s">
        <v>2077</v>
      </c>
      <c r="N571" s="211" t="s">
        <v>2415</v>
      </c>
      <c r="O571" s="13" t="s">
        <v>2416</v>
      </c>
      <c r="P571" s="69" t="str">
        <f t="shared" ref="P571:Q571" si="403">D571</f>
        <v>Rotary  KMI</v>
      </c>
      <c r="Q571" s="13" t="str">
        <f t="shared" si="403"/>
        <v>1WE</v>
      </c>
      <c r="R571" s="212" t="s">
        <v>23</v>
      </c>
      <c r="S571" s="212" t="s">
        <v>23</v>
      </c>
      <c r="T571" s="13">
        <v>85</v>
      </c>
      <c r="U571" s="211" t="s">
        <v>134</v>
      </c>
      <c r="V571" s="13">
        <v>1</v>
      </c>
      <c r="W571" s="13" t="s">
        <v>2417</v>
      </c>
      <c r="X571" s="13" t="s">
        <v>1924</v>
      </c>
      <c r="Y571" s="13" t="s">
        <v>2073</v>
      </c>
      <c r="Z571" s="13" t="s">
        <v>2073</v>
      </c>
      <c r="AA571" s="13" t="s">
        <v>2073</v>
      </c>
      <c r="AB571" s="13" t="s">
        <v>1924</v>
      </c>
      <c r="AC571" s="211" t="s">
        <v>2415</v>
      </c>
      <c r="AD571" s="13" t="s">
        <v>2416</v>
      </c>
      <c r="AE571" s="69" t="s">
        <v>2247</v>
      </c>
      <c r="AF571" s="13" t="s">
        <v>2418</v>
      </c>
      <c r="AG571" s="13" t="s">
        <v>2419</v>
      </c>
      <c r="AH571" s="13" t="s">
        <v>2420</v>
      </c>
      <c r="AI571" s="13" t="s">
        <v>2421</v>
      </c>
      <c r="AJ571" s="13" t="s">
        <v>2422</v>
      </c>
      <c r="AK571" s="13" t="s">
        <v>2416</v>
      </c>
      <c r="AL571" s="13" t="s">
        <v>2077</v>
      </c>
      <c r="AM571" s="13" t="s">
        <v>2077</v>
      </c>
      <c r="AN571" s="13" t="s">
        <v>2077</v>
      </c>
      <c r="AO571" s="13" t="s">
        <v>2077</v>
      </c>
      <c r="AP571" s="13" t="s">
        <v>2077</v>
      </c>
      <c r="AQ571" s="13" t="s">
        <v>2077</v>
      </c>
      <c r="AR571" s="13" t="s">
        <v>2418</v>
      </c>
      <c r="AS571" s="13" t="s">
        <v>2419</v>
      </c>
      <c r="AT571" s="13" t="s">
        <v>2420</v>
      </c>
      <c r="AU571" s="13" t="s">
        <v>2421</v>
      </c>
      <c r="AV571" s="13" t="s">
        <v>2422</v>
      </c>
      <c r="AW571" s="13" t="s">
        <v>2416</v>
      </c>
      <c r="AX571" s="13" t="s">
        <v>2073</v>
      </c>
      <c r="AY571" s="13" t="s">
        <v>2073</v>
      </c>
      <c r="AZ571" s="13" t="s">
        <v>2073</v>
      </c>
      <c r="BA571" s="13" t="s">
        <v>2073</v>
      </c>
      <c r="BB571" s="13" t="s">
        <v>2073</v>
      </c>
      <c r="BC571" s="13" t="s">
        <v>2073</v>
      </c>
    </row>
    <row r="572" spans="1:55" ht="15.75" customHeight="1">
      <c r="A572" s="69">
        <v>1000</v>
      </c>
      <c r="B572" s="7" t="s">
        <v>164</v>
      </c>
      <c r="C572" s="211" t="s">
        <v>2412</v>
      </c>
      <c r="D572" s="13" t="s">
        <v>163</v>
      </c>
      <c r="E572" s="13" t="s">
        <v>151</v>
      </c>
      <c r="F572" s="211" t="s">
        <v>2413</v>
      </c>
      <c r="G572" s="13" t="s">
        <v>2414</v>
      </c>
      <c r="H572" s="13" t="s">
        <v>2077</v>
      </c>
      <c r="I572" s="13" t="s">
        <v>2077</v>
      </c>
      <c r="J572" s="13" t="s">
        <v>2077</v>
      </c>
      <c r="K572" s="13" t="s">
        <v>2077</v>
      </c>
      <c r="L572" s="13" t="s">
        <v>2077</v>
      </c>
      <c r="M572" s="13" t="s">
        <v>2077</v>
      </c>
      <c r="N572" s="211" t="s">
        <v>2415</v>
      </c>
      <c r="O572" s="13" t="s">
        <v>2416</v>
      </c>
      <c r="P572" s="69" t="str">
        <f t="shared" ref="P572:Q572" si="404">D572</f>
        <v>Vinita  KMI</v>
      </c>
      <c r="Q572" s="13" t="str">
        <f t="shared" si="404"/>
        <v>1WE</v>
      </c>
      <c r="R572" s="212" t="s">
        <v>23</v>
      </c>
      <c r="S572" s="213">
        <v>0.97916666666666663</v>
      </c>
      <c r="T572" s="13">
        <v>85</v>
      </c>
      <c r="U572" s="211" t="s">
        <v>83</v>
      </c>
      <c r="V572" s="13">
        <v>1</v>
      </c>
      <c r="W572" s="13" t="s">
        <v>2417</v>
      </c>
      <c r="X572" s="13" t="s">
        <v>1924</v>
      </c>
      <c r="Y572" s="13" t="s">
        <v>2073</v>
      </c>
      <c r="Z572" s="13" t="s">
        <v>2073</v>
      </c>
      <c r="AA572" s="13" t="s">
        <v>2073</v>
      </c>
      <c r="AB572" s="13" t="s">
        <v>1924</v>
      </c>
      <c r="AC572" s="211" t="s">
        <v>2415</v>
      </c>
      <c r="AD572" s="13" t="s">
        <v>2416</v>
      </c>
      <c r="AE572" s="69" t="s">
        <v>2248</v>
      </c>
      <c r="AF572" s="13" t="s">
        <v>2418</v>
      </c>
      <c r="AG572" s="13" t="s">
        <v>2419</v>
      </c>
      <c r="AH572" s="13" t="s">
        <v>2420</v>
      </c>
      <c r="AI572" s="13" t="s">
        <v>2421</v>
      </c>
      <c r="AJ572" s="13" t="s">
        <v>2422</v>
      </c>
      <c r="AK572" s="13" t="s">
        <v>2416</v>
      </c>
      <c r="AL572" s="13" t="s">
        <v>2077</v>
      </c>
      <c r="AM572" s="13" t="s">
        <v>2077</v>
      </c>
      <c r="AN572" s="13" t="s">
        <v>2077</v>
      </c>
      <c r="AO572" s="13" t="s">
        <v>2077</v>
      </c>
      <c r="AP572" s="13" t="s">
        <v>2077</v>
      </c>
      <c r="AQ572" s="13" t="s">
        <v>2077</v>
      </c>
      <c r="AR572" s="13" t="s">
        <v>2418</v>
      </c>
      <c r="AS572" s="13" t="s">
        <v>2419</v>
      </c>
      <c r="AT572" s="13" t="s">
        <v>2420</v>
      </c>
      <c r="AU572" s="13" t="s">
        <v>2421</v>
      </c>
      <c r="AV572" s="13" t="s">
        <v>2422</v>
      </c>
      <c r="AW572" s="13" t="s">
        <v>2416</v>
      </c>
      <c r="AX572" s="13" t="s">
        <v>2073</v>
      </c>
      <c r="AY572" s="13" t="s">
        <v>2073</v>
      </c>
      <c r="AZ572" s="13" t="s">
        <v>2073</v>
      </c>
      <c r="BA572" s="13" t="s">
        <v>2073</v>
      </c>
      <c r="BB572" s="13" t="s">
        <v>2073</v>
      </c>
      <c r="BC572" s="13" t="s">
        <v>2073</v>
      </c>
    </row>
    <row r="573" spans="1:55" ht="15.75" customHeight="1">
      <c r="A573" s="69">
        <v>1000</v>
      </c>
      <c r="B573" s="7" t="s">
        <v>167</v>
      </c>
      <c r="C573" s="211" t="s">
        <v>2412</v>
      </c>
      <c r="D573" s="13" t="s">
        <v>166</v>
      </c>
      <c r="E573" s="13" t="s">
        <v>151</v>
      </c>
      <c r="F573" s="211" t="s">
        <v>2413</v>
      </c>
      <c r="G573" s="13" t="s">
        <v>2414</v>
      </c>
      <c r="H573" s="13" t="s">
        <v>2077</v>
      </c>
      <c r="I573" s="13" t="s">
        <v>2077</v>
      </c>
      <c r="J573" s="13" t="s">
        <v>2077</v>
      </c>
      <c r="K573" s="13" t="s">
        <v>2077</v>
      </c>
      <c r="L573" s="13" t="s">
        <v>2077</v>
      </c>
      <c r="M573" s="13" t="s">
        <v>2077</v>
      </c>
      <c r="N573" s="211" t="s">
        <v>2415</v>
      </c>
      <c r="O573" s="13" t="s">
        <v>2416</v>
      </c>
      <c r="P573" s="69" t="str">
        <f t="shared" ref="P573:Q573" si="405">D573</f>
        <v>Newman  KMI</v>
      </c>
      <c r="Q573" s="13" t="str">
        <f t="shared" si="405"/>
        <v>1WE</v>
      </c>
      <c r="R573" s="212" t="s">
        <v>23</v>
      </c>
      <c r="S573" s="213">
        <v>0.97916666666666663</v>
      </c>
      <c r="T573" s="13">
        <v>85</v>
      </c>
      <c r="U573" s="211" t="s">
        <v>83</v>
      </c>
      <c r="V573" s="13">
        <v>1</v>
      </c>
      <c r="W573" s="13" t="s">
        <v>2417</v>
      </c>
      <c r="X573" s="13" t="s">
        <v>1924</v>
      </c>
      <c r="Y573" s="13" t="s">
        <v>2073</v>
      </c>
      <c r="Z573" s="13" t="s">
        <v>2073</v>
      </c>
      <c r="AA573" s="13" t="s">
        <v>2073</v>
      </c>
      <c r="AB573" s="13" t="s">
        <v>1924</v>
      </c>
      <c r="AC573" s="211" t="s">
        <v>2415</v>
      </c>
      <c r="AD573" s="13" t="s">
        <v>2416</v>
      </c>
      <c r="AE573" s="69" t="s">
        <v>2249</v>
      </c>
      <c r="AF573" s="13" t="s">
        <v>2418</v>
      </c>
      <c r="AG573" s="13" t="s">
        <v>2419</v>
      </c>
      <c r="AH573" s="13" t="s">
        <v>2420</v>
      </c>
      <c r="AI573" s="13" t="s">
        <v>2421</v>
      </c>
      <c r="AJ573" s="13" t="s">
        <v>2422</v>
      </c>
      <c r="AK573" s="13" t="s">
        <v>2416</v>
      </c>
      <c r="AL573" s="13" t="s">
        <v>2077</v>
      </c>
      <c r="AM573" s="13" t="s">
        <v>2077</v>
      </c>
      <c r="AN573" s="13" t="s">
        <v>2077</v>
      </c>
      <c r="AO573" s="13" t="s">
        <v>2077</v>
      </c>
      <c r="AP573" s="13" t="s">
        <v>2077</v>
      </c>
      <c r="AQ573" s="13" t="s">
        <v>2077</v>
      </c>
      <c r="AR573" s="13" t="s">
        <v>2418</v>
      </c>
      <c r="AS573" s="13" t="s">
        <v>2419</v>
      </c>
      <c r="AT573" s="13" t="s">
        <v>2420</v>
      </c>
      <c r="AU573" s="13" t="s">
        <v>2421</v>
      </c>
      <c r="AV573" s="13" t="s">
        <v>2422</v>
      </c>
      <c r="AW573" s="13" t="s">
        <v>2416</v>
      </c>
      <c r="AX573" s="13" t="s">
        <v>2073</v>
      </c>
      <c r="AY573" s="13" t="s">
        <v>2073</v>
      </c>
      <c r="AZ573" s="13" t="s">
        <v>2073</v>
      </c>
      <c r="BA573" s="13" t="s">
        <v>2073</v>
      </c>
      <c r="BB573" s="13" t="s">
        <v>2073</v>
      </c>
      <c r="BC573" s="13" t="s">
        <v>2073</v>
      </c>
    </row>
    <row r="574" spans="1:55" ht="15.75" customHeight="1">
      <c r="A574" s="69">
        <v>1000</v>
      </c>
      <c r="B574" s="7" t="s">
        <v>171</v>
      </c>
      <c r="C574" s="211" t="s">
        <v>2412</v>
      </c>
      <c r="D574" s="13" t="s">
        <v>170</v>
      </c>
      <c r="E574" s="13" t="s">
        <v>151</v>
      </c>
      <c r="F574" s="211" t="s">
        <v>2413</v>
      </c>
      <c r="G574" s="13" t="s">
        <v>2414</v>
      </c>
      <c r="H574" s="13" t="s">
        <v>2077</v>
      </c>
      <c r="I574" s="13" t="s">
        <v>2077</v>
      </c>
      <c r="J574" s="13" t="s">
        <v>2077</v>
      </c>
      <c r="K574" s="13" t="s">
        <v>2077</v>
      </c>
      <c r="L574" s="13" t="s">
        <v>2077</v>
      </c>
      <c r="M574" s="13" t="s">
        <v>2077</v>
      </c>
      <c r="N574" s="211" t="s">
        <v>2415</v>
      </c>
      <c r="O574" s="13" t="s">
        <v>2416</v>
      </c>
      <c r="P574" s="69" t="str">
        <f t="shared" ref="P574:Q574" si="406">D574</f>
        <v>CNC Band Saw  KMI</v>
      </c>
      <c r="Q574" s="13" t="str">
        <f t="shared" si="406"/>
        <v>1WE</v>
      </c>
      <c r="R574" s="212" t="s">
        <v>23</v>
      </c>
      <c r="S574" s="213">
        <v>0.64583333333333337</v>
      </c>
      <c r="T574" s="13">
        <v>85</v>
      </c>
      <c r="U574" s="211" t="s">
        <v>24</v>
      </c>
      <c r="V574" s="13">
        <v>1</v>
      </c>
      <c r="W574" s="13" t="s">
        <v>2417</v>
      </c>
      <c r="X574" s="13" t="s">
        <v>1924</v>
      </c>
      <c r="Y574" s="13" t="s">
        <v>2073</v>
      </c>
      <c r="Z574" s="13" t="s">
        <v>2073</v>
      </c>
      <c r="AA574" s="13" t="s">
        <v>2073</v>
      </c>
      <c r="AB574" s="13" t="s">
        <v>1924</v>
      </c>
      <c r="AC574" s="211" t="s">
        <v>2415</v>
      </c>
      <c r="AD574" s="13" t="s">
        <v>2416</v>
      </c>
      <c r="AE574" s="69" t="s">
        <v>172</v>
      </c>
      <c r="AF574" s="13" t="s">
        <v>2418</v>
      </c>
      <c r="AG574" s="13" t="s">
        <v>2419</v>
      </c>
      <c r="AH574" s="13" t="s">
        <v>2420</v>
      </c>
      <c r="AI574" s="13" t="s">
        <v>2421</v>
      </c>
      <c r="AJ574" s="13" t="s">
        <v>2422</v>
      </c>
      <c r="AK574" s="13" t="s">
        <v>2416</v>
      </c>
      <c r="AL574" s="13" t="s">
        <v>2077</v>
      </c>
      <c r="AM574" s="13" t="s">
        <v>2077</v>
      </c>
      <c r="AN574" s="13" t="s">
        <v>2077</v>
      </c>
      <c r="AO574" s="13" t="s">
        <v>2077</v>
      </c>
      <c r="AP574" s="13" t="s">
        <v>2077</v>
      </c>
      <c r="AQ574" s="13" t="s">
        <v>2077</v>
      </c>
      <c r="AR574" s="13" t="s">
        <v>2418</v>
      </c>
      <c r="AS574" s="13" t="s">
        <v>2419</v>
      </c>
      <c r="AT574" s="13" t="s">
        <v>2420</v>
      </c>
      <c r="AU574" s="13" t="s">
        <v>2421</v>
      </c>
      <c r="AV574" s="13" t="s">
        <v>2422</v>
      </c>
      <c r="AW574" s="13" t="s">
        <v>2416</v>
      </c>
      <c r="AX574" s="13" t="s">
        <v>2073</v>
      </c>
      <c r="AY574" s="13" t="s">
        <v>2073</v>
      </c>
      <c r="AZ574" s="13" t="s">
        <v>2073</v>
      </c>
      <c r="BA574" s="13" t="s">
        <v>2073</v>
      </c>
      <c r="BB574" s="13" t="s">
        <v>2073</v>
      </c>
      <c r="BC574" s="13" t="s">
        <v>2073</v>
      </c>
    </row>
    <row r="575" spans="1:55" ht="15.75" customHeight="1">
      <c r="A575" s="69">
        <v>1000</v>
      </c>
      <c r="B575" s="7" t="s">
        <v>176</v>
      </c>
      <c r="C575" s="211" t="s">
        <v>2412</v>
      </c>
      <c r="D575" s="13" t="s">
        <v>175</v>
      </c>
      <c r="E575" s="13" t="s">
        <v>151</v>
      </c>
      <c r="F575" s="211" t="s">
        <v>2413</v>
      </c>
      <c r="G575" s="13" t="s">
        <v>2414</v>
      </c>
      <c r="H575" s="13" t="s">
        <v>2077</v>
      </c>
      <c r="I575" s="13" t="s">
        <v>2077</v>
      </c>
      <c r="J575" s="13" t="s">
        <v>2077</v>
      </c>
      <c r="K575" s="13" t="s">
        <v>2077</v>
      </c>
      <c r="L575" s="13" t="s">
        <v>2077</v>
      </c>
      <c r="M575" s="13" t="s">
        <v>2077</v>
      </c>
      <c r="N575" s="211" t="s">
        <v>2415</v>
      </c>
      <c r="O575" s="13" t="s">
        <v>2416</v>
      </c>
      <c r="P575" s="69" t="str">
        <f t="shared" ref="P575:Q575" si="407">D575</f>
        <v>MOULDER WEINIG POWERMAT 1000/012 - 7 SPINDLES   MP.0628</v>
      </c>
      <c r="Q575" s="13" t="str">
        <f t="shared" si="407"/>
        <v>1WE</v>
      </c>
      <c r="R575" s="212" t="s">
        <v>23</v>
      </c>
      <c r="S575" s="213">
        <v>0.97916666666666663</v>
      </c>
      <c r="T575" s="13">
        <v>85</v>
      </c>
      <c r="U575" s="211" t="s">
        <v>83</v>
      </c>
      <c r="V575" s="13">
        <v>1</v>
      </c>
      <c r="W575" s="13" t="s">
        <v>2417</v>
      </c>
      <c r="X575" s="13" t="s">
        <v>1924</v>
      </c>
      <c r="Y575" s="13" t="s">
        <v>2073</v>
      </c>
      <c r="Z575" s="13" t="s">
        <v>2073</v>
      </c>
      <c r="AA575" s="13" t="s">
        <v>2073</v>
      </c>
      <c r="AB575" s="13" t="s">
        <v>1924</v>
      </c>
      <c r="AC575" s="211" t="s">
        <v>2415</v>
      </c>
      <c r="AD575" s="13" t="s">
        <v>2416</v>
      </c>
      <c r="AE575" s="69" t="s">
        <v>177</v>
      </c>
      <c r="AF575" s="13" t="s">
        <v>2418</v>
      </c>
      <c r="AG575" s="13" t="s">
        <v>2419</v>
      </c>
      <c r="AH575" s="13" t="s">
        <v>2420</v>
      </c>
      <c r="AI575" s="13" t="s">
        <v>2421</v>
      </c>
      <c r="AJ575" s="13" t="s">
        <v>2422</v>
      </c>
      <c r="AK575" s="13" t="s">
        <v>2416</v>
      </c>
      <c r="AL575" s="13" t="s">
        <v>2077</v>
      </c>
      <c r="AM575" s="13" t="s">
        <v>2077</v>
      </c>
      <c r="AN575" s="13" t="s">
        <v>2077</v>
      </c>
      <c r="AO575" s="13" t="s">
        <v>2077</v>
      </c>
      <c r="AP575" s="13" t="s">
        <v>2077</v>
      </c>
      <c r="AQ575" s="13" t="s">
        <v>2077</v>
      </c>
      <c r="AR575" s="13" t="s">
        <v>2418</v>
      </c>
      <c r="AS575" s="13" t="s">
        <v>2419</v>
      </c>
      <c r="AT575" s="13" t="s">
        <v>2420</v>
      </c>
      <c r="AU575" s="13" t="s">
        <v>2421</v>
      </c>
      <c r="AV575" s="13" t="s">
        <v>2422</v>
      </c>
      <c r="AW575" s="13" t="s">
        <v>2416</v>
      </c>
      <c r="AX575" s="13" t="s">
        <v>2073</v>
      </c>
      <c r="AY575" s="13" t="s">
        <v>2073</v>
      </c>
      <c r="AZ575" s="13" t="s">
        <v>2073</v>
      </c>
      <c r="BA575" s="13" t="s">
        <v>2073</v>
      </c>
      <c r="BB575" s="13" t="s">
        <v>2073</v>
      </c>
      <c r="BC575" s="13" t="s">
        <v>2073</v>
      </c>
    </row>
    <row r="576" spans="1:55" ht="15.75" customHeight="1">
      <c r="A576" s="69">
        <v>1000</v>
      </c>
      <c r="B576" s="7" t="s">
        <v>180</v>
      </c>
      <c r="C576" s="211" t="s">
        <v>2412</v>
      </c>
      <c r="D576" s="13" t="s">
        <v>179</v>
      </c>
      <c r="E576" s="13" t="s">
        <v>151</v>
      </c>
      <c r="F576" s="211" t="s">
        <v>2413</v>
      </c>
      <c r="G576" s="13" t="s">
        <v>2414</v>
      </c>
      <c r="H576" s="13" t="s">
        <v>2077</v>
      </c>
      <c r="I576" s="13" t="s">
        <v>2077</v>
      </c>
      <c r="J576" s="13" t="s">
        <v>2077</v>
      </c>
      <c r="K576" s="13" t="s">
        <v>2077</v>
      </c>
      <c r="L576" s="13" t="s">
        <v>2077</v>
      </c>
      <c r="M576" s="13" t="s">
        <v>2077</v>
      </c>
      <c r="N576" s="211" t="s">
        <v>2415</v>
      </c>
      <c r="O576" s="13" t="s">
        <v>2416</v>
      </c>
      <c r="P576" s="69" t="str">
        <f t="shared" ref="P576:Q576" si="408">D576</f>
        <v>MOULDING POWERMATT 2000 KMI</v>
      </c>
      <c r="Q576" s="13" t="str">
        <f t="shared" si="408"/>
        <v>1WE</v>
      </c>
      <c r="R576" s="212" t="s">
        <v>23</v>
      </c>
      <c r="S576" s="213">
        <v>0.97916666666666663</v>
      </c>
      <c r="T576" s="13">
        <v>85</v>
      </c>
      <c r="U576" s="211" t="s">
        <v>83</v>
      </c>
      <c r="V576" s="13">
        <v>1</v>
      </c>
      <c r="W576" s="13" t="s">
        <v>2417</v>
      </c>
      <c r="X576" s="13" t="s">
        <v>1924</v>
      </c>
      <c r="Y576" s="13" t="s">
        <v>2073</v>
      </c>
      <c r="Z576" s="13" t="s">
        <v>2073</v>
      </c>
      <c r="AA576" s="13" t="s">
        <v>2073</v>
      </c>
      <c r="AB576" s="13" t="s">
        <v>1924</v>
      </c>
      <c r="AC576" s="211" t="s">
        <v>2415</v>
      </c>
      <c r="AD576" s="13" t="s">
        <v>2416</v>
      </c>
      <c r="AE576" s="69" t="s">
        <v>181</v>
      </c>
      <c r="AF576" s="13" t="s">
        <v>2418</v>
      </c>
      <c r="AG576" s="13" t="s">
        <v>2419</v>
      </c>
      <c r="AH576" s="13" t="s">
        <v>2420</v>
      </c>
      <c r="AI576" s="13" t="s">
        <v>2421</v>
      </c>
      <c r="AJ576" s="13" t="s">
        <v>2422</v>
      </c>
      <c r="AK576" s="13" t="s">
        <v>2416</v>
      </c>
      <c r="AL576" s="13" t="s">
        <v>2077</v>
      </c>
      <c r="AM576" s="13" t="s">
        <v>2077</v>
      </c>
      <c r="AN576" s="13" t="s">
        <v>2077</v>
      </c>
      <c r="AO576" s="13" t="s">
        <v>2077</v>
      </c>
      <c r="AP576" s="13" t="s">
        <v>2077</v>
      </c>
      <c r="AQ576" s="13" t="s">
        <v>2077</v>
      </c>
      <c r="AR576" s="13" t="s">
        <v>2418</v>
      </c>
      <c r="AS576" s="13" t="s">
        <v>2419</v>
      </c>
      <c r="AT576" s="13" t="s">
        <v>2420</v>
      </c>
      <c r="AU576" s="13" t="s">
        <v>2421</v>
      </c>
      <c r="AV576" s="13" t="s">
        <v>2422</v>
      </c>
      <c r="AW576" s="13" t="s">
        <v>2416</v>
      </c>
      <c r="AX576" s="13" t="s">
        <v>2073</v>
      </c>
      <c r="AY576" s="13" t="s">
        <v>2073</v>
      </c>
      <c r="AZ576" s="13" t="s">
        <v>2073</v>
      </c>
      <c r="BA576" s="13" t="s">
        <v>2073</v>
      </c>
      <c r="BB576" s="13" t="s">
        <v>2073</v>
      </c>
      <c r="BC576" s="13" t="s">
        <v>2073</v>
      </c>
    </row>
    <row r="577" spans="1:55" ht="15.75" customHeight="1">
      <c r="A577" s="69">
        <v>1000</v>
      </c>
      <c r="B577" s="7" t="s">
        <v>184</v>
      </c>
      <c r="C577" s="211" t="s">
        <v>2412</v>
      </c>
      <c r="D577" s="13" t="s">
        <v>183</v>
      </c>
      <c r="E577" s="13" t="s">
        <v>151</v>
      </c>
      <c r="F577" s="211" t="s">
        <v>2413</v>
      </c>
      <c r="G577" s="13" t="s">
        <v>2414</v>
      </c>
      <c r="H577" s="13" t="s">
        <v>2077</v>
      </c>
      <c r="I577" s="13" t="s">
        <v>2077</v>
      </c>
      <c r="J577" s="13" t="s">
        <v>2077</v>
      </c>
      <c r="K577" s="13" t="s">
        <v>2077</v>
      </c>
      <c r="L577" s="13" t="s">
        <v>2077</v>
      </c>
      <c r="M577" s="13" t="s">
        <v>2077</v>
      </c>
      <c r="N577" s="211" t="s">
        <v>2415</v>
      </c>
      <c r="O577" s="13" t="s">
        <v>2416</v>
      </c>
      <c r="P577" s="69" t="str">
        <f t="shared" ref="P577:Q577" si="409">D577</f>
        <v>MOULDING POWERMATT 2000 XL</v>
      </c>
      <c r="Q577" s="13" t="str">
        <f t="shared" si="409"/>
        <v>1WE</v>
      </c>
      <c r="R577" s="212" t="s">
        <v>23</v>
      </c>
      <c r="S577" s="213">
        <v>0.97916666666666663</v>
      </c>
      <c r="T577" s="13">
        <v>85</v>
      </c>
      <c r="U577" s="211" t="s">
        <v>83</v>
      </c>
      <c r="V577" s="13">
        <v>1</v>
      </c>
      <c r="W577" s="13" t="s">
        <v>2417</v>
      </c>
      <c r="X577" s="13" t="s">
        <v>1924</v>
      </c>
      <c r="Y577" s="13" t="s">
        <v>2073</v>
      </c>
      <c r="Z577" s="13" t="s">
        <v>2073</v>
      </c>
      <c r="AA577" s="13" t="s">
        <v>2073</v>
      </c>
      <c r="AB577" s="13" t="s">
        <v>1924</v>
      </c>
      <c r="AC577" s="211" t="s">
        <v>2415</v>
      </c>
      <c r="AD577" s="13" t="s">
        <v>2416</v>
      </c>
      <c r="AE577" s="69" t="s">
        <v>185</v>
      </c>
      <c r="AF577" s="13" t="s">
        <v>2418</v>
      </c>
      <c r="AG577" s="13" t="s">
        <v>2419</v>
      </c>
      <c r="AH577" s="13" t="s">
        <v>2420</v>
      </c>
      <c r="AI577" s="13" t="s">
        <v>2421</v>
      </c>
      <c r="AJ577" s="13" t="s">
        <v>2422</v>
      </c>
      <c r="AK577" s="13" t="s">
        <v>2416</v>
      </c>
      <c r="AL577" s="13" t="s">
        <v>2077</v>
      </c>
      <c r="AM577" s="13" t="s">
        <v>2077</v>
      </c>
      <c r="AN577" s="13" t="s">
        <v>2077</v>
      </c>
      <c r="AO577" s="13" t="s">
        <v>2077</v>
      </c>
      <c r="AP577" s="13" t="s">
        <v>2077</v>
      </c>
      <c r="AQ577" s="13" t="s">
        <v>2077</v>
      </c>
      <c r="AR577" s="13" t="s">
        <v>2418</v>
      </c>
      <c r="AS577" s="13" t="s">
        <v>2419</v>
      </c>
      <c r="AT577" s="13" t="s">
        <v>2420</v>
      </c>
      <c r="AU577" s="13" t="s">
        <v>2421</v>
      </c>
      <c r="AV577" s="13" t="s">
        <v>2422</v>
      </c>
      <c r="AW577" s="13" t="s">
        <v>2416</v>
      </c>
      <c r="AX577" s="13" t="s">
        <v>2073</v>
      </c>
      <c r="AY577" s="13" t="s">
        <v>2073</v>
      </c>
      <c r="AZ577" s="13" t="s">
        <v>2073</v>
      </c>
      <c r="BA577" s="13" t="s">
        <v>2073</v>
      </c>
      <c r="BB577" s="13" t="s">
        <v>2073</v>
      </c>
      <c r="BC577" s="13" t="s">
        <v>2073</v>
      </c>
    </row>
    <row r="578" spans="1:55" ht="15.75" customHeight="1">
      <c r="A578" s="69">
        <v>1000</v>
      </c>
      <c r="B578" s="7" t="s">
        <v>188</v>
      </c>
      <c r="C578" s="211" t="s">
        <v>2412</v>
      </c>
      <c r="D578" s="13" t="s">
        <v>187</v>
      </c>
      <c r="E578" s="13" t="s">
        <v>151</v>
      </c>
      <c r="F578" s="211" t="s">
        <v>2413</v>
      </c>
      <c r="G578" s="13" t="s">
        <v>2414</v>
      </c>
      <c r="H578" s="13" t="s">
        <v>2077</v>
      </c>
      <c r="I578" s="13" t="s">
        <v>2077</v>
      </c>
      <c r="J578" s="13" t="s">
        <v>2077</v>
      </c>
      <c r="K578" s="13" t="s">
        <v>2077</v>
      </c>
      <c r="L578" s="13" t="s">
        <v>2077</v>
      </c>
      <c r="M578" s="13" t="s">
        <v>2077</v>
      </c>
      <c r="N578" s="211" t="s">
        <v>2415</v>
      </c>
      <c r="O578" s="13" t="s">
        <v>2416</v>
      </c>
      <c r="P578" s="69" t="str">
        <f t="shared" ref="P578:Q578" si="410">D578</f>
        <v>MOULDING U-300 KMI</v>
      </c>
      <c r="Q578" s="13" t="str">
        <f t="shared" si="410"/>
        <v>1WE</v>
      </c>
      <c r="R578" s="212" t="s">
        <v>23</v>
      </c>
      <c r="S578" s="213">
        <v>0.64583333333333337</v>
      </c>
      <c r="T578" s="13">
        <v>85</v>
      </c>
      <c r="U578" s="211" t="s">
        <v>24</v>
      </c>
      <c r="V578" s="13">
        <v>1</v>
      </c>
      <c r="W578" s="13" t="s">
        <v>2417</v>
      </c>
      <c r="X578" s="13" t="s">
        <v>1924</v>
      </c>
      <c r="Y578" s="13" t="s">
        <v>2073</v>
      </c>
      <c r="Z578" s="13" t="s">
        <v>2073</v>
      </c>
      <c r="AA578" s="13" t="s">
        <v>2073</v>
      </c>
      <c r="AB578" s="13" t="s">
        <v>1924</v>
      </c>
      <c r="AC578" s="211" t="s">
        <v>2415</v>
      </c>
      <c r="AD578" s="13" t="s">
        <v>2416</v>
      </c>
      <c r="AE578" s="69" t="s">
        <v>189</v>
      </c>
      <c r="AF578" s="13" t="s">
        <v>2418</v>
      </c>
      <c r="AG578" s="13" t="s">
        <v>2419</v>
      </c>
      <c r="AH578" s="13" t="s">
        <v>2420</v>
      </c>
      <c r="AI578" s="13" t="s">
        <v>2421</v>
      </c>
      <c r="AJ578" s="13" t="s">
        <v>2422</v>
      </c>
      <c r="AK578" s="13" t="s">
        <v>2416</v>
      </c>
      <c r="AL578" s="13" t="s">
        <v>2077</v>
      </c>
      <c r="AM578" s="13" t="s">
        <v>2077</v>
      </c>
      <c r="AN578" s="13" t="s">
        <v>2077</v>
      </c>
      <c r="AO578" s="13" t="s">
        <v>2077</v>
      </c>
      <c r="AP578" s="13" t="s">
        <v>2077</v>
      </c>
      <c r="AQ578" s="13" t="s">
        <v>2077</v>
      </c>
      <c r="AR578" s="13" t="s">
        <v>2418</v>
      </c>
      <c r="AS578" s="13" t="s">
        <v>2419</v>
      </c>
      <c r="AT578" s="13" t="s">
        <v>2420</v>
      </c>
      <c r="AU578" s="13" t="s">
        <v>2421</v>
      </c>
      <c r="AV578" s="13" t="s">
        <v>2422</v>
      </c>
      <c r="AW578" s="13" t="s">
        <v>2416</v>
      </c>
      <c r="AX578" s="13" t="s">
        <v>2073</v>
      </c>
      <c r="AY578" s="13" t="s">
        <v>2073</v>
      </c>
      <c r="AZ578" s="13" t="s">
        <v>2073</v>
      </c>
      <c r="BA578" s="13" t="s">
        <v>2073</v>
      </c>
      <c r="BB578" s="13" t="s">
        <v>2073</v>
      </c>
      <c r="BC578" s="13" t="s">
        <v>2073</v>
      </c>
    </row>
    <row r="579" spans="1:55" ht="15.75" customHeight="1">
      <c r="A579" s="69">
        <v>1000</v>
      </c>
      <c r="B579" s="7" t="s">
        <v>192</v>
      </c>
      <c r="C579" s="211" t="s">
        <v>2412</v>
      </c>
      <c r="D579" s="13" t="s">
        <v>191</v>
      </c>
      <c r="E579" s="13" t="s">
        <v>151</v>
      </c>
      <c r="F579" s="211" t="s">
        <v>2413</v>
      </c>
      <c r="G579" s="13" t="s">
        <v>2414</v>
      </c>
      <c r="H579" s="13" t="s">
        <v>2077</v>
      </c>
      <c r="I579" s="13" t="s">
        <v>2077</v>
      </c>
      <c r="J579" s="13" t="s">
        <v>2077</v>
      </c>
      <c r="K579" s="13" t="s">
        <v>2077</v>
      </c>
      <c r="L579" s="13" t="s">
        <v>2077</v>
      </c>
      <c r="M579" s="13" t="s">
        <v>2077</v>
      </c>
      <c r="N579" s="211" t="s">
        <v>2415</v>
      </c>
      <c r="O579" s="13" t="s">
        <v>2416</v>
      </c>
      <c r="P579" s="69" t="str">
        <f t="shared" ref="P579:Q579" si="411">D579</f>
        <v>MANUAL DOWEL&amp;RAIL KMI 1</v>
      </c>
      <c r="Q579" s="13" t="str">
        <f t="shared" si="411"/>
        <v>1WE</v>
      </c>
      <c r="R579" s="212" t="s">
        <v>23</v>
      </c>
      <c r="S579" s="213">
        <v>0.64583333333333337</v>
      </c>
      <c r="T579" s="13">
        <v>85</v>
      </c>
      <c r="U579" s="211" t="s">
        <v>24</v>
      </c>
      <c r="V579" s="13">
        <v>1</v>
      </c>
      <c r="W579" s="13" t="s">
        <v>2417</v>
      </c>
      <c r="X579" s="13" t="s">
        <v>1924</v>
      </c>
      <c r="Y579" s="13" t="s">
        <v>2073</v>
      </c>
      <c r="Z579" s="13" t="s">
        <v>2073</v>
      </c>
      <c r="AA579" s="13" t="s">
        <v>2073</v>
      </c>
      <c r="AB579" s="13" t="s">
        <v>1924</v>
      </c>
      <c r="AC579" s="211" t="s">
        <v>2415</v>
      </c>
      <c r="AD579" s="13" t="s">
        <v>2416</v>
      </c>
      <c r="AE579" s="69" t="s">
        <v>193</v>
      </c>
      <c r="AF579" s="13" t="s">
        <v>2418</v>
      </c>
      <c r="AG579" s="13" t="s">
        <v>2419</v>
      </c>
      <c r="AH579" s="13" t="s">
        <v>2420</v>
      </c>
      <c r="AI579" s="13" t="s">
        <v>2421</v>
      </c>
      <c r="AJ579" s="13" t="s">
        <v>2422</v>
      </c>
      <c r="AK579" s="13" t="s">
        <v>2416</v>
      </c>
      <c r="AL579" s="13" t="s">
        <v>2077</v>
      </c>
      <c r="AM579" s="13" t="s">
        <v>2077</v>
      </c>
      <c r="AN579" s="13" t="s">
        <v>2077</v>
      </c>
      <c r="AO579" s="13" t="s">
        <v>2077</v>
      </c>
      <c r="AP579" s="13" t="s">
        <v>2077</v>
      </c>
      <c r="AQ579" s="13" t="s">
        <v>2077</v>
      </c>
      <c r="AR579" s="13" t="s">
        <v>2418</v>
      </c>
      <c r="AS579" s="13" t="s">
        <v>2419</v>
      </c>
      <c r="AT579" s="13" t="s">
        <v>2420</v>
      </c>
      <c r="AU579" s="13" t="s">
        <v>2421</v>
      </c>
      <c r="AV579" s="13" t="s">
        <v>2422</v>
      </c>
      <c r="AW579" s="13" t="s">
        <v>2416</v>
      </c>
      <c r="AX579" s="13" t="s">
        <v>2073</v>
      </c>
      <c r="AY579" s="13" t="s">
        <v>2073</v>
      </c>
      <c r="AZ579" s="13" t="s">
        <v>2073</v>
      </c>
      <c r="BA579" s="13" t="s">
        <v>2073</v>
      </c>
      <c r="BB579" s="13" t="s">
        <v>2073</v>
      </c>
      <c r="BC579" s="13" t="s">
        <v>2073</v>
      </c>
    </row>
    <row r="580" spans="1:55" ht="15.75" customHeight="1">
      <c r="A580" s="69">
        <v>1000</v>
      </c>
      <c r="B580" s="7" t="s">
        <v>196</v>
      </c>
      <c r="C580" s="211" t="s">
        <v>2412</v>
      </c>
      <c r="D580" s="13" t="s">
        <v>195</v>
      </c>
      <c r="E580" s="13" t="s">
        <v>151</v>
      </c>
      <c r="F580" s="211" t="s">
        <v>2413</v>
      </c>
      <c r="G580" s="13" t="s">
        <v>2414</v>
      </c>
      <c r="H580" s="13" t="s">
        <v>2077</v>
      </c>
      <c r="I580" s="13" t="s">
        <v>2077</v>
      </c>
      <c r="J580" s="13" t="s">
        <v>2077</v>
      </c>
      <c r="K580" s="13" t="s">
        <v>2077</v>
      </c>
      <c r="L580" s="13" t="s">
        <v>2077</v>
      </c>
      <c r="M580" s="13" t="s">
        <v>2077</v>
      </c>
      <c r="N580" s="211" t="s">
        <v>2415</v>
      </c>
      <c r="O580" s="13" t="s">
        <v>2416</v>
      </c>
      <c r="P580" s="69" t="str">
        <f t="shared" ref="P580:Q580" si="412">D580</f>
        <v>MOULDING UNIMAT 23 MP.0053</v>
      </c>
      <c r="Q580" s="13" t="str">
        <f t="shared" si="412"/>
        <v>1WE</v>
      </c>
      <c r="R580" s="212" t="s">
        <v>23</v>
      </c>
      <c r="S580" s="213">
        <v>0.97916666666666663</v>
      </c>
      <c r="T580" s="13">
        <v>85</v>
      </c>
      <c r="U580" s="211" t="s">
        <v>83</v>
      </c>
      <c r="V580" s="13">
        <v>1</v>
      </c>
      <c r="W580" s="13" t="s">
        <v>2417</v>
      </c>
      <c r="X580" s="13" t="s">
        <v>1924</v>
      </c>
      <c r="Y580" s="13" t="s">
        <v>2073</v>
      </c>
      <c r="Z580" s="13" t="s">
        <v>2073</v>
      </c>
      <c r="AA580" s="13" t="s">
        <v>2073</v>
      </c>
      <c r="AB580" s="13" t="s">
        <v>1924</v>
      </c>
      <c r="AC580" s="211" t="s">
        <v>2415</v>
      </c>
      <c r="AD580" s="13" t="s">
        <v>2416</v>
      </c>
      <c r="AE580" s="69" t="s">
        <v>197</v>
      </c>
      <c r="AF580" s="13" t="s">
        <v>2418</v>
      </c>
      <c r="AG580" s="13" t="s">
        <v>2419</v>
      </c>
      <c r="AH580" s="13" t="s">
        <v>2420</v>
      </c>
      <c r="AI580" s="13" t="s">
        <v>2421</v>
      </c>
      <c r="AJ580" s="13" t="s">
        <v>2422</v>
      </c>
      <c r="AK580" s="13" t="s">
        <v>2416</v>
      </c>
      <c r="AL580" s="13" t="s">
        <v>2077</v>
      </c>
      <c r="AM580" s="13" t="s">
        <v>2077</v>
      </c>
      <c r="AN580" s="13" t="s">
        <v>2077</v>
      </c>
      <c r="AO580" s="13" t="s">
        <v>2077</v>
      </c>
      <c r="AP580" s="13" t="s">
        <v>2077</v>
      </c>
      <c r="AQ580" s="13" t="s">
        <v>2077</v>
      </c>
      <c r="AR580" s="13" t="s">
        <v>2418</v>
      </c>
      <c r="AS580" s="13" t="s">
        <v>2419</v>
      </c>
      <c r="AT580" s="13" t="s">
        <v>2420</v>
      </c>
      <c r="AU580" s="13" t="s">
        <v>2421</v>
      </c>
      <c r="AV580" s="13" t="s">
        <v>2422</v>
      </c>
      <c r="AW580" s="13" t="s">
        <v>2416</v>
      </c>
      <c r="AX580" s="13" t="s">
        <v>2073</v>
      </c>
      <c r="AY580" s="13" t="s">
        <v>2073</v>
      </c>
      <c r="AZ580" s="13" t="s">
        <v>2073</v>
      </c>
      <c r="BA580" s="13" t="s">
        <v>2073</v>
      </c>
      <c r="BB580" s="13" t="s">
        <v>2073</v>
      </c>
      <c r="BC580" s="13" t="s">
        <v>2073</v>
      </c>
    </row>
    <row r="581" spans="1:55" ht="15.75" customHeight="1">
      <c r="A581" s="69">
        <v>1000</v>
      </c>
      <c r="B581" s="7" t="s">
        <v>200</v>
      </c>
      <c r="C581" s="211" t="s">
        <v>2412</v>
      </c>
      <c r="D581" s="13" t="s">
        <v>199</v>
      </c>
      <c r="E581" s="13" t="s">
        <v>151</v>
      </c>
      <c r="F581" s="211" t="s">
        <v>2413</v>
      </c>
      <c r="G581" s="13" t="s">
        <v>2414</v>
      </c>
      <c r="H581" s="13" t="s">
        <v>2077</v>
      </c>
      <c r="I581" s="13" t="s">
        <v>2077</v>
      </c>
      <c r="J581" s="13" t="s">
        <v>2077</v>
      </c>
      <c r="K581" s="13" t="s">
        <v>2077</v>
      </c>
      <c r="L581" s="13" t="s">
        <v>2077</v>
      </c>
      <c r="M581" s="13" t="s">
        <v>2077</v>
      </c>
      <c r="N581" s="211" t="s">
        <v>2415</v>
      </c>
      <c r="O581" s="13" t="s">
        <v>2416</v>
      </c>
      <c r="P581" s="69" t="str">
        <f t="shared" ref="P581:Q581" si="413">D581</f>
        <v>MOULDING UNIMAT 22 E</v>
      </c>
      <c r="Q581" s="13" t="str">
        <f t="shared" si="413"/>
        <v>1WE</v>
      </c>
      <c r="R581" s="212" t="s">
        <v>23</v>
      </c>
      <c r="S581" s="213">
        <v>0.97916666666666663</v>
      </c>
      <c r="T581" s="13">
        <v>85</v>
      </c>
      <c r="U581" s="211" t="s">
        <v>83</v>
      </c>
      <c r="V581" s="13">
        <v>1</v>
      </c>
      <c r="W581" s="13" t="s">
        <v>2417</v>
      </c>
      <c r="X581" s="13" t="s">
        <v>1924</v>
      </c>
      <c r="Y581" s="13" t="s">
        <v>2073</v>
      </c>
      <c r="Z581" s="13" t="s">
        <v>2073</v>
      </c>
      <c r="AA581" s="13" t="s">
        <v>2073</v>
      </c>
      <c r="AB581" s="13" t="s">
        <v>1924</v>
      </c>
      <c r="AC581" s="211" t="s">
        <v>2415</v>
      </c>
      <c r="AD581" s="13" t="s">
        <v>2416</v>
      </c>
      <c r="AE581" s="69" t="s">
        <v>201</v>
      </c>
      <c r="AF581" s="13" t="s">
        <v>2418</v>
      </c>
      <c r="AG581" s="13" t="s">
        <v>2419</v>
      </c>
      <c r="AH581" s="13" t="s">
        <v>2420</v>
      </c>
      <c r="AI581" s="13" t="s">
        <v>2421</v>
      </c>
      <c r="AJ581" s="13" t="s">
        <v>2422</v>
      </c>
      <c r="AK581" s="13" t="s">
        <v>2416</v>
      </c>
      <c r="AL581" s="13" t="s">
        <v>2077</v>
      </c>
      <c r="AM581" s="13" t="s">
        <v>2077</v>
      </c>
      <c r="AN581" s="13" t="s">
        <v>2077</v>
      </c>
      <c r="AO581" s="13" t="s">
        <v>2077</v>
      </c>
      <c r="AP581" s="13" t="s">
        <v>2077</v>
      </c>
      <c r="AQ581" s="13" t="s">
        <v>2077</v>
      </c>
      <c r="AR581" s="13" t="s">
        <v>2418</v>
      </c>
      <c r="AS581" s="13" t="s">
        <v>2419</v>
      </c>
      <c r="AT581" s="13" t="s">
        <v>2420</v>
      </c>
      <c r="AU581" s="13" t="s">
        <v>2421</v>
      </c>
      <c r="AV581" s="13" t="s">
        <v>2422</v>
      </c>
      <c r="AW581" s="13" t="s">
        <v>2416</v>
      </c>
      <c r="AX581" s="13" t="s">
        <v>2073</v>
      </c>
      <c r="AY581" s="13" t="s">
        <v>2073</v>
      </c>
      <c r="AZ581" s="13" t="s">
        <v>2073</v>
      </c>
      <c r="BA581" s="13" t="s">
        <v>2073</v>
      </c>
      <c r="BB581" s="13" t="s">
        <v>2073</v>
      </c>
      <c r="BC581" s="13" t="s">
        <v>2073</v>
      </c>
    </row>
    <row r="582" spans="1:55" ht="15.75" customHeight="1">
      <c r="A582" s="69">
        <v>1000</v>
      </c>
      <c r="B582" s="7" t="s">
        <v>204</v>
      </c>
      <c r="C582" s="211" t="s">
        <v>2412</v>
      </c>
      <c r="D582" s="13" t="s">
        <v>203</v>
      </c>
      <c r="E582" s="13" t="s">
        <v>151</v>
      </c>
      <c r="F582" s="211" t="s">
        <v>2413</v>
      </c>
      <c r="G582" s="13" t="s">
        <v>2414</v>
      </c>
      <c r="H582" s="13" t="s">
        <v>2077</v>
      </c>
      <c r="I582" s="13" t="s">
        <v>2077</v>
      </c>
      <c r="J582" s="13" t="s">
        <v>2077</v>
      </c>
      <c r="K582" s="13" t="s">
        <v>2077</v>
      </c>
      <c r="L582" s="13" t="s">
        <v>2077</v>
      </c>
      <c r="M582" s="13" t="s">
        <v>2077</v>
      </c>
      <c r="N582" s="211" t="s">
        <v>2415</v>
      </c>
      <c r="O582" s="13" t="s">
        <v>2416</v>
      </c>
      <c r="P582" s="69" t="str">
        <f t="shared" ref="P582:Q582" si="414">D582</f>
        <v>MOULDING UNIMAT 23 E</v>
      </c>
      <c r="Q582" s="13" t="str">
        <f t="shared" si="414"/>
        <v>1WE</v>
      </c>
      <c r="R582" s="212" t="s">
        <v>23</v>
      </c>
      <c r="S582" s="213">
        <v>0.97916666666666663</v>
      </c>
      <c r="T582" s="13">
        <v>85</v>
      </c>
      <c r="U582" s="211" t="s">
        <v>83</v>
      </c>
      <c r="V582" s="13">
        <v>1</v>
      </c>
      <c r="W582" s="13" t="s">
        <v>2417</v>
      </c>
      <c r="X582" s="13" t="s">
        <v>1924</v>
      </c>
      <c r="Y582" s="13" t="s">
        <v>2073</v>
      </c>
      <c r="Z582" s="13" t="s">
        <v>2073</v>
      </c>
      <c r="AA582" s="13" t="s">
        <v>2073</v>
      </c>
      <c r="AB582" s="13" t="s">
        <v>1924</v>
      </c>
      <c r="AC582" s="211" t="s">
        <v>2415</v>
      </c>
      <c r="AD582" s="13" t="s">
        <v>2416</v>
      </c>
      <c r="AE582" s="69" t="s">
        <v>205</v>
      </c>
      <c r="AF582" s="13" t="s">
        <v>2418</v>
      </c>
      <c r="AG582" s="13" t="s">
        <v>2419</v>
      </c>
      <c r="AH582" s="13" t="s">
        <v>2420</v>
      </c>
      <c r="AI582" s="13" t="s">
        <v>2421</v>
      </c>
      <c r="AJ582" s="13" t="s">
        <v>2422</v>
      </c>
      <c r="AK582" s="13" t="s">
        <v>2416</v>
      </c>
      <c r="AL582" s="13" t="s">
        <v>2077</v>
      </c>
      <c r="AM582" s="13" t="s">
        <v>2077</v>
      </c>
      <c r="AN582" s="13" t="s">
        <v>2077</v>
      </c>
      <c r="AO582" s="13" t="s">
        <v>2077</v>
      </c>
      <c r="AP582" s="13" t="s">
        <v>2077</v>
      </c>
      <c r="AQ582" s="13" t="s">
        <v>2077</v>
      </c>
      <c r="AR582" s="13" t="s">
        <v>2418</v>
      </c>
      <c r="AS582" s="13" t="s">
        <v>2419</v>
      </c>
      <c r="AT582" s="13" t="s">
        <v>2420</v>
      </c>
      <c r="AU582" s="13" t="s">
        <v>2421</v>
      </c>
      <c r="AV582" s="13" t="s">
        <v>2422</v>
      </c>
      <c r="AW582" s="13" t="s">
        <v>2416</v>
      </c>
      <c r="AX582" s="13" t="s">
        <v>2073</v>
      </c>
      <c r="AY582" s="13" t="s">
        <v>2073</v>
      </c>
      <c r="AZ582" s="13" t="s">
        <v>2073</v>
      </c>
      <c r="BA582" s="13" t="s">
        <v>2073</v>
      </c>
      <c r="BB582" s="13" t="s">
        <v>2073</v>
      </c>
      <c r="BC582" s="13" t="s">
        <v>2073</v>
      </c>
    </row>
    <row r="583" spans="1:55" ht="15.75" customHeight="1">
      <c r="A583" s="69">
        <v>1000</v>
      </c>
      <c r="B583" s="7" t="s">
        <v>209</v>
      </c>
      <c r="C583" s="211" t="s">
        <v>2412</v>
      </c>
      <c r="D583" s="13" t="s">
        <v>208</v>
      </c>
      <c r="E583" s="13" t="s">
        <v>151</v>
      </c>
      <c r="F583" s="211" t="s">
        <v>2413</v>
      </c>
      <c r="G583" s="13" t="s">
        <v>2414</v>
      </c>
      <c r="H583" s="13" t="s">
        <v>2077</v>
      </c>
      <c r="I583" s="13" t="s">
        <v>2077</v>
      </c>
      <c r="J583" s="13" t="s">
        <v>2077</v>
      </c>
      <c r="K583" s="13" t="s">
        <v>2077</v>
      </c>
      <c r="L583" s="13" t="s">
        <v>2077</v>
      </c>
      <c r="M583" s="13" t="s">
        <v>2077</v>
      </c>
      <c r="N583" s="211" t="s">
        <v>2415</v>
      </c>
      <c r="O583" s="13" t="s">
        <v>2416</v>
      </c>
      <c r="P583" s="69" t="str">
        <f t="shared" ref="P583:Q583" si="415">D583</f>
        <v>Winter Streiger  Wooden Component</v>
      </c>
      <c r="Q583" s="13" t="str">
        <f t="shared" si="415"/>
        <v>1WE</v>
      </c>
      <c r="R583" s="212" t="s">
        <v>23</v>
      </c>
      <c r="S583" s="213">
        <v>0.64583333333333337</v>
      </c>
      <c r="T583" s="13">
        <v>85</v>
      </c>
      <c r="U583" s="211" t="s">
        <v>24</v>
      </c>
      <c r="V583" s="13">
        <v>1</v>
      </c>
      <c r="W583" s="13" t="s">
        <v>2417</v>
      </c>
      <c r="X583" s="13" t="s">
        <v>1924</v>
      </c>
      <c r="Y583" s="13" t="s">
        <v>2073</v>
      </c>
      <c r="Z583" s="13" t="s">
        <v>2073</v>
      </c>
      <c r="AA583" s="13" t="s">
        <v>2073</v>
      </c>
      <c r="AB583" s="13" t="s">
        <v>1924</v>
      </c>
      <c r="AC583" s="211" t="s">
        <v>2415</v>
      </c>
      <c r="AD583" s="13" t="s">
        <v>2416</v>
      </c>
      <c r="AE583" s="69">
        <v>1111025002</v>
      </c>
      <c r="AF583" s="13" t="s">
        <v>2418</v>
      </c>
      <c r="AG583" s="13" t="s">
        <v>2419</v>
      </c>
      <c r="AH583" s="13" t="s">
        <v>2420</v>
      </c>
      <c r="AI583" s="13" t="s">
        <v>2421</v>
      </c>
      <c r="AJ583" s="13" t="s">
        <v>2422</v>
      </c>
      <c r="AK583" s="13" t="s">
        <v>2416</v>
      </c>
      <c r="AL583" s="13" t="s">
        <v>2077</v>
      </c>
      <c r="AM583" s="13" t="s">
        <v>2077</v>
      </c>
      <c r="AN583" s="13" t="s">
        <v>2077</v>
      </c>
      <c r="AO583" s="13" t="s">
        <v>2077</v>
      </c>
      <c r="AP583" s="13" t="s">
        <v>2077</v>
      </c>
      <c r="AQ583" s="13" t="s">
        <v>2077</v>
      </c>
      <c r="AR583" s="13" t="s">
        <v>2418</v>
      </c>
      <c r="AS583" s="13" t="s">
        <v>2419</v>
      </c>
      <c r="AT583" s="13" t="s">
        <v>2420</v>
      </c>
      <c r="AU583" s="13" t="s">
        <v>2421</v>
      </c>
      <c r="AV583" s="13" t="s">
        <v>2422</v>
      </c>
      <c r="AW583" s="13" t="s">
        <v>2416</v>
      </c>
      <c r="AX583" s="13" t="s">
        <v>2073</v>
      </c>
      <c r="AY583" s="13" t="s">
        <v>2073</v>
      </c>
      <c r="AZ583" s="13" t="s">
        <v>2073</v>
      </c>
      <c r="BA583" s="13" t="s">
        <v>2073</v>
      </c>
      <c r="BB583" s="13" t="s">
        <v>2073</v>
      </c>
      <c r="BC583" s="13" t="s">
        <v>2073</v>
      </c>
    </row>
    <row r="584" spans="1:55" ht="15.75" customHeight="1">
      <c r="A584" s="69">
        <v>1000</v>
      </c>
      <c r="B584" s="7" t="s">
        <v>213</v>
      </c>
      <c r="C584" s="211" t="s">
        <v>2412</v>
      </c>
      <c r="D584" s="13" t="s">
        <v>212</v>
      </c>
      <c r="E584" s="13" t="s">
        <v>216</v>
      </c>
      <c r="F584" s="211" t="s">
        <v>2413</v>
      </c>
      <c r="G584" s="13" t="s">
        <v>2414</v>
      </c>
      <c r="H584" s="13" t="s">
        <v>2077</v>
      </c>
      <c r="I584" s="13" t="s">
        <v>2077</v>
      </c>
      <c r="J584" s="13" t="s">
        <v>2077</v>
      </c>
      <c r="K584" s="13" t="s">
        <v>2077</v>
      </c>
      <c r="L584" s="13" t="s">
        <v>2077</v>
      </c>
      <c r="M584" s="13" t="s">
        <v>2077</v>
      </c>
      <c r="N584" s="211" t="s">
        <v>2415</v>
      </c>
      <c r="O584" s="13" t="s">
        <v>2416</v>
      </c>
      <c r="P584" s="69" t="str">
        <f t="shared" ref="P584:Q584" si="416">D584</f>
        <v>SCHEELING  1 KMI</v>
      </c>
      <c r="Q584" s="13" t="str">
        <f t="shared" si="416"/>
        <v>1PN</v>
      </c>
      <c r="R584" s="212" t="s">
        <v>23</v>
      </c>
      <c r="S584" s="213">
        <v>0.97916666666666663</v>
      </c>
      <c r="T584" s="13">
        <v>85</v>
      </c>
      <c r="U584" s="211" t="s">
        <v>83</v>
      </c>
      <c r="V584" s="13">
        <v>1</v>
      </c>
      <c r="W584" s="13" t="s">
        <v>2417</v>
      </c>
      <c r="X584" s="13" t="s">
        <v>1924</v>
      </c>
      <c r="Y584" s="13" t="s">
        <v>2073</v>
      </c>
      <c r="Z584" s="13" t="s">
        <v>2073</v>
      </c>
      <c r="AA584" s="13" t="s">
        <v>2073</v>
      </c>
      <c r="AB584" s="13" t="s">
        <v>1924</v>
      </c>
      <c r="AC584" s="211" t="s">
        <v>2415</v>
      </c>
      <c r="AD584" s="13" t="s">
        <v>2416</v>
      </c>
      <c r="AE584" s="69" t="s">
        <v>214</v>
      </c>
      <c r="AF584" s="13" t="s">
        <v>2418</v>
      </c>
      <c r="AG584" s="13" t="s">
        <v>2419</v>
      </c>
      <c r="AH584" s="13" t="s">
        <v>2420</v>
      </c>
      <c r="AI584" s="13" t="s">
        <v>2421</v>
      </c>
      <c r="AJ584" s="13" t="s">
        <v>2422</v>
      </c>
      <c r="AK584" s="13" t="s">
        <v>2416</v>
      </c>
      <c r="AL584" s="13" t="s">
        <v>2077</v>
      </c>
      <c r="AM584" s="13" t="s">
        <v>2077</v>
      </c>
      <c r="AN584" s="13" t="s">
        <v>2077</v>
      </c>
      <c r="AO584" s="13" t="s">
        <v>2077</v>
      </c>
      <c r="AP584" s="13" t="s">
        <v>2077</v>
      </c>
      <c r="AQ584" s="13" t="s">
        <v>2077</v>
      </c>
      <c r="AR584" s="13" t="s">
        <v>2418</v>
      </c>
      <c r="AS584" s="13" t="s">
        <v>2419</v>
      </c>
      <c r="AT584" s="13" t="s">
        <v>2420</v>
      </c>
      <c r="AU584" s="13" t="s">
        <v>2421</v>
      </c>
      <c r="AV584" s="13" t="s">
        <v>2422</v>
      </c>
      <c r="AW584" s="13" t="s">
        <v>2416</v>
      </c>
      <c r="AX584" s="13" t="s">
        <v>2073</v>
      </c>
      <c r="AY584" s="13" t="s">
        <v>2073</v>
      </c>
      <c r="AZ584" s="13" t="s">
        <v>2073</v>
      </c>
      <c r="BA584" s="13" t="s">
        <v>2073</v>
      </c>
      <c r="BB584" s="13" t="s">
        <v>2073</v>
      </c>
      <c r="BC584" s="13" t="s">
        <v>2073</v>
      </c>
    </row>
    <row r="585" spans="1:55" ht="15.75" customHeight="1">
      <c r="A585" s="69">
        <v>1000</v>
      </c>
      <c r="B585" s="7" t="s">
        <v>219</v>
      </c>
      <c r="C585" s="211" t="s">
        <v>2412</v>
      </c>
      <c r="D585" s="13" t="s">
        <v>218</v>
      </c>
      <c r="E585" s="13" t="s">
        <v>216</v>
      </c>
      <c r="F585" s="211" t="s">
        <v>2413</v>
      </c>
      <c r="G585" s="13" t="s">
        <v>2414</v>
      </c>
      <c r="H585" s="13" t="s">
        <v>2077</v>
      </c>
      <c r="I585" s="13" t="s">
        <v>2077</v>
      </c>
      <c r="J585" s="13" t="s">
        <v>2077</v>
      </c>
      <c r="K585" s="13" t="s">
        <v>2077</v>
      </c>
      <c r="L585" s="13" t="s">
        <v>2077</v>
      </c>
      <c r="M585" s="13" t="s">
        <v>2077</v>
      </c>
      <c r="N585" s="211" t="s">
        <v>2415</v>
      </c>
      <c r="O585" s="13" t="s">
        <v>2416</v>
      </c>
      <c r="P585" s="69" t="str">
        <f t="shared" ref="P585:Q585" si="417">D585</f>
        <v>SCHEELING 2 (FH4330)  KMI</v>
      </c>
      <c r="Q585" s="13" t="str">
        <f t="shared" si="417"/>
        <v>1PN</v>
      </c>
      <c r="R585" s="212" t="s">
        <v>23</v>
      </c>
      <c r="S585" s="213">
        <v>0.97916666666666663</v>
      </c>
      <c r="T585" s="13">
        <v>85</v>
      </c>
      <c r="U585" s="211" t="s">
        <v>83</v>
      </c>
      <c r="V585" s="13">
        <v>1</v>
      </c>
      <c r="W585" s="13" t="s">
        <v>2417</v>
      </c>
      <c r="X585" s="13" t="s">
        <v>1924</v>
      </c>
      <c r="Y585" s="13" t="s">
        <v>2073</v>
      </c>
      <c r="Z585" s="13" t="s">
        <v>2073</v>
      </c>
      <c r="AA585" s="13" t="s">
        <v>2073</v>
      </c>
      <c r="AB585" s="13" t="s">
        <v>1924</v>
      </c>
      <c r="AC585" s="211" t="s">
        <v>2415</v>
      </c>
      <c r="AD585" s="13" t="s">
        <v>2416</v>
      </c>
      <c r="AE585" s="69" t="s">
        <v>214</v>
      </c>
      <c r="AF585" s="13" t="s">
        <v>2418</v>
      </c>
      <c r="AG585" s="13" t="s">
        <v>2419</v>
      </c>
      <c r="AH585" s="13" t="s">
        <v>2420</v>
      </c>
      <c r="AI585" s="13" t="s">
        <v>2421</v>
      </c>
      <c r="AJ585" s="13" t="s">
        <v>2422</v>
      </c>
      <c r="AK585" s="13" t="s">
        <v>2416</v>
      </c>
      <c r="AL585" s="13" t="s">
        <v>2077</v>
      </c>
      <c r="AM585" s="13" t="s">
        <v>2077</v>
      </c>
      <c r="AN585" s="13" t="s">
        <v>2077</v>
      </c>
      <c r="AO585" s="13" t="s">
        <v>2077</v>
      </c>
      <c r="AP585" s="13" t="s">
        <v>2077</v>
      </c>
      <c r="AQ585" s="13" t="s">
        <v>2077</v>
      </c>
      <c r="AR585" s="13" t="s">
        <v>2418</v>
      </c>
      <c r="AS585" s="13" t="s">
        <v>2419</v>
      </c>
      <c r="AT585" s="13" t="s">
        <v>2420</v>
      </c>
      <c r="AU585" s="13" t="s">
        <v>2421</v>
      </c>
      <c r="AV585" s="13" t="s">
        <v>2422</v>
      </c>
      <c r="AW585" s="13" t="s">
        <v>2416</v>
      </c>
      <c r="AX585" s="13" t="s">
        <v>2073</v>
      </c>
      <c r="AY585" s="13" t="s">
        <v>2073</v>
      </c>
      <c r="AZ585" s="13" t="s">
        <v>2073</v>
      </c>
      <c r="BA585" s="13" t="s">
        <v>2073</v>
      </c>
      <c r="BB585" s="13" t="s">
        <v>2073</v>
      </c>
      <c r="BC585" s="13" t="s">
        <v>2073</v>
      </c>
    </row>
    <row r="586" spans="1:55" ht="15.75" customHeight="1">
      <c r="A586" s="69">
        <v>1000</v>
      </c>
      <c r="B586" s="7" t="s">
        <v>222</v>
      </c>
      <c r="C586" s="211" t="s">
        <v>2412</v>
      </c>
      <c r="D586" s="13" t="s">
        <v>221</v>
      </c>
      <c r="E586" s="13" t="s">
        <v>216</v>
      </c>
      <c r="F586" s="211" t="s">
        <v>2413</v>
      </c>
      <c r="G586" s="13" t="s">
        <v>2414</v>
      </c>
      <c r="H586" s="13" t="s">
        <v>2077</v>
      </c>
      <c r="I586" s="13" t="s">
        <v>2077</v>
      </c>
      <c r="J586" s="13" t="s">
        <v>2077</v>
      </c>
      <c r="K586" s="13" t="s">
        <v>2077</v>
      </c>
      <c r="L586" s="13" t="s">
        <v>2077</v>
      </c>
      <c r="M586" s="13" t="s">
        <v>2077</v>
      </c>
      <c r="N586" s="211" t="s">
        <v>2415</v>
      </c>
      <c r="O586" s="13" t="s">
        <v>2416</v>
      </c>
      <c r="P586" s="69" t="str">
        <f t="shared" ref="P586:Q586" si="418">D586</f>
        <v>PANELING CNC 3 KMI</v>
      </c>
      <c r="Q586" s="13" t="str">
        <f t="shared" si="418"/>
        <v>1PN</v>
      </c>
      <c r="R586" s="212" t="s">
        <v>23</v>
      </c>
      <c r="S586" s="213">
        <v>0.97916666666666663</v>
      </c>
      <c r="T586" s="13">
        <v>85</v>
      </c>
      <c r="U586" s="211" t="s">
        <v>83</v>
      </c>
      <c r="V586" s="13">
        <v>1</v>
      </c>
      <c r="W586" s="13" t="s">
        <v>2417</v>
      </c>
      <c r="X586" s="13" t="s">
        <v>1924</v>
      </c>
      <c r="Y586" s="13" t="s">
        <v>2073</v>
      </c>
      <c r="Z586" s="13" t="s">
        <v>2073</v>
      </c>
      <c r="AA586" s="13" t="s">
        <v>2073</v>
      </c>
      <c r="AB586" s="13" t="s">
        <v>1924</v>
      </c>
      <c r="AC586" s="211" t="s">
        <v>2415</v>
      </c>
      <c r="AD586" s="13" t="s">
        <v>2416</v>
      </c>
      <c r="AE586" s="69" t="s">
        <v>223</v>
      </c>
      <c r="AF586" s="13" t="s">
        <v>2418</v>
      </c>
      <c r="AG586" s="13" t="s">
        <v>2419</v>
      </c>
      <c r="AH586" s="13" t="s">
        <v>2420</v>
      </c>
      <c r="AI586" s="13" t="s">
        <v>2421</v>
      </c>
      <c r="AJ586" s="13" t="s">
        <v>2422</v>
      </c>
      <c r="AK586" s="13" t="s">
        <v>2416</v>
      </c>
      <c r="AL586" s="13" t="s">
        <v>2077</v>
      </c>
      <c r="AM586" s="13" t="s">
        <v>2077</v>
      </c>
      <c r="AN586" s="13" t="s">
        <v>2077</v>
      </c>
      <c r="AO586" s="13" t="s">
        <v>2077</v>
      </c>
      <c r="AP586" s="13" t="s">
        <v>2077</v>
      </c>
      <c r="AQ586" s="13" t="s">
        <v>2077</v>
      </c>
      <c r="AR586" s="13" t="s">
        <v>2418</v>
      </c>
      <c r="AS586" s="13" t="s">
        <v>2419</v>
      </c>
      <c r="AT586" s="13" t="s">
        <v>2420</v>
      </c>
      <c r="AU586" s="13" t="s">
        <v>2421</v>
      </c>
      <c r="AV586" s="13" t="s">
        <v>2422</v>
      </c>
      <c r="AW586" s="13" t="s">
        <v>2416</v>
      </c>
      <c r="AX586" s="13" t="s">
        <v>2073</v>
      </c>
      <c r="AY586" s="13" t="s">
        <v>2073</v>
      </c>
      <c r="AZ586" s="13" t="s">
        <v>2073</v>
      </c>
      <c r="BA586" s="13" t="s">
        <v>2073</v>
      </c>
      <c r="BB586" s="13" t="s">
        <v>2073</v>
      </c>
      <c r="BC586" s="13" t="s">
        <v>2073</v>
      </c>
    </row>
    <row r="587" spans="1:55" ht="15.75" customHeight="1">
      <c r="A587" s="69">
        <v>1000</v>
      </c>
      <c r="B587" s="7" t="s">
        <v>226</v>
      </c>
      <c r="C587" s="211" t="s">
        <v>2412</v>
      </c>
      <c r="D587" s="13" t="s">
        <v>225</v>
      </c>
      <c r="E587" s="13" t="s">
        <v>216</v>
      </c>
      <c r="F587" s="211" t="s">
        <v>2413</v>
      </c>
      <c r="G587" s="13" t="s">
        <v>2414</v>
      </c>
      <c r="H587" s="13" t="s">
        <v>2077</v>
      </c>
      <c r="I587" s="13" t="s">
        <v>2077</v>
      </c>
      <c r="J587" s="13" t="s">
        <v>2077</v>
      </c>
      <c r="K587" s="13" t="s">
        <v>2077</v>
      </c>
      <c r="L587" s="13" t="s">
        <v>2077</v>
      </c>
      <c r="M587" s="13" t="s">
        <v>2077</v>
      </c>
      <c r="N587" s="211" t="s">
        <v>2415</v>
      </c>
      <c r="O587" s="13" t="s">
        <v>2416</v>
      </c>
      <c r="P587" s="69" t="str">
        <f t="shared" ref="P587:Q587" si="419">D587</f>
        <v>PANELING CNC 4 KMI</v>
      </c>
      <c r="Q587" s="13" t="str">
        <f t="shared" si="419"/>
        <v>1PN</v>
      </c>
      <c r="R587" s="212" t="s">
        <v>23</v>
      </c>
      <c r="S587" s="213">
        <v>0.97916666666666663</v>
      </c>
      <c r="T587" s="13">
        <v>85</v>
      </c>
      <c r="U587" s="211" t="s">
        <v>83</v>
      </c>
      <c r="V587" s="13">
        <v>1</v>
      </c>
      <c r="W587" s="13" t="s">
        <v>2417</v>
      </c>
      <c r="X587" s="13" t="s">
        <v>1924</v>
      </c>
      <c r="Y587" s="13" t="s">
        <v>2073</v>
      </c>
      <c r="Z587" s="13" t="s">
        <v>2073</v>
      </c>
      <c r="AA587" s="13" t="s">
        <v>2073</v>
      </c>
      <c r="AB587" s="13" t="s">
        <v>1924</v>
      </c>
      <c r="AC587" s="211" t="s">
        <v>2415</v>
      </c>
      <c r="AD587" s="13" t="s">
        <v>2416</v>
      </c>
      <c r="AE587" s="69" t="s">
        <v>223</v>
      </c>
      <c r="AF587" s="13" t="s">
        <v>2418</v>
      </c>
      <c r="AG587" s="13" t="s">
        <v>2419</v>
      </c>
      <c r="AH587" s="13" t="s">
        <v>2420</v>
      </c>
      <c r="AI587" s="13" t="s">
        <v>2421</v>
      </c>
      <c r="AJ587" s="13" t="s">
        <v>2422</v>
      </c>
      <c r="AK587" s="13" t="s">
        <v>2416</v>
      </c>
      <c r="AL587" s="13" t="s">
        <v>2077</v>
      </c>
      <c r="AM587" s="13" t="s">
        <v>2077</v>
      </c>
      <c r="AN587" s="13" t="s">
        <v>2077</v>
      </c>
      <c r="AO587" s="13" t="s">
        <v>2077</v>
      </c>
      <c r="AP587" s="13" t="s">
        <v>2077</v>
      </c>
      <c r="AQ587" s="13" t="s">
        <v>2077</v>
      </c>
      <c r="AR587" s="13" t="s">
        <v>2418</v>
      </c>
      <c r="AS587" s="13" t="s">
        <v>2419</v>
      </c>
      <c r="AT587" s="13" t="s">
        <v>2420</v>
      </c>
      <c r="AU587" s="13" t="s">
        <v>2421</v>
      </c>
      <c r="AV587" s="13" t="s">
        <v>2422</v>
      </c>
      <c r="AW587" s="13" t="s">
        <v>2416</v>
      </c>
      <c r="AX587" s="13" t="s">
        <v>2073</v>
      </c>
      <c r="AY587" s="13" t="s">
        <v>2073</v>
      </c>
      <c r="AZ587" s="13" t="s">
        <v>2073</v>
      </c>
      <c r="BA587" s="13" t="s">
        <v>2073</v>
      </c>
      <c r="BB587" s="13" t="s">
        <v>2073</v>
      </c>
      <c r="BC587" s="13" t="s">
        <v>2073</v>
      </c>
    </row>
    <row r="588" spans="1:55" ht="15.75" customHeight="1">
      <c r="A588" s="69">
        <v>1000</v>
      </c>
      <c r="B588" s="7" t="s">
        <v>230</v>
      </c>
      <c r="C588" s="211" t="s">
        <v>2412</v>
      </c>
      <c r="D588" s="13" t="s">
        <v>229</v>
      </c>
      <c r="E588" s="13" t="s">
        <v>216</v>
      </c>
      <c r="F588" s="211" t="s">
        <v>2413</v>
      </c>
      <c r="G588" s="13" t="s">
        <v>2414</v>
      </c>
      <c r="H588" s="13" t="s">
        <v>2077</v>
      </c>
      <c r="I588" s="13" t="s">
        <v>2077</v>
      </c>
      <c r="J588" s="13" t="s">
        <v>2077</v>
      </c>
      <c r="K588" s="13" t="s">
        <v>2077</v>
      </c>
      <c r="L588" s="13" t="s">
        <v>2077</v>
      </c>
      <c r="M588" s="13" t="s">
        <v>2077</v>
      </c>
      <c r="N588" s="211" t="s">
        <v>2415</v>
      </c>
      <c r="O588" s="13" t="s">
        <v>2416</v>
      </c>
      <c r="P588" s="69" t="str">
        <f t="shared" ref="P588:Q588" si="420">D588</f>
        <v>JOSTING   PANELING KMI</v>
      </c>
      <c r="Q588" s="13" t="str">
        <f t="shared" si="420"/>
        <v>1PN</v>
      </c>
      <c r="R588" s="212" t="s">
        <v>23</v>
      </c>
      <c r="S588" s="213">
        <v>0.97916666666666663</v>
      </c>
      <c r="T588" s="13">
        <v>85</v>
      </c>
      <c r="U588" s="211" t="s">
        <v>83</v>
      </c>
      <c r="V588" s="13">
        <v>1</v>
      </c>
      <c r="W588" s="13" t="s">
        <v>2417</v>
      </c>
      <c r="X588" s="13" t="s">
        <v>1924</v>
      </c>
      <c r="Y588" s="13" t="s">
        <v>2073</v>
      </c>
      <c r="Z588" s="13" t="s">
        <v>2073</v>
      </c>
      <c r="AA588" s="13" t="s">
        <v>2073</v>
      </c>
      <c r="AB588" s="13" t="s">
        <v>1924</v>
      </c>
      <c r="AC588" s="211" t="s">
        <v>2415</v>
      </c>
      <c r="AD588" s="13" t="s">
        <v>2416</v>
      </c>
      <c r="AE588" s="69" t="s">
        <v>231</v>
      </c>
      <c r="AF588" s="13" t="s">
        <v>2418</v>
      </c>
      <c r="AG588" s="13" t="s">
        <v>2419</v>
      </c>
      <c r="AH588" s="13" t="s">
        <v>2420</v>
      </c>
      <c r="AI588" s="13" t="s">
        <v>2421</v>
      </c>
      <c r="AJ588" s="13" t="s">
        <v>2422</v>
      </c>
      <c r="AK588" s="13" t="s">
        <v>2416</v>
      </c>
      <c r="AL588" s="13" t="s">
        <v>2077</v>
      </c>
      <c r="AM588" s="13" t="s">
        <v>2077</v>
      </c>
      <c r="AN588" s="13" t="s">
        <v>2077</v>
      </c>
      <c r="AO588" s="13" t="s">
        <v>2077</v>
      </c>
      <c r="AP588" s="13" t="s">
        <v>2077</v>
      </c>
      <c r="AQ588" s="13" t="s">
        <v>2077</v>
      </c>
      <c r="AR588" s="13" t="s">
        <v>2418</v>
      </c>
      <c r="AS588" s="13" t="s">
        <v>2419</v>
      </c>
      <c r="AT588" s="13" t="s">
        <v>2420</v>
      </c>
      <c r="AU588" s="13" t="s">
        <v>2421</v>
      </c>
      <c r="AV588" s="13" t="s">
        <v>2422</v>
      </c>
      <c r="AW588" s="13" t="s">
        <v>2416</v>
      </c>
      <c r="AX588" s="13" t="s">
        <v>2073</v>
      </c>
      <c r="AY588" s="13" t="s">
        <v>2073</v>
      </c>
      <c r="AZ588" s="13" t="s">
        <v>2073</v>
      </c>
      <c r="BA588" s="13" t="s">
        <v>2073</v>
      </c>
      <c r="BB588" s="13" t="s">
        <v>2073</v>
      </c>
      <c r="BC588" s="13" t="s">
        <v>2073</v>
      </c>
    </row>
    <row r="589" spans="1:55" ht="15.75" customHeight="1">
      <c r="A589" s="69">
        <v>1000</v>
      </c>
      <c r="B589" s="7" t="s">
        <v>234</v>
      </c>
      <c r="C589" s="211" t="s">
        <v>2412</v>
      </c>
      <c r="D589" s="13" t="s">
        <v>233</v>
      </c>
      <c r="E589" s="13" t="s">
        <v>216</v>
      </c>
      <c r="F589" s="211" t="s">
        <v>2413</v>
      </c>
      <c r="G589" s="13" t="s">
        <v>2414</v>
      </c>
      <c r="H589" s="13" t="s">
        <v>2077</v>
      </c>
      <c r="I589" s="13" t="s">
        <v>2077</v>
      </c>
      <c r="J589" s="13" t="s">
        <v>2077</v>
      </c>
      <c r="K589" s="13" t="s">
        <v>2077</v>
      </c>
      <c r="L589" s="13" t="s">
        <v>2077</v>
      </c>
      <c r="M589" s="13" t="s">
        <v>2077</v>
      </c>
      <c r="N589" s="211" t="s">
        <v>2415</v>
      </c>
      <c r="O589" s="13" t="s">
        <v>2416</v>
      </c>
      <c r="P589" s="69" t="str">
        <f t="shared" ref="P589:Q589" si="421">D589</f>
        <v>KUPER 1</v>
      </c>
      <c r="Q589" s="13" t="str">
        <f t="shared" si="421"/>
        <v>1PN</v>
      </c>
      <c r="R589" s="212" t="s">
        <v>23</v>
      </c>
      <c r="S589" s="212" t="s">
        <v>23</v>
      </c>
      <c r="T589" s="13">
        <v>85</v>
      </c>
      <c r="U589" s="211" t="s">
        <v>236</v>
      </c>
      <c r="V589" s="13">
        <v>1</v>
      </c>
      <c r="W589" s="13" t="s">
        <v>2417</v>
      </c>
      <c r="X589" s="13" t="s">
        <v>1924</v>
      </c>
      <c r="Y589" s="13" t="s">
        <v>2073</v>
      </c>
      <c r="Z589" s="13" t="s">
        <v>2073</v>
      </c>
      <c r="AA589" s="13" t="s">
        <v>2073</v>
      </c>
      <c r="AB589" s="13" t="s">
        <v>1924</v>
      </c>
      <c r="AC589" s="211" t="s">
        <v>2415</v>
      </c>
      <c r="AD589" s="13" t="s">
        <v>2416</v>
      </c>
      <c r="AE589" s="69" t="s">
        <v>235</v>
      </c>
      <c r="AF589" s="13" t="s">
        <v>2418</v>
      </c>
      <c r="AG589" s="13" t="s">
        <v>2419</v>
      </c>
      <c r="AH589" s="13" t="s">
        <v>2420</v>
      </c>
      <c r="AI589" s="13" t="s">
        <v>2421</v>
      </c>
      <c r="AJ589" s="13" t="s">
        <v>2422</v>
      </c>
      <c r="AK589" s="13" t="s">
        <v>2416</v>
      </c>
      <c r="AL589" s="13" t="s">
        <v>2077</v>
      </c>
      <c r="AM589" s="13" t="s">
        <v>2077</v>
      </c>
      <c r="AN589" s="13" t="s">
        <v>2077</v>
      </c>
      <c r="AO589" s="13" t="s">
        <v>2077</v>
      </c>
      <c r="AP589" s="13" t="s">
        <v>2077</v>
      </c>
      <c r="AQ589" s="13" t="s">
        <v>2077</v>
      </c>
      <c r="AR589" s="13" t="s">
        <v>2418</v>
      </c>
      <c r="AS589" s="13" t="s">
        <v>2419</v>
      </c>
      <c r="AT589" s="13" t="s">
        <v>2420</v>
      </c>
      <c r="AU589" s="13" t="s">
        <v>2421</v>
      </c>
      <c r="AV589" s="13" t="s">
        <v>2422</v>
      </c>
      <c r="AW589" s="13" t="s">
        <v>2416</v>
      </c>
      <c r="AX589" s="13" t="s">
        <v>2073</v>
      </c>
      <c r="AY589" s="13" t="s">
        <v>2073</v>
      </c>
      <c r="AZ589" s="13" t="s">
        <v>2073</v>
      </c>
      <c r="BA589" s="13" t="s">
        <v>2073</v>
      </c>
      <c r="BB589" s="13" t="s">
        <v>2073</v>
      </c>
      <c r="BC589" s="13" t="s">
        <v>2073</v>
      </c>
    </row>
    <row r="590" spans="1:55" ht="15.75" customHeight="1">
      <c r="A590" s="69">
        <v>1000</v>
      </c>
      <c r="B590" s="7" t="s">
        <v>239</v>
      </c>
      <c r="C590" s="211" t="s">
        <v>2412</v>
      </c>
      <c r="D590" s="13" t="s">
        <v>238</v>
      </c>
      <c r="E590" s="13" t="s">
        <v>216</v>
      </c>
      <c r="F590" s="211" t="s">
        <v>2413</v>
      </c>
      <c r="G590" s="13" t="s">
        <v>2414</v>
      </c>
      <c r="H590" s="13" t="s">
        <v>2077</v>
      </c>
      <c r="I590" s="13" t="s">
        <v>2077</v>
      </c>
      <c r="J590" s="13" t="s">
        <v>2077</v>
      </c>
      <c r="K590" s="13" t="s">
        <v>2077</v>
      </c>
      <c r="L590" s="13" t="s">
        <v>2077</v>
      </c>
      <c r="M590" s="13" t="s">
        <v>2077</v>
      </c>
      <c r="N590" s="211" t="s">
        <v>2415</v>
      </c>
      <c r="O590" s="13" t="s">
        <v>2416</v>
      </c>
      <c r="P590" s="69" t="str">
        <f t="shared" ref="P590:Q590" si="422">D590</f>
        <v>KUPER 2</v>
      </c>
      <c r="Q590" s="13" t="str">
        <f t="shared" si="422"/>
        <v>1PN</v>
      </c>
      <c r="R590" s="212" t="s">
        <v>23</v>
      </c>
      <c r="S590" s="212" t="s">
        <v>23</v>
      </c>
      <c r="T590" s="13">
        <v>85</v>
      </c>
      <c r="U590" s="211" t="s">
        <v>236</v>
      </c>
      <c r="V590" s="13">
        <v>1</v>
      </c>
      <c r="W590" s="13" t="s">
        <v>2417</v>
      </c>
      <c r="X590" s="13" t="s">
        <v>1924</v>
      </c>
      <c r="Y590" s="13" t="s">
        <v>2073</v>
      </c>
      <c r="Z590" s="13" t="s">
        <v>2073</v>
      </c>
      <c r="AA590" s="13" t="s">
        <v>2073</v>
      </c>
      <c r="AB590" s="13" t="s">
        <v>1924</v>
      </c>
      <c r="AC590" s="211" t="s">
        <v>2415</v>
      </c>
      <c r="AD590" s="13" t="s">
        <v>2416</v>
      </c>
      <c r="AE590" s="69" t="s">
        <v>235</v>
      </c>
      <c r="AF590" s="13" t="s">
        <v>2418</v>
      </c>
      <c r="AG590" s="13" t="s">
        <v>2419</v>
      </c>
      <c r="AH590" s="13" t="s">
        <v>2420</v>
      </c>
      <c r="AI590" s="13" t="s">
        <v>2421</v>
      </c>
      <c r="AJ590" s="13" t="s">
        <v>2422</v>
      </c>
      <c r="AK590" s="13" t="s">
        <v>2416</v>
      </c>
      <c r="AL590" s="13" t="s">
        <v>2077</v>
      </c>
      <c r="AM590" s="13" t="s">
        <v>2077</v>
      </c>
      <c r="AN590" s="13" t="s">
        <v>2077</v>
      </c>
      <c r="AO590" s="13" t="s">
        <v>2077</v>
      </c>
      <c r="AP590" s="13" t="s">
        <v>2077</v>
      </c>
      <c r="AQ590" s="13" t="s">
        <v>2077</v>
      </c>
      <c r="AR590" s="13" t="s">
        <v>2418</v>
      </c>
      <c r="AS590" s="13" t="s">
        <v>2419</v>
      </c>
      <c r="AT590" s="13" t="s">
        <v>2420</v>
      </c>
      <c r="AU590" s="13" t="s">
        <v>2421</v>
      </c>
      <c r="AV590" s="13" t="s">
        <v>2422</v>
      </c>
      <c r="AW590" s="13" t="s">
        <v>2416</v>
      </c>
      <c r="AX590" s="13" t="s">
        <v>2073</v>
      </c>
      <c r="AY590" s="13" t="s">
        <v>2073</v>
      </c>
      <c r="AZ590" s="13" t="s">
        <v>2073</v>
      </c>
      <c r="BA590" s="13" t="s">
        <v>2073</v>
      </c>
      <c r="BB590" s="13" t="s">
        <v>2073</v>
      </c>
      <c r="BC590" s="13" t="s">
        <v>2073</v>
      </c>
    </row>
    <row r="591" spans="1:55" ht="15.75" customHeight="1">
      <c r="A591" s="69">
        <v>1000</v>
      </c>
      <c r="B591" s="7" t="s">
        <v>242</v>
      </c>
      <c r="C591" s="211" t="s">
        <v>2412</v>
      </c>
      <c r="D591" s="13" t="s">
        <v>241</v>
      </c>
      <c r="E591" s="13" t="s">
        <v>216</v>
      </c>
      <c r="F591" s="211" t="s">
        <v>2413</v>
      </c>
      <c r="G591" s="13" t="s">
        <v>2414</v>
      </c>
      <c r="H591" s="13" t="s">
        <v>2077</v>
      </c>
      <c r="I591" s="13" t="s">
        <v>2077</v>
      </c>
      <c r="J591" s="13" t="s">
        <v>2077</v>
      </c>
      <c r="K591" s="13" t="s">
        <v>2077</v>
      </c>
      <c r="L591" s="13" t="s">
        <v>2077</v>
      </c>
      <c r="M591" s="13" t="s">
        <v>2077</v>
      </c>
      <c r="N591" s="211" t="s">
        <v>2415</v>
      </c>
      <c r="O591" s="13" t="s">
        <v>2416</v>
      </c>
      <c r="P591" s="69" t="str">
        <f t="shared" ref="P591:Q591" si="423">D591</f>
        <v>KUPER 3 ( BENANG )</v>
      </c>
      <c r="Q591" s="13" t="str">
        <f t="shared" si="423"/>
        <v>1PN</v>
      </c>
      <c r="R591" s="212" t="s">
        <v>23</v>
      </c>
      <c r="S591" s="213">
        <v>0.64583333333333337</v>
      </c>
      <c r="T591" s="13">
        <v>85</v>
      </c>
      <c r="U591" s="211" t="s">
        <v>24</v>
      </c>
      <c r="V591" s="13">
        <v>1</v>
      </c>
      <c r="W591" s="13" t="s">
        <v>2417</v>
      </c>
      <c r="X591" s="13" t="s">
        <v>1924</v>
      </c>
      <c r="Y591" s="13" t="s">
        <v>2073</v>
      </c>
      <c r="Z591" s="13" t="s">
        <v>2073</v>
      </c>
      <c r="AA591" s="13" t="s">
        <v>2073</v>
      </c>
      <c r="AB591" s="13" t="s">
        <v>1924</v>
      </c>
      <c r="AC591" s="211" t="s">
        <v>2415</v>
      </c>
      <c r="AD591" s="13" t="s">
        <v>2416</v>
      </c>
      <c r="AE591" s="69" t="s">
        <v>243</v>
      </c>
      <c r="AF591" s="13" t="s">
        <v>2418</v>
      </c>
      <c r="AG591" s="13" t="s">
        <v>2419</v>
      </c>
      <c r="AH591" s="13" t="s">
        <v>2420</v>
      </c>
      <c r="AI591" s="13" t="s">
        <v>2421</v>
      </c>
      <c r="AJ591" s="13" t="s">
        <v>2422</v>
      </c>
      <c r="AK591" s="13" t="s">
        <v>2416</v>
      </c>
      <c r="AL591" s="13" t="s">
        <v>2077</v>
      </c>
      <c r="AM591" s="13" t="s">
        <v>2077</v>
      </c>
      <c r="AN591" s="13" t="s">
        <v>2077</v>
      </c>
      <c r="AO591" s="13" t="s">
        <v>2077</v>
      </c>
      <c r="AP591" s="13" t="s">
        <v>2077</v>
      </c>
      <c r="AQ591" s="13" t="s">
        <v>2077</v>
      </c>
      <c r="AR591" s="13" t="s">
        <v>2418</v>
      </c>
      <c r="AS591" s="13" t="s">
        <v>2419</v>
      </c>
      <c r="AT591" s="13" t="s">
        <v>2420</v>
      </c>
      <c r="AU591" s="13" t="s">
        <v>2421</v>
      </c>
      <c r="AV591" s="13" t="s">
        <v>2422</v>
      </c>
      <c r="AW591" s="13" t="s">
        <v>2416</v>
      </c>
      <c r="AX591" s="13" t="s">
        <v>2073</v>
      </c>
      <c r="AY591" s="13" t="s">
        <v>2073</v>
      </c>
      <c r="AZ591" s="13" t="s">
        <v>2073</v>
      </c>
      <c r="BA591" s="13" t="s">
        <v>2073</v>
      </c>
      <c r="BB591" s="13" t="s">
        <v>2073</v>
      </c>
      <c r="BC591" s="13" t="s">
        <v>2073</v>
      </c>
    </row>
    <row r="592" spans="1:55" ht="15.75" customHeight="1">
      <c r="A592" s="69">
        <v>1000</v>
      </c>
      <c r="B592" s="7" t="s">
        <v>246</v>
      </c>
      <c r="C592" s="211" t="s">
        <v>2412</v>
      </c>
      <c r="D592" s="13" t="s">
        <v>245</v>
      </c>
      <c r="E592" s="13" t="s">
        <v>216</v>
      </c>
      <c r="F592" s="211" t="s">
        <v>2413</v>
      </c>
      <c r="G592" s="13" t="s">
        <v>2414</v>
      </c>
      <c r="H592" s="13" t="s">
        <v>2077</v>
      </c>
      <c r="I592" s="13" t="s">
        <v>2077</v>
      </c>
      <c r="J592" s="13" t="s">
        <v>2077</v>
      </c>
      <c r="K592" s="13" t="s">
        <v>2077</v>
      </c>
      <c r="L592" s="13" t="s">
        <v>2077</v>
      </c>
      <c r="M592" s="13" t="s">
        <v>2077</v>
      </c>
      <c r="N592" s="211" t="s">
        <v>2415</v>
      </c>
      <c r="O592" s="13" t="s">
        <v>2416</v>
      </c>
      <c r="P592" s="69" t="str">
        <f t="shared" ref="P592:Q592" si="424">D592</f>
        <v>SINGLE RIP</v>
      </c>
      <c r="Q592" s="13" t="str">
        <f t="shared" si="424"/>
        <v>1PN</v>
      </c>
      <c r="R592" s="212" t="s">
        <v>23</v>
      </c>
      <c r="S592" s="213">
        <v>0.64583333333333337</v>
      </c>
      <c r="T592" s="13">
        <v>85</v>
      </c>
      <c r="U592" s="211" t="s">
        <v>24</v>
      </c>
      <c r="V592" s="13">
        <v>1</v>
      </c>
      <c r="W592" s="13" t="s">
        <v>2417</v>
      </c>
      <c r="X592" s="13" t="s">
        <v>1924</v>
      </c>
      <c r="Y592" s="13" t="s">
        <v>2073</v>
      </c>
      <c r="Z592" s="13" t="s">
        <v>2073</v>
      </c>
      <c r="AA592" s="13" t="s">
        <v>2073</v>
      </c>
      <c r="AB592" s="13" t="s">
        <v>1924</v>
      </c>
      <c r="AC592" s="211" t="s">
        <v>2415</v>
      </c>
      <c r="AD592" s="13" t="s">
        <v>2416</v>
      </c>
      <c r="AE592" s="69" t="s">
        <v>243</v>
      </c>
      <c r="AF592" s="13" t="s">
        <v>2418</v>
      </c>
      <c r="AG592" s="13" t="s">
        <v>2419</v>
      </c>
      <c r="AH592" s="13" t="s">
        <v>2420</v>
      </c>
      <c r="AI592" s="13" t="s">
        <v>2421</v>
      </c>
      <c r="AJ592" s="13" t="s">
        <v>2422</v>
      </c>
      <c r="AK592" s="13" t="s">
        <v>2416</v>
      </c>
      <c r="AL592" s="13" t="s">
        <v>2077</v>
      </c>
      <c r="AM592" s="13" t="s">
        <v>2077</v>
      </c>
      <c r="AN592" s="13" t="s">
        <v>2077</v>
      </c>
      <c r="AO592" s="13" t="s">
        <v>2077</v>
      </c>
      <c r="AP592" s="13" t="s">
        <v>2077</v>
      </c>
      <c r="AQ592" s="13" t="s">
        <v>2077</v>
      </c>
      <c r="AR592" s="13" t="s">
        <v>2418</v>
      </c>
      <c r="AS592" s="13" t="s">
        <v>2419</v>
      </c>
      <c r="AT592" s="13" t="s">
        <v>2420</v>
      </c>
      <c r="AU592" s="13" t="s">
        <v>2421</v>
      </c>
      <c r="AV592" s="13" t="s">
        <v>2422</v>
      </c>
      <c r="AW592" s="13" t="s">
        <v>2416</v>
      </c>
      <c r="AX592" s="13" t="s">
        <v>2073</v>
      </c>
      <c r="AY592" s="13" t="s">
        <v>2073</v>
      </c>
      <c r="AZ592" s="13" t="s">
        <v>2073</v>
      </c>
      <c r="BA592" s="13" t="s">
        <v>2073</v>
      </c>
      <c r="BB592" s="13" t="s">
        <v>2073</v>
      </c>
      <c r="BC592" s="13" t="s">
        <v>2073</v>
      </c>
    </row>
    <row r="593" spans="1:55" ht="15.75" customHeight="1">
      <c r="A593" s="69">
        <v>1000</v>
      </c>
      <c r="B593" s="7" t="s">
        <v>250</v>
      </c>
      <c r="C593" s="211" t="s">
        <v>2412</v>
      </c>
      <c r="D593" s="13" t="s">
        <v>249</v>
      </c>
      <c r="E593" s="13" t="s">
        <v>216</v>
      </c>
      <c r="F593" s="211" t="s">
        <v>2413</v>
      </c>
      <c r="G593" s="13" t="s">
        <v>2414</v>
      </c>
      <c r="H593" s="13" t="s">
        <v>2077</v>
      </c>
      <c r="I593" s="13" t="s">
        <v>2077</v>
      </c>
      <c r="J593" s="13" t="s">
        <v>2077</v>
      </c>
      <c r="K593" s="13" t="s">
        <v>2077</v>
      </c>
      <c r="L593" s="13" t="s">
        <v>2077</v>
      </c>
      <c r="M593" s="13" t="s">
        <v>2077</v>
      </c>
      <c r="N593" s="211" t="s">
        <v>2415</v>
      </c>
      <c r="O593" s="13" t="s">
        <v>2416</v>
      </c>
      <c r="P593" s="69" t="str">
        <f t="shared" ref="P593:Q593" si="425">D593</f>
        <v>LASER 1  KMI</v>
      </c>
      <c r="Q593" s="13" t="str">
        <f t="shared" si="425"/>
        <v>1PN</v>
      </c>
      <c r="R593" s="212" t="s">
        <v>23</v>
      </c>
      <c r="S593" s="212" t="s">
        <v>252</v>
      </c>
      <c r="T593" s="13">
        <v>85</v>
      </c>
      <c r="U593" s="211" t="s">
        <v>83</v>
      </c>
      <c r="V593" s="13">
        <v>1</v>
      </c>
      <c r="W593" s="13" t="s">
        <v>2417</v>
      </c>
      <c r="X593" s="13" t="s">
        <v>1924</v>
      </c>
      <c r="Y593" s="13" t="s">
        <v>2073</v>
      </c>
      <c r="Z593" s="13" t="s">
        <v>2073</v>
      </c>
      <c r="AA593" s="13" t="s">
        <v>2073</v>
      </c>
      <c r="AB593" s="13" t="s">
        <v>1924</v>
      </c>
      <c r="AC593" s="211" t="s">
        <v>2415</v>
      </c>
      <c r="AD593" s="13" t="s">
        <v>2416</v>
      </c>
      <c r="AE593" s="69">
        <v>1111034003</v>
      </c>
      <c r="AF593" s="13" t="s">
        <v>2418</v>
      </c>
      <c r="AG593" s="13" t="s">
        <v>2419</v>
      </c>
      <c r="AH593" s="13" t="s">
        <v>2420</v>
      </c>
      <c r="AI593" s="13" t="s">
        <v>2421</v>
      </c>
      <c r="AJ593" s="13" t="s">
        <v>2422</v>
      </c>
      <c r="AK593" s="13" t="s">
        <v>2416</v>
      </c>
      <c r="AL593" s="13" t="s">
        <v>2077</v>
      </c>
      <c r="AM593" s="13" t="s">
        <v>2077</v>
      </c>
      <c r="AN593" s="13" t="s">
        <v>2077</v>
      </c>
      <c r="AO593" s="13" t="s">
        <v>2077</v>
      </c>
      <c r="AP593" s="13" t="s">
        <v>2077</v>
      </c>
      <c r="AQ593" s="13" t="s">
        <v>2077</v>
      </c>
      <c r="AR593" s="13" t="s">
        <v>2418</v>
      </c>
      <c r="AS593" s="13" t="s">
        <v>2419</v>
      </c>
      <c r="AT593" s="13" t="s">
        <v>2420</v>
      </c>
      <c r="AU593" s="13" t="s">
        <v>2421</v>
      </c>
      <c r="AV593" s="13" t="s">
        <v>2422</v>
      </c>
      <c r="AW593" s="13" t="s">
        <v>2416</v>
      </c>
      <c r="AX593" s="13" t="s">
        <v>2073</v>
      </c>
      <c r="AY593" s="13" t="s">
        <v>2073</v>
      </c>
      <c r="AZ593" s="13" t="s">
        <v>2073</v>
      </c>
      <c r="BA593" s="13" t="s">
        <v>2073</v>
      </c>
      <c r="BB593" s="13" t="s">
        <v>2073</v>
      </c>
      <c r="BC593" s="13" t="s">
        <v>2073</v>
      </c>
    </row>
    <row r="594" spans="1:55" ht="15.75" customHeight="1">
      <c r="A594" s="69">
        <v>1000</v>
      </c>
      <c r="B594" s="7" t="s">
        <v>255</v>
      </c>
      <c r="C594" s="211" t="s">
        <v>2412</v>
      </c>
      <c r="D594" s="13" t="s">
        <v>254</v>
      </c>
      <c r="E594" s="13" t="s">
        <v>216</v>
      </c>
      <c r="F594" s="211" t="s">
        <v>2413</v>
      </c>
      <c r="G594" s="13" t="s">
        <v>2414</v>
      </c>
      <c r="H594" s="13" t="s">
        <v>2077</v>
      </c>
      <c r="I594" s="13" t="s">
        <v>2077</v>
      </c>
      <c r="J594" s="13" t="s">
        <v>2077</v>
      </c>
      <c r="K594" s="13" t="s">
        <v>2077</v>
      </c>
      <c r="L594" s="13" t="s">
        <v>2077</v>
      </c>
      <c r="M594" s="13" t="s">
        <v>2077</v>
      </c>
      <c r="N594" s="211" t="s">
        <v>2415</v>
      </c>
      <c r="O594" s="13" t="s">
        <v>2416</v>
      </c>
      <c r="P594" s="69" t="str">
        <f t="shared" ref="P594:Q594" si="426">D594</f>
        <v>MANUAL MOTIF JOINT</v>
      </c>
      <c r="Q594" s="13" t="str">
        <f t="shared" si="426"/>
        <v>1PN</v>
      </c>
      <c r="R594" s="212" t="s">
        <v>23</v>
      </c>
      <c r="S594" s="212" t="s">
        <v>252</v>
      </c>
      <c r="T594" s="13">
        <v>85</v>
      </c>
      <c r="U594" s="211" t="s">
        <v>83</v>
      </c>
      <c r="V594" s="13">
        <v>1</v>
      </c>
      <c r="W594" s="13" t="s">
        <v>2417</v>
      </c>
      <c r="X594" s="13" t="s">
        <v>1924</v>
      </c>
      <c r="Y594" s="13" t="s">
        <v>2073</v>
      </c>
      <c r="Z594" s="13" t="s">
        <v>2073</v>
      </c>
      <c r="AA594" s="13" t="s">
        <v>2073</v>
      </c>
      <c r="AB594" s="13" t="s">
        <v>1924</v>
      </c>
      <c r="AC594" s="211" t="s">
        <v>2415</v>
      </c>
      <c r="AD594" s="13" t="s">
        <v>2416</v>
      </c>
      <c r="AE594" s="69" t="s">
        <v>2250</v>
      </c>
      <c r="AF594" s="13" t="s">
        <v>2418</v>
      </c>
      <c r="AG594" s="13" t="s">
        <v>2419</v>
      </c>
      <c r="AH594" s="13" t="s">
        <v>2420</v>
      </c>
      <c r="AI594" s="13" t="s">
        <v>2421</v>
      </c>
      <c r="AJ594" s="13" t="s">
        <v>2422</v>
      </c>
      <c r="AK594" s="13" t="s">
        <v>2416</v>
      </c>
      <c r="AL594" s="13" t="s">
        <v>2077</v>
      </c>
      <c r="AM594" s="13" t="s">
        <v>2077</v>
      </c>
      <c r="AN594" s="13" t="s">
        <v>2077</v>
      </c>
      <c r="AO594" s="13" t="s">
        <v>2077</v>
      </c>
      <c r="AP594" s="13" t="s">
        <v>2077</v>
      </c>
      <c r="AQ594" s="13" t="s">
        <v>2077</v>
      </c>
      <c r="AR594" s="13" t="s">
        <v>2418</v>
      </c>
      <c r="AS594" s="13" t="s">
        <v>2419</v>
      </c>
      <c r="AT594" s="13" t="s">
        <v>2420</v>
      </c>
      <c r="AU594" s="13" t="s">
        <v>2421</v>
      </c>
      <c r="AV594" s="13" t="s">
        <v>2422</v>
      </c>
      <c r="AW594" s="13" t="s">
        <v>2416</v>
      </c>
      <c r="AX594" s="13" t="s">
        <v>2073</v>
      </c>
      <c r="AY594" s="13" t="s">
        <v>2073</v>
      </c>
      <c r="AZ594" s="13" t="s">
        <v>2073</v>
      </c>
      <c r="BA594" s="13" t="s">
        <v>2073</v>
      </c>
      <c r="BB594" s="13" t="s">
        <v>2073</v>
      </c>
      <c r="BC594" s="13" t="s">
        <v>2073</v>
      </c>
    </row>
    <row r="595" spans="1:55" ht="15.75" customHeight="1">
      <c r="A595" s="69">
        <v>1000</v>
      </c>
      <c r="B595" s="7" t="s">
        <v>261</v>
      </c>
      <c r="C595" s="211" t="s">
        <v>2412</v>
      </c>
      <c r="D595" s="13" t="s">
        <v>260</v>
      </c>
      <c r="E595" s="13" t="s">
        <v>216</v>
      </c>
      <c r="F595" s="211" t="s">
        <v>2413</v>
      </c>
      <c r="G595" s="13" t="s">
        <v>2414</v>
      </c>
      <c r="H595" s="13" t="s">
        <v>2077</v>
      </c>
      <c r="I595" s="13" t="s">
        <v>2077</v>
      </c>
      <c r="J595" s="13" t="s">
        <v>2077</v>
      </c>
      <c r="K595" s="13" t="s">
        <v>2077</v>
      </c>
      <c r="L595" s="13" t="s">
        <v>2077</v>
      </c>
      <c r="M595" s="13" t="s">
        <v>2077</v>
      </c>
      <c r="N595" s="211" t="s">
        <v>2415</v>
      </c>
      <c r="O595" s="13" t="s">
        <v>2416</v>
      </c>
      <c r="P595" s="69" t="str">
        <f t="shared" ref="P595:Q595" si="427">D595</f>
        <v>NHF VINITA   KMI</v>
      </c>
      <c r="Q595" s="13" t="str">
        <f t="shared" si="427"/>
        <v>1PN</v>
      </c>
      <c r="R595" s="212" t="s">
        <v>23</v>
      </c>
      <c r="S595" s="213">
        <v>0.97916666666666663</v>
      </c>
      <c r="T595" s="13">
        <v>85</v>
      </c>
      <c r="U595" s="211" t="s">
        <v>83</v>
      </c>
      <c r="V595" s="13">
        <v>1</v>
      </c>
      <c r="W595" s="13" t="s">
        <v>2417</v>
      </c>
      <c r="X595" s="13" t="s">
        <v>1924</v>
      </c>
      <c r="Y595" s="13" t="s">
        <v>2073</v>
      </c>
      <c r="Z595" s="13" t="s">
        <v>2073</v>
      </c>
      <c r="AA595" s="13" t="s">
        <v>2073</v>
      </c>
      <c r="AB595" s="13" t="s">
        <v>1924</v>
      </c>
      <c r="AC595" s="211" t="s">
        <v>2415</v>
      </c>
      <c r="AD595" s="13" t="s">
        <v>2416</v>
      </c>
      <c r="AE595" s="69" t="s">
        <v>262</v>
      </c>
      <c r="AF595" s="13" t="s">
        <v>2418</v>
      </c>
      <c r="AG595" s="13" t="s">
        <v>2419</v>
      </c>
      <c r="AH595" s="13" t="s">
        <v>2420</v>
      </c>
      <c r="AI595" s="13" t="s">
        <v>2421</v>
      </c>
      <c r="AJ595" s="13" t="s">
        <v>2422</v>
      </c>
      <c r="AK595" s="13" t="s">
        <v>2416</v>
      </c>
      <c r="AL595" s="13" t="s">
        <v>2077</v>
      </c>
      <c r="AM595" s="13" t="s">
        <v>2077</v>
      </c>
      <c r="AN595" s="13" t="s">
        <v>2077</v>
      </c>
      <c r="AO595" s="13" t="s">
        <v>2077</v>
      </c>
      <c r="AP595" s="13" t="s">
        <v>2077</v>
      </c>
      <c r="AQ595" s="13" t="s">
        <v>2077</v>
      </c>
      <c r="AR595" s="13" t="s">
        <v>2418</v>
      </c>
      <c r="AS595" s="13" t="s">
        <v>2419</v>
      </c>
      <c r="AT595" s="13" t="s">
        <v>2420</v>
      </c>
      <c r="AU595" s="13" t="s">
        <v>2421</v>
      </c>
      <c r="AV595" s="13" t="s">
        <v>2422</v>
      </c>
      <c r="AW595" s="13" t="s">
        <v>2416</v>
      </c>
      <c r="AX595" s="13" t="s">
        <v>2073</v>
      </c>
      <c r="AY595" s="13" t="s">
        <v>2073</v>
      </c>
      <c r="AZ595" s="13" t="s">
        <v>2073</v>
      </c>
      <c r="BA595" s="13" t="s">
        <v>2073</v>
      </c>
      <c r="BB595" s="13" t="s">
        <v>2073</v>
      </c>
      <c r="BC595" s="13" t="s">
        <v>2073</v>
      </c>
    </row>
    <row r="596" spans="1:55" ht="15.75" customHeight="1">
      <c r="A596" s="69">
        <v>1000</v>
      </c>
      <c r="B596" s="7" t="s">
        <v>265</v>
      </c>
      <c r="C596" s="211" t="s">
        <v>2412</v>
      </c>
      <c r="D596" s="13" t="s">
        <v>264</v>
      </c>
      <c r="E596" s="13" t="s">
        <v>216</v>
      </c>
      <c r="F596" s="211" t="s">
        <v>2413</v>
      </c>
      <c r="G596" s="13" t="s">
        <v>2414</v>
      </c>
      <c r="H596" s="13" t="s">
        <v>2077</v>
      </c>
      <c r="I596" s="13" t="s">
        <v>2077</v>
      </c>
      <c r="J596" s="13" t="s">
        <v>2077</v>
      </c>
      <c r="K596" s="13" t="s">
        <v>2077</v>
      </c>
      <c r="L596" s="13" t="s">
        <v>2077</v>
      </c>
      <c r="M596" s="13" t="s">
        <v>2077</v>
      </c>
      <c r="N596" s="211" t="s">
        <v>2415</v>
      </c>
      <c r="O596" s="13" t="s">
        <v>2416</v>
      </c>
      <c r="P596" s="69" t="str">
        <f t="shared" ref="P596:Q596" si="428">D596</f>
        <v>COOLPRESS  KMI</v>
      </c>
      <c r="Q596" s="13" t="str">
        <f t="shared" si="428"/>
        <v>1PN</v>
      </c>
      <c r="R596" s="212" t="s">
        <v>23</v>
      </c>
      <c r="S596" s="213">
        <v>0.64583333333333337</v>
      </c>
      <c r="T596" s="13">
        <v>85</v>
      </c>
      <c r="U596" s="211" t="s">
        <v>24</v>
      </c>
      <c r="V596" s="13">
        <v>1</v>
      </c>
      <c r="W596" s="13" t="s">
        <v>2417</v>
      </c>
      <c r="X596" s="13" t="s">
        <v>1924</v>
      </c>
      <c r="Y596" s="13" t="s">
        <v>2073</v>
      </c>
      <c r="Z596" s="13" t="s">
        <v>2073</v>
      </c>
      <c r="AA596" s="13" t="s">
        <v>2073</v>
      </c>
      <c r="AB596" s="13" t="s">
        <v>1924</v>
      </c>
      <c r="AC596" s="211" t="s">
        <v>2415</v>
      </c>
      <c r="AD596" s="13" t="s">
        <v>2416</v>
      </c>
      <c r="AE596" s="69" t="s">
        <v>266</v>
      </c>
      <c r="AF596" s="13" t="s">
        <v>2418</v>
      </c>
      <c r="AG596" s="13" t="s">
        <v>2419</v>
      </c>
      <c r="AH596" s="13" t="s">
        <v>2420</v>
      </c>
      <c r="AI596" s="13" t="s">
        <v>2421</v>
      </c>
      <c r="AJ596" s="13" t="s">
        <v>2422</v>
      </c>
      <c r="AK596" s="13" t="s">
        <v>2416</v>
      </c>
      <c r="AL596" s="13" t="s">
        <v>2077</v>
      </c>
      <c r="AM596" s="13" t="s">
        <v>2077</v>
      </c>
      <c r="AN596" s="13" t="s">
        <v>2077</v>
      </c>
      <c r="AO596" s="13" t="s">
        <v>2077</v>
      </c>
      <c r="AP596" s="13" t="s">
        <v>2077</v>
      </c>
      <c r="AQ596" s="13" t="s">
        <v>2077</v>
      </c>
      <c r="AR596" s="13" t="s">
        <v>2418</v>
      </c>
      <c r="AS596" s="13" t="s">
        <v>2419</v>
      </c>
      <c r="AT596" s="13" t="s">
        <v>2420</v>
      </c>
      <c r="AU596" s="13" t="s">
        <v>2421</v>
      </c>
      <c r="AV596" s="13" t="s">
        <v>2422</v>
      </c>
      <c r="AW596" s="13" t="s">
        <v>2416</v>
      </c>
      <c r="AX596" s="13" t="s">
        <v>2073</v>
      </c>
      <c r="AY596" s="13" t="s">
        <v>2073</v>
      </c>
      <c r="AZ596" s="13" t="s">
        <v>2073</v>
      </c>
      <c r="BA596" s="13" t="s">
        <v>2073</v>
      </c>
      <c r="BB596" s="13" t="s">
        <v>2073</v>
      </c>
      <c r="BC596" s="13" t="s">
        <v>2073</v>
      </c>
    </row>
    <row r="597" spans="1:55" ht="15.75" customHeight="1">
      <c r="A597" s="69">
        <v>1000</v>
      </c>
      <c r="B597" s="7" t="s">
        <v>269</v>
      </c>
      <c r="C597" s="211" t="s">
        <v>2412</v>
      </c>
      <c r="D597" s="13" t="s">
        <v>268</v>
      </c>
      <c r="E597" s="13" t="s">
        <v>216</v>
      </c>
      <c r="F597" s="211" t="s">
        <v>2413</v>
      </c>
      <c r="G597" s="13" t="s">
        <v>2414</v>
      </c>
      <c r="H597" s="13" t="s">
        <v>2077</v>
      </c>
      <c r="I597" s="13" t="s">
        <v>2077</v>
      </c>
      <c r="J597" s="13" t="s">
        <v>2077</v>
      </c>
      <c r="K597" s="13" t="s">
        <v>2077</v>
      </c>
      <c r="L597" s="13" t="s">
        <v>2077</v>
      </c>
      <c r="M597" s="13" t="s">
        <v>2077</v>
      </c>
      <c r="N597" s="211" t="s">
        <v>2415</v>
      </c>
      <c r="O597" s="13" t="s">
        <v>2416</v>
      </c>
      <c r="P597" s="69" t="str">
        <f t="shared" ref="P597:Q597" si="429">D597</f>
        <v>PROSES PANEL SENNERSKOV  KMI</v>
      </c>
      <c r="Q597" s="13" t="str">
        <f t="shared" si="429"/>
        <v>1PN</v>
      </c>
      <c r="R597" s="212" t="s">
        <v>23</v>
      </c>
      <c r="S597" s="213">
        <v>0.64583333333333337</v>
      </c>
      <c r="T597" s="13">
        <v>85</v>
      </c>
      <c r="U597" s="211" t="s">
        <v>24</v>
      </c>
      <c r="V597" s="13">
        <v>1</v>
      </c>
      <c r="W597" s="13" t="s">
        <v>2417</v>
      </c>
      <c r="X597" s="13" t="s">
        <v>1924</v>
      </c>
      <c r="Y597" s="13" t="s">
        <v>2073</v>
      </c>
      <c r="Z597" s="13" t="s">
        <v>2073</v>
      </c>
      <c r="AA597" s="13" t="s">
        <v>2073</v>
      </c>
      <c r="AB597" s="13" t="s">
        <v>1924</v>
      </c>
      <c r="AC597" s="211" t="s">
        <v>2415</v>
      </c>
      <c r="AD597" s="13" t="s">
        <v>2416</v>
      </c>
      <c r="AE597" s="69" t="s">
        <v>270</v>
      </c>
      <c r="AF597" s="13" t="s">
        <v>2418</v>
      </c>
      <c r="AG597" s="13" t="s">
        <v>2419</v>
      </c>
      <c r="AH597" s="13" t="s">
        <v>2420</v>
      </c>
      <c r="AI597" s="13" t="s">
        <v>2421</v>
      </c>
      <c r="AJ597" s="13" t="s">
        <v>2422</v>
      </c>
      <c r="AK597" s="13" t="s">
        <v>2416</v>
      </c>
      <c r="AL597" s="13" t="s">
        <v>2077</v>
      </c>
      <c r="AM597" s="13" t="s">
        <v>2077</v>
      </c>
      <c r="AN597" s="13" t="s">
        <v>2077</v>
      </c>
      <c r="AO597" s="13" t="s">
        <v>2077</v>
      </c>
      <c r="AP597" s="13" t="s">
        <v>2077</v>
      </c>
      <c r="AQ597" s="13" t="s">
        <v>2077</v>
      </c>
      <c r="AR597" s="13" t="s">
        <v>2418</v>
      </c>
      <c r="AS597" s="13" t="s">
        <v>2419</v>
      </c>
      <c r="AT597" s="13" t="s">
        <v>2420</v>
      </c>
      <c r="AU597" s="13" t="s">
        <v>2421</v>
      </c>
      <c r="AV597" s="13" t="s">
        <v>2422</v>
      </c>
      <c r="AW597" s="13" t="s">
        <v>2416</v>
      </c>
      <c r="AX597" s="13" t="s">
        <v>2073</v>
      </c>
      <c r="AY597" s="13" t="s">
        <v>2073</v>
      </c>
      <c r="AZ597" s="13" t="s">
        <v>2073</v>
      </c>
      <c r="BA597" s="13" t="s">
        <v>2073</v>
      </c>
      <c r="BB597" s="13" t="s">
        <v>2073</v>
      </c>
      <c r="BC597" s="13" t="s">
        <v>2073</v>
      </c>
    </row>
    <row r="598" spans="1:55" ht="15.75" customHeight="1">
      <c r="A598" s="69">
        <v>1000</v>
      </c>
      <c r="B598" s="7" t="s">
        <v>273</v>
      </c>
      <c r="C598" s="211" t="s">
        <v>2412</v>
      </c>
      <c r="D598" s="13" t="s">
        <v>272</v>
      </c>
      <c r="E598" s="13" t="s">
        <v>216</v>
      </c>
      <c r="F598" s="211" t="s">
        <v>2413</v>
      </c>
      <c r="G598" s="13" t="s">
        <v>2414</v>
      </c>
      <c r="H598" s="13" t="s">
        <v>2077</v>
      </c>
      <c r="I598" s="13" t="s">
        <v>2077</v>
      </c>
      <c r="J598" s="13" t="s">
        <v>2077</v>
      </c>
      <c r="K598" s="13" t="s">
        <v>2077</v>
      </c>
      <c r="L598" s="13" t="s">
        <v>2077</v>
      </c>
      <c r="M598" s="13" t="s">
        <v>2077</v>
      </c>
      <c r="N598" s="211" t="s">
        <v>2415</v>
      </c>
      <c r="O598" s="13" t="s">
        <v>2416</v>
      </c>
      <c r="P598" s="69" t="str">
        <f t="shared" ref="P598:Q598" si="430">D598</f>
        <v>KOBAYASHI 1 ( A )  KMI</v>
      </c>
      <c r="Q598" s="13" t="str">
        <f t="shared" si="430"/>
        <v>1PN</v>
      </c>
      <c r="R598" s="212" t="s">
        <v>23</v>
      </c>
      <c r="S598" s="213">
        <v>0.97916666666666663</v>
      </c>
      <c r="T598" s="13">
        <v>85</v>
      </c>
      <c r="U598" s="211" t="s">
        <v>83</v>
      </c>
      <c r="V598" s="13">
        <v>1</v>
      </c>
      <c r="W598" s="13" t="s">
        <v>2417</v>
      </c>
      <c r="X598" s="13" t="s">
        <v>1924</v>
      </c>
      <c r="Y598" s="13" t="s">
        <v>2073</v>
      </c>
      <c r="Z598" s="13" t="s">
        <v>2073</v>
      </c>
      <c r="AA598" s="13" t="s">
        <v>2073</v>
      </c>
      <c r="AB598" s="13" t="s">
        <v>1924</v>
      </c>
      <c r="AC598" s="211" t="s">
        <v>2415</v>
      </c>
      <c r="AD598" s="13" t="s">
        <v>2416</v>
      </c>
      <c r="AE598" s="69" t="s">
        <v>274</v>
      </c>
      <c r="AF598" s="13" t="s">
        <v>2418</v>
      </c>
      <c r="AG598" s="13" t="s">
        <v>2419</v>
      </c>
      <c r="AH598" s="13" t="s">
        <v>2420</v>
      </c>
      <c r="AI598" s="13" t="s">
        <v>2421</v>
      </c>
      <c r="AJ598" s="13" t="s">
        <v>2422</v>
      </c>
      <c r="AK598" s="13" t="s">
        <v>2416</v>
      </c>
      <c r="AL598" s="13" t="s">
        <v>2077</v>
      </c>
      <c r="AM598" s="13" t="s">
        <v>2077</v>
      </c>
      <c r="AN598" s="13" t="s">
        <v>2077</v>
      </c>
      <c r="AO598" s="13" t="s">
        <v>2077</v>
      </c>
      <c r="AP598" s="13" t="s">
        <v>2077</v>
      </c>
      <c r="AQ598" s="13" t="s">
        <v>2077</v>
      </c>
      <c r="AR598" s="13" t="s">
        <v>2418</v>
      </c>
      <c r="AS598" s="13" t="s">
        <v>2419</v>
      </c>
      <c r="AT598" s="13" t="s">
        <v>2420</v>
      </c>
      <c r="AU598" s="13" t="s">
        <v>2421</v>
      </c>
      <c r="AV598" s="13" t="s">
        <v>2422</v>
      </c>
      <c r="AW598" s="13" t="s">
        <v>2416</v>
      </c>
      <c r="AX598" s="13" t="s">
        <v>2073</v>
      </c>
      <c r="AY598" s="13" t="s">
        <v>2073</v>
      </c>
      <c r="AZ598" s="13" t="s">
        <v>2073</v>
      </c>
      <c r="BA598" s="13" t="s">
        <v>2073</v>
      </c>
      <c r="BB598" s="13" t="s">
        <v>2073</v>
      </c>
      <c r="BC598" s="13" t="s">
        <v>2073</v>
      </c>
    </row>
    <row r="599" spans="1:55" ht="15.75" customHeight="1">
      <c r="A599" s="69">
        <v>1000</v>
      </c>
      <c r="B599" s="7" t="s">
        <v>277</v>
      </c>
      <c r="C599" s="211" t="s">
        <v>2412</v>
      </c>
      <c r="D599" s="13" t="s">
        <v>276</v>
      </c>
      <c r="E599" s="13" t="s">
        <v>216</v>
      </c>
      <c r="F599" s="211" t="s">
        <v>2413</v>
      </c>
      <c r="G599" s="13" t="s">
        <v>2414</v>
      </c>
      <c r="H599" s="13" t="s">
        <v>2077</v>
      </c>
      <c r="I599" s="13" t="s">
        <v>2077</v>
      </c>
      <c r="J599" s="13" t="s">
        <v>2077</v>
      </c>
      <c r="K599" s="13" t="s">
        <v>2077</v>
      </c>
      <c r="L599" s="13" t="s">
        <v>2077</v>
      </c>
      <c r="M599" s="13" t="s">
        <v>2077</v>
      </c>
      <c r="N599" s="211" t="s">
        <v>2415</v>
      </c>
      <c r="O599" s="13" t="s">
        <v>2416</v>
      </c>
      <c r="P599" s="69" t="str">
        <f t="shared" ref="P599:Q599" si="431">D599</f>
        <v>KOBAYASHI 2 ( D )  KMI</v>
      </c>
      <c r="Q599" s="13" t="str">
        <f t="shared" si="431"/>
        <v>1PN</v>
      </c>
      <c r="R599" s="212" t="s">
        <v>23</v>
      </c>
      <c r="S599" s="213">
        <v>0.97916666666666663</v>
      </c>
      <c r="T599" s="13">
        <v>85</v>
      </c>
      <c r="U599" s="211" t="s">
        <v>83</v>
      </c>
      <c r="V599" s="13">
        <v>1</v>
      </c>
      <c r="W599" s="13" t="s">
        <v>2417</v>
      </c>
      <c r="X599" s="13" t="s">
        <v>1924</v>
      </c>
      <c r="Y599" s="13" t="s">
        <v>2073</v>
      </c>
      <c r="Z599" s="13" t="s">
        <v>2073</v>
      </c>
      <c r="AA599" s="13" t="s">
        <v>2073</v>
      </c>
      <c r="AB599" s="13" t="s">
        <v>1924</v>
      </c>
      <c r="AC599" s="211" t="s">
        <v>2415</v>
      </c>
      <c r="AD599" s="13" t="s">
        <v>2416</v>
      </c>
      <c r="AE599" s="69" t="s">
        <v>278</v>
      </c>
      <c r="AF599" s="13" t="s">
        <v>2418</v>
      </c>
      <c r="AG599" s="13" t="s">
        <v>2419</v>
      </c>
      <c r="AH599" s="13" t="s">
        <v>2420</v>
      </c>
      <c r="AI599" s="13" t="s">
        <v>2421</v>
      </c>
      <c r="AJ599" s="13" t="s">
        <v>2422</v>
      </c>
      <c r="AK599" s="13" t="s">
        <v>2416</v>
      </c>
      <c r="AL599" s="13" t="s">
        <v>2077</v>
      </c>
      <c r="AM599" s="13" t="s">
        <v>2077</v>
      </c>
      <c r="AN599" s="13" t="s">
        <v>2077</v>
      </c>
      <c r="AO599" s="13" t="s">
        <v>2077</v>
      </c>
      <c r="AP599" s="13" t="s">
        <v>2077</v>
      </c>
      <c r="AQ599" s="13" t="s">
        <v>2077</v>
      </c>
      <c r="AR599" s="13" t="s">
        <v>2418</v>
      </c>
      <c r="AS599" s="13" t="s">
        <v>2419</v>
      </c>
      <c r="AT599" s="13" t="s">
        <v>2420</v>
      </c>
      <c r="AU599" s="13" t="s">
        <v>2421</v>
      </c>
      <c r="AV599" s="13" t="s">
        <v>2422</v>
      </c>
      <c r="AW599" s="13" t="s">
        <v>2416</v>
      </c>
      <c r="AX599" s="13" t="s">
        <v>2073</v>
      </c>
      <c r="AY599" s="13" t="s">
        <v>2073</v>
      </c>
      <c r="AZ599" s="13" t="s">
        <v>2073</v>
      </c>
      <c r="BA599" s="13" t="s">
        <v>2073</v>
      </c>
      <c r="BB599" s="13" t="s">
        <v>2073</v>
      </c>
      <c r="BC599" s="13" t="s">
        <v>2073</v>
      </c>
    </row>
    <row r="600" spans="1:55" ht="15.75" customHeight="1">
      <c r="A600" s="69">
        <v>1000</v>
      </c>
      <c r="B600" s="7" t="s">
        <v>281</v>
      </c>
      <c r="C600" s="211" t="s">
        <v>2412</v>
      </c>
      <c r="D600" s="13" t="s">
        <v>280</v>
      </c>
      <c r="E600" s="13" t="s">
        <v>216</v>
      </c>
      <c r="F600" s="211" t="s">
        <v>2413</v>
      </c>
      <c r="G600" s="13" t="s">
        <v>2414</v>
      </c>
      <c r="H600" s="13" t="s">
        <v>2077</v>
      </c>
      <c r="I600" s="13" t="s">
        <v>2077</v>
      </c>
      <c r="J600" s="13" t="s">
        <v>2077</v>
      </c>
      <c r="K600" s="13" t="s">
        <v>2077</v>
      </c>
      <c r="L600" s="13" t="s">
        <v>2077</v>
      </c>
      <c r="M600" s="13" t="s">
        <v>2077</v>
      </c>
      <c r="N600" s="211" t="s">
        <v>2415</v>
      </c>
      <c r="O600" s="13" t="s">
        <v>2416</v>
      </c>
      <c r="P600" s="69" t="str">
        <f t="shared" ref="P600:Q600" si="432">D600</f>
        <v>KOBAYASHI 3 ( PPI/DRAWER )  KMI</v>
      </c>
      <c r="Q600" s="13" t="str">
        <f t="shared" si="432"/>
        <v>1PN</v>
      </c>
      <c r="R600" s="212" t="s">
        <v>23</v>
      </c>
      <c r="S600" s="213">
        <v>0.64583333333333337</v>
      </c>
      <c r="T600" s="13">
        <v>85</v>
      </c>
      <c r="U600" s="211" t="s">
        <v>24</v>
      </c>
      <c r="V600" s="13">
        <v>1</v>
      </c>
      <c r="W600" s="13" t="s">
        <v>2417</v>
      </c>
      <c r="X600" s="13" t="s">
        <v>1924</v>
      </c>
      <c r="Y600" s="13" t="s">
        <v>2073</v>
      </c>
      <c r="Z600" s="13" t="s">
        <v>2073</v>
      </c>
      <c r="AA600" s="13" t="s">
        <v>2073</v>
      </c>
      <c r="AB600" s="13" t="s">
        <v>1924</v>
      </c>
      <c r="AC600" s="211" t="s">
        <v>2415</v>
      </c>
      <c r="AD600" s="13" t="s">
        <v>2416</v>
      </c>
      <c r="AE600" s="69" t="s">
        <v>282</v>
      </c>
      <c r="AF600" s="13" t="s">
        <v>2418</v>
      </c>
      <c r="AG600" s="13" t="s">
        <v>2419</v>
      </c>
      <c r="AH600" s="13" t="s">
        <v>2420</v>
      </c>
      <c r="AI600" s="13" t="s">
        <v>2421</v>
      </c>
      <c r="AJ600" s="13" t="s">
        <v>2422</v>
      </c>
      <c r="AK600" s="13" t="s">
        <v>2416</v>
      </c>
      <c r="AL600" s="13" t="s">
        <v>2077</v>
      </c>
      <c r="AM600" s="13" t="s">
        <v>2077</v>
      </c>
      <c r="AN600" s="13" t="s">
        <v>2077</v>
      </c>
      <c r="AO600" s="13" t="s">
        <v>2077</v>
      </c>
      <c r="AP600" s="13" t="s">
        <v>2077</v>
      </c>
      <c r="AQ600" s="13" t="s">
        <v>2077</v>
      </c>
      <c r="AR600" s="13" t="s">
        <v>2418</v>
      </c>
      <c r="AS600" s="13" t="s">
        <v>2419</v>
      </c>
      <c r="AT600" s="13" t="s">
        <v>2420</v>
      </c>
      <c r="AU600" s="13" t="s">
        <v>2421</v>
      </c>
      <c r="AV600" s="13" t="s">
        <v>2422</v>
      </c>
      <c r="AW600" s="13" t="s">
        <v>2416</v>
      </c>
      <c r="AX600" s="13" t="s">
        <v>2073</v>
      </c>
      <c r="AY600" s="13" t="s">
        <v>2073</v>
      </c>
      <c r="AZ600" s="13" t="s">
        <v>2073</v>
      </c>
      <c r="BA600" s="13" t="s">
        <v>2073</v>
      </c>
      <c r="BB600" s="13" t="s">
        <v>2073</v>
      </c>
      <c r="BC600" s="13" t="s">
        <v>2073</v>
      </c>
    </row>
    <row r="601" spans="1:55" ht="15.75" customHeight="1">
      <c r="A601" s="69">
        <v>1000</v>
      </c>
      <c r="B601" s="7" t="s">
        <v>285</v>
      </c>
      <c r="C601" s="211" t="s">
        <v>2412</v>
      </c>
      <c r="D601" s="13" t="s">
        <v>284</v>
      </c>
      <c r="E601" s="13" t="s">
        <v>216</v>
      </c>
      <c r="F601" s="211" t="s">
        <v>2413</v>
      </c>
      <c r="G601" s="13" t="s">
        <v>2414</v>
      </c>
      <c r="H601" s="13" t="s">
        <v>2077</v>
      </c>
      <c r="I601" s="13" t="s">
        <v>2077</v>
      </c>
      <c r="J601" s="13" t="s">
        <v>2077</v>
      </c>
      <c r="K601" s="13" t="s">
        <v>2077</v>
      </c>
      <c r="L601" s="13" t="s">
        <v>2077</v>
      </c>
      <c r="M601" s="13" t="s">
        <v>2077</v>
      </c>
      <c r="N601" s="211" t="s">
        <v>2415</v>
      </c>
      <c r="O601" s="13" t="s">
        <v>2416</v>
      </c>
      <c r="P601" s="69" t="str">
        <f t="shared" ref="P601:Q601" si="433">D601</f>
        <v>TAIHEI ( C )  KMI</v>
      </c>
      <c r="Q601" s="13" t="str">
        <f t="shared" si="433"/>
        <v>1PN</v>
      </c>
      <c r="R601" s="212" t="s">
        <v>23</v>
      </c>
      <c r="S601" s="213">
        <v>0.97916666666666663</v>
      </c>
      <c r="T601" s="13">
        <v>85</v>
      </c>
      <c r="U601" s="211" t="s">
        <v>83</v>
      </c>
      <c r="V601" s="13">
        <v>1</v>
      </c>
      <c r="W601" s="13" t="s">
        <v>2417</v>
      </c>
      <c r="X601" s="13" t="s">
        <v>1924</v>
      </c>
      <c r="Y601" s="13" t="s">
        <v>2073</v>
      </c>
      <c r="Z601" s="13" t="s">
        <v>2073</v>
      </c>
      <c r="AA601" s="13" t="s">
        <v>2073</v>
      </c>
      <c r="AB601" s="13" t="s">
        <v>1924</v>
      </c>
      <c r="AC601" s="211" t="s">
        <v>2415</v>
      </c>
      <c r="AD601" s="13" t="s">
        <v>2416</v>
      </c>
      <c r="AE601" s="69" t="s">
        <v>270</v>
      </c>
      <c r="AF601" s="13" t="s">
        <v>2418</v>
      </c>
      <c r="AG601" s="13" t="s">
        <v>2419</v>
      </c>
      <c r="AH601" s="13" t="s">
        <v>2420</v>
      </c>
      <c r="AI601" s="13" t="s">
        <v>2421</v>
      </c>
      <c r="AJ601" s="13" t="s">
        <v>2422</v>
      </c>
      <c r="AK601" s="13" t="s">
        <v>2416</v>
      </c>
      <c r="AL601" s="13" t="s">
        <v>2077</v>
      </c>
      <c r="AM601" s="13" t="s">
        <v>2077</v>
      </c>
      <c r="AN601" s="13" t="s">
        <v>2077</v>
      </c>
      <c r="AO601" s="13" t="s">
        <v>2077</v>
      </c>
      <c r="AP601" s="13" t="s">
        <v>2077</v>
      </c>
      <c r="AQ601" s="13" t="s">
        <v>2077</v>
      </c>
      <c r="AR601" s="13" t="s">
        <v>2418</v>
      </c>
      <c r="AS601" s="13" t="s">
        <v>2419</v>
      </c>
      <c r="AT601" s="13" t="s">
        <v>2420</v>
      </c>
      <c r="AU601" s="13" t="s">
        <v>2421</v>
      </c>
      <c r="AV601" s="13" t="s">
        <v>2422</v>
      </c>
      <c r="AW601" s="13" t="s">
        <v>2416</v>
      </c>
      <c r="AX601" s="13" t="s">
        <v>2073</v>
      </c>
      <c r="AY601" s="13" t="s">
        <v>2073</v>
      </c>
      <c r="AZ601" s="13" t="s">
        <v>2073</v>
      </c>
      <c r="BA601" s="13" t="s">
        <v>2073</v>
      </c>
      <c r="BB601" s="13" t="s">
        <v>2073</v>
      </c>
      <c r="BC601" s="13" t="s">
        <v>2073</v>
      </c>
    </row>
    <row r="602" spans="1:55" ht="15.75" customHeight="1">
      <c r="A602" s="69">
        <v>1000</v>
      </c>
      <c r="B602" s="7" t="s">
        <v>288</v>
      </c>
      <c r="C602" s="211" t="s">
        <v>2412</v>
      </c>
      <c r="D602" s="13" t="s">
        <v>287</v>
      </c>
      <c r="E602" s="13" t="s">
        <v>216</v>
      </c>
      <c r="F602" s="211" t="s">
        <v>2413</v>
      </c>
      <c r="G602" s="13" t="s">
        <v>2414</v>
      </c>
      <c r="H602" s="13" t="s">
        <v>2077</v>
      </c>
      <c r="I602" s="13" t="s">
        <v>2077</v>
      </c>
      <c r="J602" s="13" t="s">
        <v>2077</v>
      </c>
      <c r="K602" s="13" t="s">
        <v>2077</v>
      </c>
      <c r="L602" s="13" t="s">
        <v>2077</v>
      </c>
      <c r="M602" s="13" t="s">
        <v>2077</v>
      </c>
      <c r="N602" s="211" t="s">
        <v>2415</v>
      </c>
      <c r="O602" s="13" t="s">
        <v>2416</v>
      </c>
      <c r="P602" s="69" t="str">
        <f t="shared" ref="P602:Q602" si="434">D602</f>
        <v>YAMAMOTO ( DOOR/GT )  KMI</v>
      </c>
      <c r="Q602" s="13" t="str">
        <f t="shared" si="434"/>
        <v>1PN</v>
      </c>
      <c r="R602" s="212" t="s">
        <v>23</v>
      </c>
      <c r="S602" s="213">
        <v>0.64583333333333337</v>
      </c>
      <c r="T602" s="13">
        <v>85</v>
      </c>
      <c r="U602" s="211" t="s">
        <v>24</v>
      </c>
      <c r="V602" s="13">
        <v>1</v>
      </c>
      <c r="W602" s="13" t="s">
        <v>2417</v>
      </c>
      <c r="X602" s="13" t="s">
        <v>1924</v>
      </c>
      <c r="Y602" s="13" t="s">
        <v>2073</v>
      </c>
      <c r="Z602" s="13" t="s">
        <v>2073</v>
      </c>
      <c r="AA602" s="13" t="s">
        <v>2073</v>
      </c>
      <c r="AB602" s="13" t="s">
        <v>1924</v>
      </c>
      <c r="AC602" s="211" t="s">
        <v>2415</v>
      </c>
      <c r="AD602" s="13" t="s">
        <v>2416</v>
      </c>
      <c r="AE602" s="69" t="s">
        <v>289</v>
      </c>
      <c r="AF602" s="13" t="s">
        <v>2418</v>
      </c>
      <c r="AG602" s="13" t="s">
        <v>2419</v>
      </c>
      <c r="AH602" s="13" t="s">
        <v>2420</v>
      </c>
      <c r="AI602" s="13" t="s">
        <v>2421</v>
      </c>
      <c r="AJ602" s="13" t="s">
        <v>2422</v>
      </c>
      <c r="AK602" s="13" t="s">
        <v>2416</v>
      </c>
      <c r="AL602" s="13" t="s">
        <v>2077</v>
      </c>
      <c r="AM602" s="13" t="s">
        <v>2077</v>
      </c>
      <c r="AN602" s="13" t="s">
        <v>2077</v>
      </c>
      <c r="AO602" s="13" t="s">
        <v>2077</v>
      </c>
      <c r="AP602" s="13" t="s">
        <v>2077</v>
      </c>
      <c r="AQ602" s="13" t="s">
        <v>2077</v>
      </c>
      <c r="AR602" s="13" t="s">
        <v>2418</v>
      </c>
      <c r="AS602" s="13" t="s">
        <v>2419</v>
      </c>
      <c r="AT602" s="13" t="s">
        <v>2420</v>
      </c>
      <c r="AU602" s="13" t="s">
        <v>2421</v>
      </c>
      <c r="AV602" s="13" t="s">
        <v>2422</v>
      </c>
      <c r="AW602" s="13" t="s">
        <v>2416</v>
      </c>
      <c r="AX602" s="13" t="s">
        <v>2073</v>
      </c>
      <c r="AY602" s="13" t="s">
        <v>2073</v>
      </c>
      <c r="AZ602" s="13" t="s">
        <v>2073</v>
      </c>
      <c r="BA602" s="13" t="s">
        <v>2073</v>
      </c>
      <c r="BB602" s="13" t="s">
        <v>2073</v>
      </c>
      <c r="BC602" s="13" t="s">
        <v>2073</v>
      </c>
    </row>
    <row r="603" spans="1:55" ht="15.75" customHeight="1">
      <c r="A603" s="69">
        <v>1000</v>
      </c>
      <c r="B603" s="7" t="s">
        <v>292</v>
      </c>
      <c r="C603" s="211" t="s">
        <v>2412</v>
      </c>
      <c r="D603" s="13" t="s">
        <v>291</v>
      </c>
      <c r="E603" s="13" t="s">
        <v>216</v>
      </c>
      <c r="F603" s="211" t="s">
        <v>2413</v>
      </c>
      <c r="G603" s="13" t="s">
        <v>2414</v>
      </c>
      <c r="H603" s="13" t="s">
        <v>2077</v>
      </c>
      <c r="I603" s="13" t="s">
        <v>2077</v>
      </c>
      <c r="J603" s="13" t="s">
        <v>2077</v>
      </c>
      <c r="K603" s="13" t="s">
        <v>2077</v>
      </c>
      <c r="L603" s="13" t="s">
        <v>2077</v>
      </c>
      <c r="M603" s="13" t="s">
        <v>2077</v>
      </c>
      <c r="N603" s="211" t="s">
        <v>2415</v>
      </c>
      <c r="O603" s="13" t="s">
        <v>2416</v>
      </c>
      <c r="P603" s="69" t="str">
        <f t="shared" ref="P603:Q603" si="435">D603</f>
        <v>MEMBRAN SEIBU  KMI</v>
      </c>
      <c r="Q603" s="13" t="str">
        <f t="shared" si="435"/>
        <v>1PN</v>
      </c>
      <c r="R603" s="212" t="s">
        <v>23</v>
      </c>
      <c r="S603" s="213">
        <v>0.64583333333333337</v>
      </c>
      <c r="T603" s="13">
        <v>85</v>
      </c>
      <c r="U603" s="211" t="s">
        <v>24</v>
      </c>
      <c r="V603" s="13">
        <v>1</v>
      </c>
      <c r="W603" s="13" t="s">
        <v>2417</v>
      </c>
      <c r="X603" s="13" t="s">
        <v>1924</v>
      </c>
      <c r="Y603" s="13" t="s">
        <v>2073</v>
      </c>
      <c r="Z603" s="13" t="s">
        <v>2073</v>
      </c>
      <c r="AA603" s="13" t="s">
        <v>2073</v>
      </c>
      <c r="AB603" s="13" t="s">
        <v>1924</v>
      </c>
      <c r="AC603" s="211" t="s">
        <v>2415</v>
      </c>
      <c r="AD603" s="13" t="s">
        <v>2416</v>
      </c>
      <c r="AE603" s="69" t="s">
        <v>293</v>
      </c>
      <c r="AF603" s="13" t="s">
        <v>2418</v>
      </c>
      <c r="AG603" s="13" t="s">
        <v>2419</v>
      </c>
      <c r="AH603" s="13" t="s">
        <v>2420</v>
      </c>
      <c r="AI603" s="13" t="s">
        <v>2421</v>
      </c>
      <c r="AJ603" s="13" t="s">
        <v>2422</v>
      </c>
      <c r="AK603" s="13" t="s">
        <v>2416</v>
      </c>
      <c r="AL603" s="13" t="s">
        <v>2077</v>
      </c>
      <c r="AM603" s="13" t="s">
        <v>2077</v>
      </c>
      <c r="AN603" s="13" t="s">
        <v>2077</v>
      </c>
      <c r="AO603" s="13" t="s">
        <v>2077</v>
      </c>
      <c r="AP603" s="13" t="s">
        <v>2077</v>
      </c>
      <c r="AQ603" s="13" t="s">
        <v>2077</v>
      </c>
      <c r="AR603" s="13" t="s">
        <v>2418</v>
      </c>
      <c r="AS603" s="13" t="s">
        <v>2419</v>
      </c>
      <c r="AT603" s="13" t="s">
        <v>2420</v>
      </c>
      <c r="AU603" s="13" t="s">
        <v>2421</v>
      </c>
      <c r="AV603" s="13" t="s">
        <v>2422</v>
      </c>
      <c r="AW603" s="13" t="s">
        <v>2416</v>
      </c>
      <c r="AX603" s="13" t="s">
        <v>2073</v>
      </c>
      <c r="AY603" s="13" t="s">
        <v>2073</v>
      </c>
      <c r="AZ603" s="13" t="s">
        <v>2073</v>
      </c>
      <c r="BA603" s="13" t="s">
        <v>2073</v>
      </c>
      <c r="BB603" s="13" t="s">
        <v>2073</v>
      </c>
      <c r="BC603" s="13" t="s">
        <v>2073</v>
      </c>
    </row>
    <row r="604" spans="1:55" ht="15.75" customHeight="1">
      <c r="A604" s="69">
        <v>1000</v>
      </c>
      <c r="B604" s="7" t="s">
        <v>296</v>
      </c>
      <c r="C604" s="211" t="s">
        <v>2412</v>
      </c>
      <c r="D604" s="13" t="s">
        <v>295</v>
      </c>
      <c r="E604" s="13" t="s">
        <v>216</v>
      </c>
      <c r="F604" s="211" t="s">
        <v>2413</v>
      </c>
      <c r="G604" s="13" t="s">
        <v>2414</v>
      </c>
      <c r="H604" s="13" t="s">
        <v>2077</v>
      </c>
      <c r="I604" s="13" t="s">
        <v>2077</v>
      </c>
      <c r="J604" s="13" t="s">
        <v>2077</v>
      </c>
      <c r="K604" s="13" t="s">
        <v>2077</v>
      </c>
      <c r="L604" s="13" t="s">
        <v>2077</v>
      </c>
      <c r="M604" s="13" t="s">
        <v>2077</v>
      </c>
      <c r="N604" s="211" t="s">
        <v>2415</v>
      </c>
      <c r="O604" s="13" t="s">
        <v>2416</v>
      </c>
      <c r="P604" s="69" t="str">
        <f t="shared" ref="P604:Q604" si="436">D604</f>
        <v>SANDER AMITEX  KMI</v>
      </c>
      <c r="Q604" s="13" t="str">
        <f t="shared" si="436"/>
        <v>1PN</v>
      </c>
      <c r="R604" s="212" t="s">
        <v>23</v>
      </c>
      <c r="S604" s="213">
        <v>0.64583333333333337</v>
      </c>
      <c r="T604" s="13">
        <v>85</v>
      </c>
      <c r="U604" s="211" t="s">
        <v>24</v>
      </c>
      <c r="V604" s="13">
        <v>1</v>
      </c>
      <c r="W604" s="13" t="s">
        <v>2417</v>
      </c>
      <c r="X604" s="13" t="s">
        <v>1924</v>
      </c>
      <c r="Y604" s="13" t="s">
        <v>2073</v>
      </c>
      <c r="Z604" s="13" t="s">
        <v>2073</v>
      </c>
      <c r="AA604" s="13" t="s">
        <v>2073</v>
      </c>
      <c r="AB604" s="13" t="s">
        <v>1924</v>
      </c>
      <c r="AC604" s="211" t="s">
        <v>2415</v>
      </c>
      <c r="AD604" s="13" t="s">
        <v>2416</v>
      </c>
      <c r="AE604" s="69" t="s">
        <v>297</v>
      </c>
      <c r="AF604" s="13" t="s">
        <v>2418</v>
      </c>
      <c r="AG604" s="13" t="s">
        <v>2419</v>
      </c>
      <c r="AH604" s="13" t="s">
        <v>2420</v>
      </c>
      <c r="AI604" s="13" t="s">
        <v>2421</v>
      </c>
      <c r="AJ604" s="13" t="s">
        <v>2422</v>
      </c>
      <c r="AK604" s="13" t="s">
        <v>2416</v>
      </c>
      <c r="AL604" s="13" t="s">
        <v>2077</v>
      </c>
      <c r="AM604" s="13" t="s">
        <v>2077</v>
      </c>
      <c r="AN604" s="13" t="s">
        <v>2077</v>
      </c>
      <c r="AO604" s="13" t="s">
        <v>2077</v>
      </c>
      <c r="AP604" s="13" t="s">
        <v>2077</v>
      </c>
      <c r="AQ604" s="13" t="s">
        <v>2077</v>
      </c>
      <c r="AR604" s="13" t="s">
        <v>2418</v>
      </c>
      <c r="AS604" s="13" t="s">
        <v>2419</v>
      </c>
      <c r="AT604" s="13" t="s">
        <v>2420</v>
      </c>
      <c r="AU604" s="13" t="s">
        <v>2421</v>
      </c>
      <c r="AV604" s="13" t="s">
        <v>2422</v>
      </c>
      <c r="AW604" s="13" t="s">
        <v>2416</v>
      </c>
      <c r="AX604" s="13" t="s">
        <v>2073</v>
      </c>
      <c r="AY604" s="13" t="s">
        <v>2073</v>
      </c>
      <c r="AZ604" s="13" t="s">
        <v>2073</v>
      </c>
      <c r="BA604" s="13" t="s">
        <v>2073</v>
      </c>
      <c r="BB604" s="13" t="s">
        <v>2073</v>
      </c>
      <c r="BC604" s="13" t="s">
        <v>2073</v>
      </c>
    </row>
    <row r="605" spans="1:55" ht="15.75" customHeight="1">
      <c r="A605" s="69">
        <v>1000</v>
      </c>
      <c r="B605" s="7" t="s">
        <v>300</v>
      </c>
      <c r="C605" s="211" t="s">
        <v>2412</v>
      </c>
      <c r="D605" s="13" t="s">
        <v>301</v>
      </c>
      <c r="E605" s="13" t="s">
        <v>216</v>
      </c>
      <c r="F605" s="211" t="s">
        <v>2413</v>
      </c>
      <c r="G605" s="13" t="s">
        <v>2414</v>
      </c>
      <c r="H605" s="13" t="s">
        <v>2077</v>
      </c>
      <c r="I605" s="13" t="s">
        <v>2077</v>
      </c>
      <c r="J605" s="13" t="s">
        <v>2077</v>
      </c>
      <c r="K605" s="13" t="s">
        <v>2077</v>
      </c>
      <c r="L605" s="13" t="s">
        <v>2077</v>
      </c>
      <c r="M605" s="13" t="s">
        <v>2077</v>
      </c>
      <c r="N605" s="211" t="s">
        <v>2415</v>
      </c>
      <c r="O605" s="13" t="s">
        <v>2416</v>
      </c>
      <c r="P605" s="69" t="str">
        <f t="shared" ref="P605:Q605" si="437">D605</f>
        <v>HASSEMEN &amp; WARE BRUSH KMI</v>
      </c>
      <c r="Q605" s="13" t="str">
        <f t="shared" si="437"/>
        <v>1PN</v>
      </c>
      <c r="R605" s="212" t="s">
        <v>23</v>
      </c>
      <c r="S605" s="213">
        <v>0.97916666666666663</v>
      </c>
      <c r="T605" s="13">
        <v>85</v>
      </c>
      <c r="U605" s="211" t="s">
        <v>83</v>
      </c>
      <c r="V605" s="13">
        <v>1</v>
      </c>
      <c r="W605" s="13" t="s">
        <v>2417</v>
      </c>
      <c r="X605" s="13" t="s">
        <v>1924</v>
      </c>
      <c r="Y605" s="13" t="s">
        <v>2073</v>
      </c>
      <c r="Z605" s="13" t="s">
        <v>2073</v>
      </c>
      <c r="AA605" s="13" t="s">
        <v>2073</v>
      </c>
      <c r="AB605" s="13" t="s">
        <v>1924</v>
      </c>
      <c r="AC605" s="211" t="s">
        <v>2415</v>
      </c>
      <c r="AD605" s="13" t="s">
        <v>2416</v>
      </c>
      <c r="AE605" s="69" t="s">
        <v>302</v>
      </c>
      <c r="AF605" s="13" t="s">
        <v>2418</v>
      </c>
      <c r="AG605" s="13" t="s">
        <v>2419</v>
      </c>
      <c r="AH605" s="13" t="s">
        <v>2420</v>
      </c>
      <c r="AI605" s="13" t="s">
        <v>2421</v>
      </c>
      <c r="AJ605" s="13" t="s">
        <v>2422</v>
      </c>
      <c r="AK605" s="13" t="s">
        <v>2416</v>
      </c>
      <c r="AL605" s="13" t="s">
        <v>2077</v>
      </c>
      <c r="AM605" s="13" t="s">
        <v>2077</v>
      </c>
      <c r="AN605" s="13" t="s">
        <v>2077</v>
      </c>
      <c r="AO605" s="13" t="s">
        <v>2077</v>
      </c>
      <c r="AP605" s="13" t="s">
        <v>2077</v>
      </c>
      <c r="AQ605" s="13" t="s">
        <v>2077</v>
      </c>
      <c r="AR605" s="13" t="s">
        <v>2418</v>
      </c>
      <c r="AS605" s="13" t="s">
        <v>2419</v>
      </c>
      <c r="AT605" s="13" t="s">
        <v>2420</v>
      </c>
      <c r="AU605" s="13" t="s">
        <v>2421</v>
      </c>
      <c r="AV605" s="13" t="s">
        <v>2422</v>
      </c>
      <c r="AW605" s="13" t="s">
        <v>2416</v>
      </c>
      <c r="AX605" s="13" t="s">
        <v>2073</v>
      </c>
      <c r="AY605" s="13" t="s">
        <v>2073</v>
      </c>
      <c r="AZ605" s="13" t="s">
        <v>2073</v>
      </c>
      <c r="BA605" s="13" t="s">
        <v>2073</v>
      </c>
      <c r="BB605" s="13" t="s">
        <v>2073</v>
      </c>
      <c r="BC605" s="13" t="s">
        <v>2073</v>
      </c>
    </row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K1000"/>
  <sheetViews>
    <sheetView workbookViewId="0"/>
  </sheetViews>
  <sheetFormatPr defaultColWidth="14.42578125" defaultRowHeight="15" customHeight="1"/>
  <cols>
    <col min="1" max="1" width="8.7109375" customWidth="1"/>
    <col min="2" max="2" width="12.28515625" customWidth="1"/>
    <col min="3" max="4" width="8.7109375" customWidth="1"/>
    <col min="5" max="5" width="11.42578125" customWidth="1"/>
    <col min="6" max="6" width="30" customWidth="1"/>
    <col min="7" max="7" width="8.7109375" customWidth="1"/>
    <col min="8" max="8" width="17.7109375" customWidth="1"/>
    <col min="9" max="10" width="8.7109375" customWidth="1"/>
    <col min="11" max="11" width="12.140625" customWidth="1"/>
    <col min="12" max="26" width="8.7109375" customWidth="1"/>
  </cols>
  <sheetData>
    <row r="2" spans="1:11" ht="21">
      <c r="D2" s="431" t="s">
        <v>2424</v>
      </c>
      <c r="E2" s="432"/>
      <c r="F2" s="433"/>
    </row>
    <row r="4" spans="1:11">
      <c r="A4" s="13" t="s">
        <v>2425</v>
      </c>
      <c r="B4" s="13" t="s">
        <v>11</v>
      </c>
      <c r="C4" s="13" t="s">
        <v>2126</v>
      </c>
      <c r="D4" s="13" t="s">
        <v>2426</v>
      </c>
      <c r="E4" s="434" t="s">
        <v>2427</v>
      </c>
      <c r="F4" s="337"/>
      <c r="H4" s="13" t="s">
        <v>2427</v>
      </c>
      <c r="J4" s="13" t="s">
        <v>2428</v>
      </c>
    </row>
    <row r="5" spans="1:11">
      <c r="A5" s="13" t="s">
        <v>2429</v>
      </c>
      <c r="B5" s="13" t="s">
        <v>2430</v>
      </c>
      <c r="C5" s="13" t="s">
        <v>2216</v>
      </c>
      <c r="D5" s="13" t="s">
        <v>2431</v>
      </c>
      <c r="E5" s="61" t="s">
        <v>2432</v>
      </c>
      <c r="F5" s="220" t="s">
        <v>2433</v>
      </c>
      <c r="H5" s="13" t="s">
        <v>2434</v>
      </c>
      <c r="J5" s="13" t="s">
        <v>2435</v>
      </c>
      <c r="K5" s="13" t="s">
        <v>2436</v>
      </c>
    </row>
    <row r="6" spans="1:11">
      <c r="H6" s="13" t="s">
        <v>2437</v>
      </c>
      <c r="J6" s="1">
        <v>2291</v>
      </c>
      <c r="K6" s="13" t="s">
        <v>2436</v>
      </c>
    </row>
    <row r="7" spans="1:11">
      <c r="H7" s="13" t="s">
        <v>2438</v>
      </c>
      <c r="J7" s="1">
        <v>2254</v>
      </c>
      <c r="K7" s="72">
        <v>2254</v>
      </c>
    </row>
    <row r="8" spans="1:11">
      <c r="H8" s="13" t="s">
        <v>1821</v>
      </c>
      <c r="J8" s="13" t="s">
        <v>2439</v>
      </c>
    </row>
    <row r="9" spans="1:11">
      <c r="H9" s="13" t="s">
        <v>2440</v>
      </c>
      <c r="J9" s="13" t="s">
        <v>2441</v>
      </c>
    </row>
    <row r="10" spans="1:11">
      <c r="H10" s="13" t="s">
        <v>2442</v>
      </c>
      <c r="J10" s="13" t="s">
        <v>2441</v>
      </c>
    </row>
    <row r="12" spans="1:11">
      <c r="A12" s="13" t="s">
        <v>2443</v>
      </c>
      <c r="B12" s="13" t="s">
        <v>2430</v>
      </c>
      <c r="C12" s="13" t="s">
        <v>2176</v>
      </c>
      <c r="D12" s="13" t="s">
        <v>2444</v>
      </c>
      <c r="E12" s="13" t="s">
        <v>2445</v>
      </c>
      <c r="F12" s="13" t="s">
        <v>2446</v>
      </c>
      <c r="H12" s="13" t="s">
        <v>2447</v>
      </c>
      <c r="J12" s="13" t="s">
        <v>2448</v>
      </c>
      <c r="K12" s="13" t="s">
        <v>2449</v>
      </c>
    </row>
    <row r="13" spans="1:11">
      <c r="H13" s="13" t="s">
        <v>2450</v>
      </c>
      <c r="J13" s="13" t="s">
        <v>2451</v>
      </c>
    </row>
    <row r="14" spans="1:11">
      <c r="H14" s="13" t="s">
        <v>2452</v>
      </c>
      <c r="J14" s="221" t="s">
        <v>2453</v>
      </c>
      <c r="K14" s="13" t="s">
        <v>2454</v>
      </c>
    </row>
    <row r="15" spans="1:11">
      <c r="H15" s="13" t="s">
        <v>2455</v>
      </c>
      <c r="J15" s="221" t="s">
        <v>2456</v>
      </c>
    </row>
    <row r="17" spans="1:11">
      <c r="A17" s="13" t="s">
        <v>2443</v>
      </c>
      <c r="B17" s="13" t="s">
        <v>463</v>
      </c>
      <c r="C17" s="13" t="s">
        <v>2132</v>
      </c>
      <c r="D17" s="13" t="s">
        <v>2457</v>
      </c>
      <c r="F17" s="13" t="s">
        <v>2458</v>
      </c>
      <c r="H17" s="13" t="s">
        <v>2452</v>
      </c>
      <c r="J17" s="221" t="s">
        <v>2453</v>
      </c>
      <c r="K17" s="13" t="s">
        <v>2454</v>
      </c>
    </row>
    <row r="18" spans="1:11">
      <c r="H18" s="13" t="s">
        <v>2447</v>
      </c>
      <c r="J18" s="13" t="s">
        <v>2448</v>
      </c>
    </row>
    <row r="21" spans="1:11" ht="15.75" customHeight="1">
      <c r="B21" s="13" t="s">
        <v>2459</v>
      </c>
      <c r="C21" s="13" t="s">
        <v>2136</v>
      </c>
      <c r="D21" s="13" t="s">
        <v>2457</v>
      </c>
      <c r="F21" s="13" t="s">
        <v>2460</v>
      </c>
      <c r="H21" s="13" t="s">
        <v>2461</v>
      </c>
      <c r="J21" s="1">
        <v>2253</v>
      </c>
      <c r="K21" s="13" t="s">
        <v>2462</v>
      </c>
    </row>
    <row r="22" spans="1:11" ht="15.75" customHeight="1">
      <c r="H22" s="13" t="s">
        <v>2463</v>
      </c>
      <c r="J22" s="1">
        <v>2253</v>
      </c>
    </row>
    <row r="23" spans="1:11" ht="15.75" customHeight="1">
      <c r="H23" s="13" t="s">
        <v>2464</v>
      </c>
      <c r="J23" s="1">
        <v>2253</v>
      </c>
    </row>
    <row r="24" spans="1:11" ht="15.75" customHeight="1">
      <c r="H24" s="13" t="s">
        <v>2465</v>
      </c>
      <c r="J24" s="1">
        <v>2253</v>
      </c>
    </row>
    <row r="25" spans="1:11" ht="15.75" customHeight="1"/>
    <row r="26" spans="1:11" ht="15.75" customHeight="1"/>
    <row r="27" spans="1:11" ht="15.75" customHeight="1"/>
    <row r="28" spans="1:11" ht="15.75" customHeight="1">
      <c r="D28" s="435" t="s">
        <v>2466</v>
      </c>
      <c r="E28" s="432"/>
      <c r="F28" s="433"/>
    </row>
    <row r="29" spans="1:11" ht="15.75" customHeight="1"/>
    <row r="30" spans="1:11" ht="15.75" customHeight="1">
      <c r="E30" s="61" t="s">
        <v>2432</v>
      </c>
      <c r="F30" s="220" t="s">
        <v>2433</v>
      </c>
      <c r="G30" s="72"/>
    </row>
    <row r="31" spans="1:11" ht="15.75" customHeight="1">
      <c r="G31" s="72">
        <v>10</v>
      </c>
      <c r="H31" s="13" t="s">
        <v>775</v>
      </c>
    </row>
    <row r="32" spans="1:11" ht="15.75" customHeight="1">
      <c r="G32" s="72">
        <v>20</v>
      </c>
      <c r="H32" s="13" t="s">
        <v>465</v>
      </c>
    </row>
    <row r="33" spans="5:11" ht="15.75" customHeight="1">
      <c r="G33" s="72">
        <v>30</v>
      </c>
      <c r="H33" s="13" t="s">
        <v>1984</v>
      </c>
    </row>
    <row r="34" spans="5:11" ht="15.75" customHeight="1">
      <c r="G34" s="72"/>
    </row>
    <row r="35" spans="5:11" ht="15.75" customHeight="1">
      <c r="E35" s="13" t="s">
        <v>2445</v>
      </c>
      <c r="F35" s="13" t="s">
        <v>2446</v>
      </c>
      <c r="G35" s="72">
        <v>10</v>
      </c>
      <c r="H35" s="13" t="s">
        <v>2467</v>
      </c>
      <c r="K35" s="13" t="s">
        <v>2449</v>
      </c>
    </row>
    <row r="36" spans="5:11" ht="15.75" customHeight="1">
      <c r="G36" s="72">
        <v>20</v>
      </c>
      <c r="H36" s="13" t="s">
        <v>2468</v>
      </c>
      <c r="K36" s="13" t="s">
        <v>2469</v>
      </c>
    </row>
    <row r="37" spans="5:11" ht="15.75" customHeight="1">
      <c r="G37" s="72">
        <v>30</v>
      </c>
      <c r="H37" s="13" t="s">
        <v>2470</v>
      </c>
    </row>
    <row r="38" spans="5:11" ht="15.75" customHeight="1">
      <c r="G38" s="72">
        <v>40</v>
      </c>
      <c r="H38" s="13" t="s">
        <v>2471</v>
      </c>
    </row>
    <row r="39" spans="5:11" ht="15.75" customHeight="1">
      <c r="G39" s="72">
        <v>50</v>
      </c>
      <c r="H39" s="13" t="s">
        <v>2472</v>
      </c>
    </row>
    <row r="40" spans="5:11" ht="15.75" customHeight="1">
      <c r="G40" s="72">
        <v>60</v>
      </c>
      <c r="H40" s="13" t="s">
        <v>2473</v>
      </c>
    </row>
    <row r="41" spans="5:11" ht="15.75" customHeight="1">
      <c r="G41" s="72">
        <v>70</v>
      </c>
      <c r="H41" s="13" t="s">
        <v>2474</v>
      </c>
    </row>
    <row r="42" spans="5:11" ht="15.75" customHeight="1">
      <c r="G42" s="72">
        <v>80</v>
      </c>
      <c r="H42" s="13" t="s">
        <v>2475</v>
      </c>
    </row>
    <row r="43" spans="5:11" ht="15.75" customHeight="1">
      <c r="G43" s="72">
        <v>90</v>
      </c>
      <c r="H43" s="13" t="s">
        <v>750</v>
      </c>
    </row>
    <row r="44" spans="5:11" ht="15.75" customHeight="1">
      <c r="G44" s="72"/>
    </row>
    <row r="45" spans="5:11" ht="15.75" customHeight="1">
      <c r="F45" s="13" t="s">
        <v>2458</v>
      </c>
      <c r="G45" s="72">
        <v>10</v>
      </c>
      <c r="H45" s="13" t="s">
        <v>2471</v>
      </c>
    </row>
    <row r="46" spans="5:11" ht="15.75" customHeight="1">
      <c r="G46" s="72">
        <v>20</v>
      </c>
      <c r="H46" s="13" t="s">
        <v>2473</v>
      </c>
    </row>
    <row r="47" spans="5:11" ht="15.75" customHeight="1">
      <c r="G47" s="72">
        <v>30</v>
      </c>
      <c r="H47" s="13" t="s">
        <v>173</v>
      </c>
    </row>
    <row r="48" spans="5:11" ht="15.75" customHeight="1">
      <c r="G48" s="72">
        <v>40</v>
      </c>
      <c r="H48" s="13" t="s">
        <v>2476</v>
      </c>
    </row>
    <row r="49" spans="6:8" ht="15.75" customHeight="1">
      <c r="G49" s="72">
        <v>50</v>
      </c>
      <c r="H49" s="13" t="s">
        <v>2477</v>
      </c>
    </row>
    <row r="50" spans="6:8" ht="15.75" customHeight="1">
      <c r="G50" s="72"/>
    </row>
    <row r="51" spans="6:8" ht="15.75" customHeight="1">
      <c r="F51" s="13" t="s">
        <v>2460</v>
      </c>
      <c r="G51" s="72">
        <v>10</v>
      </c>
      <c r="H51" s="13" t="s">
        <v>2478</v>
      </c>
    </row>
    <row r="52" spans="6:8" ht="15.75" customHeight="1">
      <c r="G52" s="72"/>
    </row>
    <row r="53" spans="6:8" ht="15.75" customHeight="1">
      <c r="G53" s="72"/>
    </row>
    <row r="54" spans="6:8" ht="15.75" customHeight="1">
      <c r="G54" s="72"/>
    </row>
    <row r="55" spans="6:8" ht="15.75" customHeight="1"/>
    <row r="56" spans="6:8" ht="15.75" customHeight="1"/>
    <row r="57" spans="6:8" ht="15.75" customHeight="1"/>
    <row r="58" spans="6:8" ht="15.75" customHeight="1"/>
    <row r="59" spans="6:8" ht="15.75" customHeight="1"/>
    <row r="60" spans="6:8" ht="15.75" customHeight="1"/>
    <row r="61" spans="6:8" ht="15.75" customHeight="1"/>
    <row r="62" spans="6:8" ht="15.75" customHeight="1"/>
    <row r="63" spans="6:8" ht="15.75" customHeight="1"/>
    <row r="64" spans="6:8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D2:F2"/>
    <mergeCell ref="E4:F4"/>
    <mergeCell ref="D28:F28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1:A1000"/>
  <sheetViews>
    <sheetView workbookViewId="0"/>
  </sheetViews>
  <sheetFormatPr defaultColWidth="14.42578125" defaultRowHeight="15" customHeight="1"/>
  <cols>
    <col min="1" max="26" width="8.710937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K1000"/>
  <sheetViews>
    <sheetView workbookViewId="0"/>
  </sheetViews>
  <sheetFormatPr defaultColWidth="14.42578125" defaultRowHeight="15" customHeight="1"/>
  <cols>
    <col min="1" max="1" width="8.7109375" customWidth="1"/>
    <col min="2" max="2" width="19.28515625" customWidth="1"/>
    <col min="3" max="4" width="8.7109375" customWidth="1"/>
    <col min="5" max="5" width="14.7109375" customWidth="1"/>
    <col min="6" max="6" width="41.5703125" customWidth="1"/>
    <col min="7" max="7" width="8.7109375" customWidth="1"/>
    <col min="8" max="8" width="21.7109375" customWidth="1"/>
    <col min="9" max="10" width="8.7109375" customWidth="1"/>
    <col min="11" max="11" width="17.140625" customWidth="1"/>
    <col min="12" max="26" width="8.7109375" customWidth="1"/>
  </cols>
  <sheetData>
    <row r="2" spans="1:11" ht="21">
      <c r="D2" s="431" t="s">
        <v>2424</v>
      </c>
      <c r="E2" s="432"/>
      <c r="F2" s="433"/>
    </row>
    <row r="4" spans="1:11">
      <c r="A4" s="13" t="s">
        <v>2425</v>
      </c>
      <c r="B4" s="13" t="s">
        <v>11</v>
      </c>
      <c r="C4" s="13" t="s">
        <v>2126</v>
      </c>
      <c r="D4" s="13" t="s">
        <v>2426</v>
      </c>
      <c r="E4" s="434" t="s">
        <v>2427</v>
      </c>
      <c r="F4" s="337"/>
      <c r="H4" s="13" t="s">
        <v>2427</v>
      </c>
      <c r="J4" s="13" t="s">
        <v>2428</v>
      </c>
    </row>
    <row r="5" spans="1:11">
      <c r="A5" s="13" t="s">
        <v>2429</v>
      </c>
      <c r="B5" s="13" t="s">
        <v>2479</v>
      </c>
      <c r="C5" s="13" t="s">
        <v>2235</v>
      </c>
      <c r="D5" s="13" t="s">
        <v>2241</v>
      </c>
      <c r="E5" s="61" t="s">
        <v>2480</v>
      </c>
      <c r="F5" s="220" t="s">
        <v>2481</v>
      </c>
      <c r="H5" s="13" t="s">
        <v>2434</v>
      </c>
      <c r="J5" s="13" t="s">
        <v>2482</v>
      </c>
    </row>
    <row r="6" spans="1:11">
      <c r="H6" s="13" t="s">
        <v>2437</v>
      </c>
      <c r="J6" s="13" t="s">
        <v>2482</v>
      </c>
    </row>
    <row r="7" spans="1:11">
      <c r="H7" s="13" t="s">
        <v>2438</v>
      </c>
      <c r="J7" s="13" t="s">
        <v>2482</v>
      </c>
      <c r="K7" s="72"/>
    </row>
    <row r="8" spans="1:11">
      <c r="H8" s="13" t="s">
        <v>1821</v>
      </c>
      <c r="J8" s="13" t="s">
        <v>2483</v>
      </c>
      <c r="K8" s="436" t="s">
        <v>2484</v>
      </c>
    </row>
    <row r="9" spans="1:11">
      <c r="H9" s="13" t="s">
        <v>2440</v>
      </c>
      <c r="J9" s="13" t="s">
        <v>2483</v>
      </c>
      <c r="K9" s="337"/>
    </row>
    <row r="10" spans="1:11">
      <c r="H10" s="13" t="s">
        <v>2442</v>
      </c>
      <c r="J10" s="13" t="s">
        <v>2483</v>
      </c>
      <c r="K10" s="337"/>
    </row>
    <row r="11" spans="1:11">
      <c r="H11" s="13" t="s">
        <v>1821</v>
      </c>
      <c r="J11" s="13" t="s">
        <v>2485</v>
      </c>
      <c r="K11" s="436" t="s">
        <v>2486</v>
      </c>
    </row>
    <row r="12" spans="1:11">
      <c r="H12" s="13" t="s">
        <v>2440</v>
      </c>
      <c r="J12" s="13" t="s">
        <v>2485</v>
      </c>
      <c r="K12" s="337"/>
    </row>
    <row r="13" spans="1:11">
      <c r="H13" s="13" t="s">
        <v>2442</v>
      </c>
      <c r="J13" s="13" t="s">
        <v>2485</v>
      </c>
      <c r="K13" s="337"/>
    </row>
    <row r="15" spans="1:11">
      <c r="A15" s="13" t="s">
        <v>2429</v>
      </c>
      <c r="B15" s="13" t="s">
        <v>2487</v>
      </c>
      <c r="C15" s="13" t="s">
        <v>2488</v>
      </c>
      <c r="D15" s="13" t="s">
        <v>2242</v>
      </c>
      <c r="E15" s="61" t="s">
        <v>2489</v>
      </c>
      <c r="F15" s="220" t="s">
        <v>2490</v>
      </c>
      <c r="H15" s="13" t="s">
        <v>2434</v>
      </c>
      <c r="J15" s="211" t="s">
        <v>2491</v>
      </c>
    </row>
    <row r="16" spans="1:11">
      <c r="H16" s="13" t="s">
        <v>2437</v>
      </c>
      <c r="J16" s="211" t="s">
        <v>2491</v>
      </c>
    </row>
    <row r="17" spans="1:11">
      <c r="H17" s="13" t="s">
        <v>2438</v>
      </c>
      <c r="J17" s="211" t="s">
        <v>2491</v>
      </c>
      <c r="K17" s="72"/>
    </row>
    <row r="18" spans="1:11">
      <c r="H18" s="13" t="s">
        <v>2440</v>
      </c>
      <c r="J18" s="13" t="s">
        <v>2492</v>
      </c>
    </row>
    <row r="19" spans="1:11">
      <c r="H19" s="13" t="s">
        <v>2442</v>
      </c>
      <c r="J19" s="13" t="s">
        <v>2492</v>
      </c>
    </row>
    <row r="21" spans="1:11" ht="15.75" customHeight="1">
      <c r="A21" s="13" t="s">
        <v>2429</v>
      </c>
      <c r="B21" s="13" t="s">
        <v>2493</v>
      </c>
      <c r="C21" s="13" t="s">
        <v>2237</v>
      </c>
      <c r="D21" s="13" t="s">
        <v>2243</v>
      </c>
      <c r="E21" s="222" t="s">
        <v>2494</v>
      </c>
      <c r="F21" s="220" t="s">
        <v>2495</v>
      </c>
      <c r="H21" s="13" t="s">
        <v>2434</v>
      </c>
      <c r="J21" s="31"/>
      <c r="K21" s="436" t="s">
        <v>2496</v>
      </c>
    </row>
    <row r="22" spans="1:11" ht="15.75" customHeight="1">
      <c r="H22" s="13" t="s">
        <v>2437</v>
      </c>
      <c r="J22" s="31"/>
      <c r="K22" s="337"/>
    </row>
    <row r="23" spans="1:11" ht="15.75" customHeight="1">
      <c r="H23" s="13" t="s">
        <v>2434</v>
      </c>
      <c r="J23" s="211" t="s">
        <v>2497</v>
      </c>
      <c r="K23" s="434" t="s">
        <v>2498</v>
      </c>
    </row>
    <row r="24" spans="1:11" ht="15.75" customHeight="1">
      <c r="H24" s="13" t="s">
        <v>2437</v>
      </c>
      <c r="J24" s="211" t="s">
        <v>2497</v>
      </c>
      <c r="K24" s="337"/>
    </row>
    <row r="25" spans="1:11" ht="15.75" customHeight="1">
      <c r="H25" s="13" t="s">
        <v>1821</v>
      </c>
      <c r="J25" s="13" t="s">
        <v>2499</v>
      </c>
    </row>
    <row r="26" spans="1:11" ht="15.75" customHeight="1">
      <c r="H26" s="13" t="s">
        <v>2440</v>
      </c>
      <c r="J26" s="13" t="s">
        <v>2500</v>
      </c>
      <c r="K26" s="436" t="s">
        <v>2501</v>
      </c>
    </row>
    <row r="27" spans="1:11" ht="15.75" customHeight="1">
      <c r="H27" s="13" t="s">
        <v>2442</v>
      </c>
      <c r="J27" s="13" t="s">
        <v>2500</v>
      </c>
      <c r="K27" s="337"/>
    </row>
    <row r="28" spans="1:11" ht="15.75" customHeight="1">
      <c r="H28" s="13" t="s">
        <v>2440</v>
      </c>
      <c r="J28" s="13" t="s">
        <v>2502</v>
      </c>
      <c r="K28" s="436" t="s">
        <v>2503</v>
      </c>
    </row>
    <row r="29" spans="1:11" ht="15.75" customHeight="1">
      <c r="H29" s="13" t="s">
        <v>2442</v>
      </c>
      <c r="J29" s="13" t="s">
        <v>2502</v>
      </c>
      <c r="K29" s="337"/>
    </row>
    <row r="30" spans="1:11" ht="15.75" customHeight="1">
      <c r="K30" s="67"/>
    </row>
    <row r="31" spans="1:11" ht="15.75" customHeight="1">
      <c r="A31" s="13" t="s">
        <v>2443</v>
      </c>
      <c r="B31" s="13" t="s">
        <v>2430</v>
      </c>
      <c r="C31" s="13" t="s">
        <v>2234</v>
      </c>
      <c r="D31" s="13" t="s">
        <v>2241</v>
      </c>
      <c r="E31" s="13" t="s">
        <v>2504</v>
      </c>
      <c r="F31" s="13" t="s">
        <v>2505</v>
      </c>
      <c r="H31" s="13" t="s">
        <v>2447</v>
      </c>
      <c r="J31" s="13" t="s">
        <v>2448</v>
      </c>
      <c r="K31" s="13" t="s">
        <v>2449</v>
      </c>
    </row>
    <row r="32" spans="1:11" ht="15.75" customHeight="1">
      <c r="H32" s="13" t="s">
        <v>2450</v>
      </c>
      <c r="J32" s="13" t="s">
        <v>2451</v>
      </c>
    </row>
    <row r="33" spans="1:11" ht="15.75" customHeight="1">
      <c r="H33" s="13" t="s">
        <v>2452</v>
      </c>
      <c r="J33" s="221" t="s">
        <v>2506</v>
      </c>
      <c r="K33" s="13" t="s">
        <v>2454</v>
      </c>
    </row>
    <row r="34" spans="1:11" ht="15.75" customHeight="1">
      <c r="H34" s="13" t="s">
        <v>2455</v>
      </c>
      <c r="J34" s="221" t="s">
        <v>2482</v>
      </c>
    </row>
    <row r="35" spans="1:11" ht="15.75" customHeight="1"/>
    <row r="36" spans="1:11" ht="15.75" customHeight="1">
      <c r="A36" s="13" t="s">
        <v>2443</v>
      </c>
      <c r="B36" s="13" t="s">
        <v>2430</v>
      </c>
      <c r="C36" s="13" t="s">
        <v>2236</v>
      </c>
      <c r="D36" s="13" t="s">
        <v>2242</v>
      </c>
      <c r="E36" s="13" t="s">
        <v>2507</v>
      </c>
      <c r="F36" s="13" t="s">
        <v>2508</v>
      </c>
      <c r="H36" s="13" t="s">
        <v>2447</v>
      </c>
      <c r="J36" s="13" t="s">
        <v>2448</v>
      </c>
      <c r="K36" s="13" t="s">
        <v>2449</v>
      </c>
    </row>
    <row r="37" spans="1:11" ht="15.75" customHeight="1">
      <c r="H37" s="13" t="s">
        <v>2450</v>
      </c>
      <c r="J37" s="13" t="s">
        <v>2451</v>
      </c>
    </row>
    <row r="38" spans="1:11" ht="15.75" customHeight="1">
      <c r="H38" s="13" t="s">
        <v>2452</v>
      </c>
      <c r="J38" s="221" t="s">
        <v>2509</v>
      </c>
      <c r="K38" s="13" t="s">
        <v>2454</v>
      </c>
    </row>
    <row r="39" spans="1:11" ht="15.75" customHeight="1">
      <c r="H39" s="13" t="s">
        <v>2455</v>
      </c>
      <c r="J39" s="221" t="s">
        <v>2491</v>
      </c>
    </row>
    <row r="40" spans="1:11" ht="15.75" customHeight="1"/>
    <row r="41" spans="1:11" ht="15.75" customHeight="1">
      <c r="A41" s="13" t="s">
        <v>2443</v>
      </c>
      <c r="B41" s="13" t="s">
        <v>2510</v>
      </c>
      <c r="C41" s="13" t="s">
        <v>2238</v>
      </c>
      <c r="D41" s="13" t="s">
        <v>2240</v>
      </c>
      <c r="E41" s="13" t="s">
        <v>2511</v>
      </c>
      <c r="F41" s="13" t="s">
        <v>2512</v>
      </c>
      <c r="H41" s="13" t="s">
        <v>2434</v>
      </c>
      <c r="J41" s="221" t="s">
        <v>2513</v>
      </c>
    </row>
    <row r="42" spans="1:11" ht="15.75" customHeight="1">
      <c r="H42" s="13" t="s">
        <v>2437</v>
      </c>
      <c r="J42" s="221" t="s">
        <v>2513</v>
      </c>
    </row>
    <row r="43" spans="1:11" ht="15.75" customHeight="1">
      <c r="H43" s="13" t="s">
        <v>2514</v>
      </c>
      <c r="J43" s="223" t="s">
        <v>2515</v>
      </c>
    </row>
    <row r="44" spans="1:11" ht="15.75" customHeight="1">
      <c r="H44" s="13" t="s">
        <v>2516</v>
      </c>
      <c r="J44" s="223" t="s">
        <v>2517</v>
      </c>
    </row>
    <row r="45" spans="1:11" ht="15.75" customHeight="1"/>
    <row r="46" spans="1:11" ht="15.75" customHeight="1"/>
    <row r="47" spans="1:11" ht="15.75" customHeight="1">
      <c r="A47" s="13" t="s">
        <v>2443</v>
      </c>
      <c r="B47" s="13" t="s">
        <v>2518</v>
      </c>
      <c r="C47" s="13" t="s">
        <v>2233</v>
      </c>
      <c r="D47" s="13" t="s">
        <v>2239</v>
      </c>
      <c r="E47" s="13" t="s">
        <v>2519</v>
      </c>
      <c r="F47" s="13" t="s">
        <v>2520</v>
      </c>
      <c r="H47" s="13" t="s">
        <v>2434</v>
      </c>
      <c r="J47" s="1" t="s">
        <v>2521</v>
      </c>
      <c r="K47" s="13" t="s">
        <v>2522</v>
      </c>
    </row>
    <row r="48" spans="1:11" ht="15.75" customHeight="1">
      <c r="H48" s="13" t="s">
        <v>2434</v>
      </c>
      <c r="J48" s="1" t="s">
        <v>2523</v>
      </c>
      <c r="K48" s="13" t="s">
        <v>2524</v>
      </c>
    </row>
    <row r="49" spans="4:11" ht="15.75" customHeight="1">
      <c r="H49" s="13" t="s">
        <v>2437</v>
      </c>
      <c r="J49" s="1" t="s">
        <v>2521</v>
      </c>
    </row>
    <row r="50" spans="4:11" ht="15.75" customHeight="1">
      <c r="H50" s="13" t="s">
        <v>2514</v>
      </c>
      <c r="J50" s="1" t="s">
        <v>2525</v>
      </c>
    </row>
    <row r="51" spans="4:11" ht="15.75" customHeight="1">
      <c r="H51" s="13" t="s">
        <v>2516</v>
      </c>
      <c r="J51" s="1" t="s">
        <v>2525</v>
      </c>
    </row>
    <row r="52" spans="4:11" ht="15.75" customHeight="1"/>
    <row r="53" spans="4:11" ht="15.75" customHeight="1"/>
    <row r="54" spans="4:11" ht="15.75" customHeight="1"/>
    <row r="55" spans="4:11" ht="15.75" customHeight="1">
      <c r="D55" s="435" t="s">
        <v>2466</v>
      </c>
      <c r="E55" s="432"/>
      <c r="F55" s="433"/>
    </row>
    <row r="56" spans="4:11" ht="15.75" customHeight="1"/>
    <row r="57" spans="4:11" ht="15.75" customHeight="1">
      <c r="E57" s="61" t="s">
        <v>2480</v>
      </c>
      <c r="F57" s="220" t="s">
        <v>2481</v>
      </c>
      <c r="G57" s="72"/>
    </row>
    <row r="58" spans="4:11" ht="15.75" customHeight="1">
      <c r="G58" s="72">
        <v>10</v>
      </c>
      <c r="H58" s="13" t="s">
        <v>775</v>
      </c>
    </row>
    <row r="59" spans="4:11" ht="15.75" customHeight="1">
      <c r="G59" s="72">
        <v>20</v>
      </c>
      <c r="H59" s="13" t="s">
        <v>465</v>
      </c>
    </row>
    <row r="60" spans="4:11" ht="15.75" customHeight="1">
      <c r="G60" s="72">
        <v>30</v>
      </c>
      <c r="H60" s="13" t="s">
        <v>1984</v>
      </c>
    </row>
    <row r="61" spans="4:11" ht="15.75" customHeight="1">
      <c r="G61" s="72"/>
    </row>
    <row r="62" spans="4:11" ht="15.75" customHeight="1">
      <c r="E62" s="13" t="s">
        <v>2504</v>
      </c>
      <c r="F62" s="13" t="s">
        <v>2505</v>
      </c>
      <c r="G62" s="72">
        <v>10</v>
      </c>
      <c r="H62" s="13" t="s">
        <v>2467</v>
      </c>
      <c r="K62" s="13" t="s">
        <v>2449</v>
      </c>
    </row>
    <row r="63" spans="4:11" ht="15.75" customHeight="1">
      <c r="G63" s="72">
        <v>20</v>
      </c>
      <c r="H63" s="13" t="s">
        <v>2468</v>
      </c>
      <c r="K63" s="13" t="s">
        <v>2469</v>
      </c>
    </row>
    <row r="64" spans="4:11" ht="15.75" customHeight="1">
      <c r="G64" s="72">
        <v>30</v>
      </c>
      <c r="H64" s="13" t="s">
        <v>2470</v>
      </c>
    </row>
    <row r="65" spans="5:11" ht="15.75" customHeight="1">
      <c r="G65" s="72">
        <v>40</v>
      </c>
      <c r="H65" s="13" t="s">
        <v>2471</v>
      </c>
    </row>
    <row r="66" spans="5:11" ht="15.75" customHeight="1">
      <c r="G66" s="72">
        <v>50</v>
      </c>
      <c r="H66" s="13" t="s">
        <v>2472</v>
      </c>
    </row>
    <row r="67" spans="5:11" ht="15.75" customHeight="1">
      <c r="G67" s="72">
        <v>60</v>
      </c>
      <c r="H67" s="13" t="s">
        <v>2473</v>
      </c>
    </row>
    <row r="68" spans="5:11" ht="15.75" customHeight="1">
      <c r="G68" s="72">
        <v>70</v>
      </c>
      <c r="H68" s="13" t="s">
        <v>2474</v>
      </c>
    </row>
    <row r="69" spans="5:11" ht="15.75" customHeight="1">
      <c r="G69" s="72">
        <v>80</v>
      </c>
      <c r="H69" s="13" t="s">
        <v>2475</v>
      </c>
    </row>
    <row r="70" spans="5:11" ht="15.75" customHeight="1">
      <c r="G70" s="72">
        <v>90</v>
      </c>
      <c r="H70" s="13" t="s">
        <v>750</v>
      </c>
    </row>
    <row r="71" spans="5:11" ht="15.75" customHeight="1">
      <c r="G71" s="72"/>
    </row>
    <row r="72" spans="5:11" ht="15.75" customHeight="1">
      <c r="E72" s="13" t="s">
        <v>2511</v>
      </c>
      <c r="F72" s="13" t="s">
        <v>2512</v>
      </c>
      <c r="G72" s="72">
        <v>10</v>
      </c>
      <c r="H72" s="13" t="s">
        <v>356</v>
      </c>
    </row>
    <row r="73" spans="5:11" ht="15.75" customHeight="1">
      <c r="G73" s="72">
        <v>20</v>
      </c>
      <c r="H73" s="13" t="s">
        <v>2526</v>
      </c>
    </row>
    <row r="74" spans="5:11" ht="15.75" customHeight="1">
      <c r="G74" s="72">
        <v>30</v>
      </c>
      <c r="H74" s="13" t="s">
        <v>2527</v>
      </c>
    </row>
    <row r="75" spans="5:11" ht="15.75" customHeight="1">
      <c r="G75" s="72">
        <v>40</v>
      </c>
      <c r="H75" s="13" t="s">
        <v>1927</v>
      </c>
    </row>
    <row r="76" spans="5:11" ht="15.75" customHeight="1">
      <c r="G76" s="72">
        <v>50</v>
      </c>
      <c r="H76" s="13" t="s">
        <v>1984</v>
      </c>
    </row>
    <row r="77" spans="5:11" ht="15.75" customHeight="1">
      <c r="G77" s="72"/>
    </row>
    <row r="78" spans="5:11" ht="15.75" customHeight="1">
      <c r="E78" s="13" t="s">
        <v>2519</v>
      </c>
      <c r="F78" s="13" t="s">
        <v>2520</v>
      </c>
      <c r="G78" s="72">
        <v>10</v>
      </c>
      <c r="H78" s="13" t="s">
        <v>2528</v>
      </c>
    </row>
    <row r="79" spans="5:11" ht="15.75" customHeight="1">
      <c r="G79" s="72">
        <v>20</v>
      </c>
      <c r="H79" s="13" t="s">
        <v>2526</v>
      </c>
      <c r="K79" s="13" t="s">
        <v>2529</v>
      </c>
    </row>
    <row r="80" spans="5:11" ht="15.75" customHeight="1">
      <c r="G80" s="72">
        <v>30</v>
      </c>
      <c r="H80" s="13" t="s">
        <v>1927</v>
      </c>
    </row>
    <row r="81" spans="7:8" ht="15.75" customHeight="1">
      <c r="G81" s="72">
        <v>40</v>
      </c>
      <c r="H81" s="13" t="s">
        <v>1984</v>
      </c>
    </row>
    <row r="82" spans="7:8" ht="15.75" customHeight="1"/>
    <row r="83" spans="7:8" ht="15.75" customHeight="1"/>
    <row r="84" spans="7:8" ht="15.75" customHeight="1"/>
    <row r="85" spans="7:8" ht="15.75" customHeight="1"/>
    <row r="86" spans="7:8" ht="15.75" customHeight="1"/>
    <row r="87" spans="7:8" ht="15.75" customHeight="1"/>
    <row r="88" spans="7:8" ht="15.75" customHeight="1"/>
    <row r="89" spans="7:8" ht="15.75" customHeight="1"/>
    <row r="90" spans="7:8" ht="15.75" customHeight="1"/>
    <row r="91" spans="7:8" ht="15.75" customHeight="1"/>
    <row r="92" spans="7:8" ht="15.75" customHeight="1"/>
    <row r="93" spans="7:8" ht="15.75" customHeight="1"/>
    <row r="94" spans="7:8" ht="15.75" customHeight="1"/>
    <row r="95" spans="7:8" ht="15.75" customHeight="1"/>
    <row r="96" spans="7:8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E4:F4"/>
    <mergeCell ref="D55:F55"/>
    <mergeCell ref="D2:F2"/>
    <mergeCell ref="K8:K10"/>
    <mergeCell ref="K11:K13"/>
    <mergeCell ref="K21:K22"/>
    <mergeCell ref="K23:K24"/>
    <mergeCell ref="K26:K27"/>
    <mergeCell ref="K28:K29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WC KMI SURABAYA UPDATE</vt:lpstr>
      <vt:lpstr>Sheet1</vt:lpstr>
      <vt:lpstr>SAP FIORI</vt:lpstr>
      <vt:lpstr>WC KMI SURABAYA UPDATE GROUP</vt:lpstr>
      <vt:lpstr>work center update</vt:lpstr>
      <vt:lpstr>WC KMI SURABAYA UPDATE (2)</vt:lpstr>
      <vt:lpstr>KMI 1&amp;2</vt:lpstr>
      <vt:lpstr>WC LAMA YANG DI MERGER</vt:lpstr>
      <vt:lpstr>UPLOAD WC</vt:lpstr>
      <vt:lpstr>FLOW BOM + ROUTING</vt:lpstr>
      <vt:lpstr>FLOW CHART WW PLNT 1000</vt:lpstr>
      <vt:lpstr>FLOW BOM + ROUTING KMI3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IT KMI</cp:lastModifiedBy>
  <dcterms:modified xsi:type="dcterms:W3CDTF">2026-01-15T04:48:07Z</dcterms:modified>
</cp:coreProperties>
</file>